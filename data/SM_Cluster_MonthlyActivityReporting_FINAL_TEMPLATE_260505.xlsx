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JamesWHITAKER\Documents\4ws\"/>
    </mc:Choice>
  </mc:AlternateContent>
  <xr:revisionPtr revIDLastSave="0" documentId="13_ncr:2001_{E809170D-3F63-4C16-BBD0-CF9E18B2611A}" xr6:coauthVersionLast="47" xr6:coauthVersionMax="47" xr10:uidLastSave="{00000000-0000-0000-0000-000000000000}"/>
  <bookViews>
    <workbookView xWindow="-120" yWindow="-120" windowWidth="29040" windowHeight="15720" tabRatio="649" activeTab="1" xr2:uid="{00000000-000D-0000-FFFF-FFFF00000000}"/>
  </bookViews>
  <sheets>
    <sheet name="Read Me" sheetId="12" r:id="rId1"/>
    <sheet name="ActivityReporting (Data Entry)" sheetId="15" r:id="rId2"/>
    <sheet name="Activity Index" sheetId="30" r:id="rId3"/>
    <sheet name="Sheet5" sheetId="35" state="hidden" r:id="rId4"/>
    <sheet name="Vocab_NameList" sheetId="2" state="hidden" r:id="rId5"/>
    <sheet name="COD-Sites" sheetId="23" state="hidden" r:id="rId6"/>
  </sheets>
  <definedNames>
    <definedName name="_xlnm._FilterDatabase" localSheetId="5" hidden="1">'COD-Sites'!$A$1:$N$1883</definedName>
    <definedName name="Activity_Detail_Col">Vocab_NameList!$M$2:$M$26</definedName>
    <definedName name="Activity_Detail_Start">Vocab_NameList!$M$2</definedName>
    <definedName name="ActivityStype_Col">Vocab_NameList!$M$2:$M$26</definedName>
    <definedName name="ActivityStype_Start">Vocab_NameList!$M$2</definedName>
    <definedName name="ActivityType_Col">Vocab_NameList!$I$2:$I$26</definedName>
    <definedName name="ActivityType_Start">Vocab_NameList!$I$2</definedName>
    <definedName name="BlankList">Sheet5!$J$2</definedName>
    <definedName name="CommunalSpaces">Sheet5!$E$2:$E$6</definedName>
    <definedName name="Help_Col">'COD-Sites'!$G$2:$G$9998</definedName>
    <definedName name="Help_Start">'COD-Sites'!$G$2</definedName>
    <definedName name="ImprovementType">Sheet5!$F$2:$F$6</definedName>
    <definedName name="IsRiskTask">OR(ISNUMBER(SEARCH("Communal spaces", 'ActivityReporting (Data Entry)'!$J1)), ISNUMBER(SEARCH("planning", 'ActivityReporting (Data Entry)'!$J1)), ISNUMBER(SEARCH("cash for work", 'ActivityReporting (Data Entry)'!$J1)), ISNUMBER(SEARCH("maintenance", 'ActivityReporting (Data Entry)'!$J1)), ISNUMBER(SEARCH("sand/flour bags", 'ActivityReporting (Data Entry)'!$J1)))</definedName>
    <definedName name="Nei_Col">'COD-Sites'!$F$2:$F$1883</definedName>
    <definedName name="Nei_Start">'COD-Sites'!$F$2</definedName>
    <definedName name="PA_Col">Vocab_NameList!$AJ$2:$AJ$25</definedName>
    <definedName name="PA_Start">Vocab_NameList!$AJ$2</definedName>
    <definedName name="Partners">Vocab_NameList!$D$2:$D$161</definedName>
    <definedName name="Region_Col">Vocab_NameList!$AD$2:$AD$194</definedName>
    <definedName name="Region_Start">Vocab_NameList!$AD$2</definedName>
    <definedName name="RiskType">Sheet5!$G$2:$G$9</definedName>
    <definedName name="Site_Col">'COD-Sites'!$H$2:$H$1883</definedName>
    <definedName name="Site_Start">'COD-Sites'!$H$2</definedName>
    <definedName name="Status">Vocab_NameList!$Q$1:$Q$4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4" i="23" l="1"/>
  <c r="N336" i="23"/>
  <c r="N378" i="23"/>
  <c r="N420" i="23"/>
  <c r="N490" i="23"/>
  <c r="N493" i="23"/>
  <c r="N518" i="23"/>
  <c r="N535" i="23"/>
  <c r="N560" i="23"/>
  <c r="N569" i="23"/>
  <c r="N832" i="23"/>
  <c r="N860" i="23"/>
  <c r="N865" i="23"/>
  <c r="N1024" i="23"/>
  <c r="N1052" i="23"/>
  <c r="N1056" i="23"/>
  <c r="N1059" i="23"/>
  <c r="N1122" i="23"/>
  <c r="N1164" i="23"/>
  <c r="N1179" i="23"/>
  <c r="N1207" i="23"/>
  <c r="N1210" i="23"/>
  <c r="N1232" i="23"/>
  <c r="N1359" i="23"/>
  <c r="N1361" i="23"/>
  <c r="N1430" i="23"/>
  <c r="N1478" i="23"/>
  <c r="N1513" i="23"/>
  <c r="N1635" i="23"/>
  <c r="N1660" i="23"/>
  <c r="L3" i="23"/>
  <c r="N3" i="23" s="1"/>
  <c r="L4" i="23"/>
  <c r="N4" i="23" s="1"/>
  <c r="L5" i="23"/>
  <c r="N5" i="23" s="1"/>
  <c r="L6" i="23"/>
  <c r="N6" i="23" s="1"/>
  <c r="L7" i="23"/>
  <c r="N7" i="23" s="1"/>
  <c r="L8" i="23"/>
  <c r="N8" i="23" s="1"/>
  <c r="L9" i="23"/>
  <c r="N9" i="23" s="1"/>
  <c r="L10" i="23"/>
  <c r="N10" i="23" s="1"/>
  <c r="L11" i="23"/>
  <c r="N11" i="23" s="1"/>
  <c r="L12" i="23"/>
  <c r="N12" i="23" s="1"/>
  <c r="L13" i="23"/>
  <c r="N13" i="23" s="1"/>
  <c r="L14" i="23"/>
  <c r="N14" i="23" s="1"/>
  <c r="L15" i="23"/>
  <c r="N15" i="23" s="1"/>
  <c r="L16" i="23"/>
  <c r="N16" i="23" s="1"/>
  <c r="L17" i="23"/>
  <c r="N17" i="23" s="1"/>
  <c r="L18" i="23"/>
  <c r="N18" i="23" s="1"/>
  <c r="L19" i="23"/>
  <c r="N19" i="23" s="1"/>
  <c r="L20" i="23"/>
  <c r="N20" i="23" s="1"/>
  <c r="L21" i="23"/>
  <c r="N21" i="23" s="1"/>
  <c r="L22" i="23"/>
  <c r="N22" i="23" s="1"/>
  <c r="L23" i="23"/>
  <c r="N23" i="23" s="1"/>
  <c r="L24" i="23"/>
  <c r="N24" i="23" s="1"/>
  <c r="L25" i="23"/>
  <c r="N25" i="23" s="1"/>
  <c r="L26" i="23"/>
  <c r="N26" i="23" s="1"/>
  <c r="L27" i="23"/>
  <c r="N27" i="23" s="1"/>
  <c r="L28" i="23"/>
  <c r="N28" i="23" s="1"/>
  <c r="L29" i="23"/>
  <c r="N29" i="23" s="1"/>
  <c r="L30" i="23"/>
  <c r="N30" i="23" s="1"/>
  <c r="L31" i="23"/>
  <c r="N31" i="23" s="1"/>
  <c r="L32" i="23"/>
  <c r="N32" i="23" s="1"/>
  <c r="L33" i="23"/>
  <c r="N33" i="23" s="1"/>
  <c r="L34" i="23"/>
  <c r="N34" i="23" s="1"/>
  <c r="L35" i="23"/>
  <c r="N35" i="23" s="1"/>
  <c r="L36" i="23"/>
  <c r="N36" i="23" s="1"/>
  <c r="L37" i="23"/>
  <c r="N37" i="23" s="1"/>
  <c r="L38" i="23"/>
  <c r="N38" i="23" s="1"/>
  <c r="L39" i="23"/>
  <c r="N39" i="23" s="1"/>
  <c r="L40" i="23"/>
  <c r="N40" i="23" s="1"/>
  <c r="L41" i="23"/>
  <c r="N41" i="23" s="1"/>
  <c r="L42" i="23"/>
  <c r="N42" i="23" s="1"/>
  <c r="L43" i="23"/>
  <c r="N43" i="23" s="1"/>
  <c r="L44" i="23"/>
  <c r="N44" i="23" s="1"/>
  <c r="L45" i="23"/>
  <c r="N45" i="23" s="1"/>
  <c r="L46" i="23"/>
  <c r="N46" i="23" s="1"/>
  <c r="L47" i="23"/>
  <c r="N47" i="23" s="1"/>
  <c r="L48" i="23"/>
  <c r="N48" i="23" s="1"/>
  <c r="L49" i="23"/>
  <c r="N49" i="23" s="1"/>
  <c r="L50" i="23"/>
  <c r="N50" i="23" s="1"/>
  <c r="L51" i="23"/>
  <c r="N51" i="23" s="1"/>
  <c r="L52" i="23"/>
  <c r="N52" i="23" s="1"/>
  <c r="L53" i="23"/>
  <c r="N53" i="23" s="1"/>
  <c r="L54" i="23"/>
  <c r="N54" i="23" s="1"/>
  <c r="L55" i="23"/>
  <c r="N55" i="23" s="1"/>
  <c r="L56" i="23"/>
  <c r="N56" i="23" s="1"/>
  <c r="L57" i="23"/>
  <c r="N57" i="23" s="1"/>
  <c r="L58" i="23"/>
  <c r="N58" i="23" s="1"/>
  <c r="L59" i="23"/>
  <c r="N59" i="23" s="1"/>
  <c r="L60" i="23"/>
  <c r="N60" i="23" s="1"/>
  <c r="L61" i="23"/>
  <c r="N61" i="23" s="1"/>
  <c r="L62" i="23"/>
  <c r="N62" i="23" s="1"/>
  <c r="L63" i="23"/>
  <c r="N63" i="23" s="1"/>
  <c r="L64" i="23"/>
  <c r="N64" i="23" s="1"/>
  <c r="L65" i="23"/>
  <c r="N65" i="23" s="1"/>
  <c r="L66" i="23"/>
  <c r="N66" i="23" s="1"/>
  <c r="L67" i="23"/>
  <c r="N67" i="23" s="1"/>
  <c r="L68" i="23"/>
  <c r="N68" i="23" s="1"/>
  <c r="L69" i="23"/>
  <c r="N69" i="23" s="1"/>
  <c r="L70" i="23"/>
  <c r="N70" i="23" s="1"/>
  <c r="L71" i="23"/>
  <c r="N71" i="23" s="1"/>
  <c r="L72" i="23"/>
  <c r="N72" i="23" s="1"/>
  <c r="L73" i="23"/>
  <c r="N73" i="23" s="1"/>
  <c r="L74" i="23"/>
  <c r="N74" i="23" s="1"/>
  <c r="L75" i="23"/>
  <c r="N75" i="23" s="1"/>
  <c r="L76" i="23"/>
  <c r="N76" i="23" s="1"/>
  <c r="L77" i="23"/>
  <c r="N77" i="23" s="1"/>
  <c r="L78" i="23"/>
  <c r="N78" i="23" s="1"/>
  <c r="L79" i="23"/>
  <c r="N79" i="23" s="1"/>
  <c r="L80" i="23"/>
  <c r="N80" i="23" s="1"/>
  <c r="L81" i="23"/>
  <c r="N81" i="23" s="1"/>
  <c r="L82" i="23"/>
  <c r="N82" i="23" s="1"/>
  <c r="L83" i="23"/>
  <c r="N83" i="23" s="1"/>
  <c r="L84" i="23"/>
  <c r="N84" i="23" s="1"/>
  <c r="L85" i="23"/>
  <c r="N85" i="23" s="1"/>
  <c r="L86" i="23"/>
  <c r="N86" i="23" s="1"/>
  <c r="L87" i="23"/>
  <c r="N87" i="23" s="1"/>
  <c r="L88" i="23"/>
  <c r="N88" i="23" s="1"/>
  <c r="L89" i="23"/>
  <c r="N89" i="23" s="1"/>
  <c r="L90" i="23"/>
  <c r="N90" i="23" s="1"/>
  <c r="L91" i="23"/>
  <c r="N91" i="23" s="1"/>
  <c r="L92" i="23"/>
  <c r="N92" i="23" s="1"/>
  <c r="L93" i="23"/>
  <c r="N93" i="23" s="1"/>
  <c r="L94" i="23"/>
  <c r="N94" i="23" s="1"/>
  <c r="L95" i="23"/>
  <c r="N95" i="23" s="1"/>
  <c r="L96" i="23"/>
  <c r="N96" i="23" s="1"/>
  <c r="L97" i="23"/>
  <c r="N97" i="23" s="1"/>
  <c r="L98" i="23"/>
  <c r="N98" i="23" s="1"/>
  <c r="L99" i="23"/>
  <c r="N99" i="23" s="1"/>
  <c r="L100" i="23"/>
  <c r="N100" i="23" s="1"/>
  <c r="L101" i="23"/>
  <c r="N101" i="23" s="1"/>
  <c r="L102" i="23"/>
  <c r="N102" i="23" s="1"/>
  <c r="L103" i="23"/>
  <c r="N103" i="23" s="1"/>
  <c r="L104" i="23"/>
  <c r="N104" i="23" s="1"/>
  <c r="L105" i="23"/>
  <c r="N105" i="23" s="1"/>
  <c r="L106" i="23"/>
  <c r="N106" i="23" s="1"/>
  <c r="L107" i="23"/>
  <c r="N107" i="23" s="1"/>
  <c r="L108" i="23"/>
  <c r="N108" i="23" s="1"/>
  <c r="L109" i="23"/>
  <c r="N109" i="23" s="1"/>
  <c r="L110" i="23"/>
  <c r="N110" i="23" s="1"/>
  <c r="L111" i="23"/>
  <c r="N111" i="23" s="1"/>
  <c r="L112" i="23"/>
  <c r="N112" i="23" s="1"/>
  <c r="L113" i="23"/>
  <c r="N113" i="23" s="1"/>
  <c r="L114" i="23"/>
  <c r="N114" i="23" s="1"/>
  <c r="L115" i="23"/>
  <c r="N115" i="23" s="1"/>
  <c r="L116" i="23"/>
  <c r="N116" i="23" s="1"/>
  <c r="L117" i="23"/>
  <c r="N117" i="23" s="1"/>
  <c r="L118" i="23"/>
  <c r="N118" i="23" s="1"/>
  <c r="L119" i="23"/>
  <c r="N119" i="23" s="1"/>
  <c r="L120" i="23"/>
  <c r="N120" i="23" s="1"/>
  <c r="L121" i="23"/>
  <c r="N121" i="23" s="1"/>
  <c r="L122" i="23"/>
  <c r="N122" i="23" s="1"/>
  <c r="L123" i="23"/>
  <c r="N123" i="23" s="1"/>
  <c r="L124" i="23"/>
  <c r="N124" i="23" s="1"/>
  <c r="L125" i="23"/>
  <c r="N125" i="23" s="1"/>
  <c r="L126" i="23"/>
  <c r="N126" i="23" s="1"/>
  <c r="L127" i="23"/>
  <c r="N127" i="23" s="1"/>
  <c r="L128" i="23"/>
  <c r="N128" i="23" s="1"/>
  <c r="L129" i="23"/>
  <c r="N129" i="23" s="1"/>
  <c r="L130" i="23"/>
  <c r="N130" i="23" s="1"/>
  <c r="L131" i="23"/>
  <c r="N131" i="23" s="1"/>
  <c r="L132" i="23"/>
  <c r="N132" i="23" s="1"/>
  <c r="L133" i="23"/>
  <c r="N133" i="23" s="1"/>
  <c r="L134" i="23"/>
  <c r="N134" i="23" s="1"/>
  <c r="L135" i="23"/>
  <c r="N135" i="23" s="1"/>
  <c r="L136" i="23"/>
  <c r="N136" i="23" s="1"/>
  <c r="L137" i="23"/>
  <c r="N137" i="23" s="1"/>
  <c r="L138" i="23"/>
  <c r="N138" i="23" s="1"/>
  <c r="L139" i="23"/>
  <c r="N139" i="23" s="1"/>
  <c r="L140" i="23"/>
  <c r="N140" i="23" s="1"/>
  <c r="L141" i="23"/>
  <c r="N141" i="23" s="1"/>
  <c r="L142" i="23"/>
  <c r="N142" i="23" s="1"/>
  <c r="L143" i="23"/>
  <c r="N143" i="23" s="1"/>
  <c r="L144" i="23"/>
  <c r="N144" i="23" s="1"/>
  <c r="L145" i="23"/>
  <c r="N145" i="23" s="1"/>
  <c r="L146" i="23"/>
  <c r="N146" i="23" s="1"/>
  <c r="L147" i="23"/>
  <c r="N147" i="23" s="1"/>
  <c r="L148" i="23"/>
  <c r="N148" i="23" s="1"/>
  <c r="L149" i="23"/>
  <c r="N149" i="23" s="1"/>
  <c r="L150" i="23"/>
  <c r="N150" i="23" s="1"/>
  <c r="L151" i="23"/>
  <c r="N151" i="23" s="1"/>
  <c r="L152" i="23"/>
  <c r="N152" i="23" s="1"/>
  <c r="L153" i="23"/>
  <c r="N153" i="23" s="1"/>
  <c r="L154" i="23"/>
  <c r="N154" i="23" s="1"/>
  <c r="L155" i="23"/>
  <c r="N155" i="23" s="1"/>
  <c r="L156" i="23"/>
  <c r="N156" i="23" s="1"/>
  <c r="L157" i="23"/>
  <c r="N157" i="23" s="1"/>
  <c r="L158" i="23"/>
  <c r="N158" i="23" s="1"/>
  <c r="L159" i="23"/>
  <c r="N159" i="23" s="1"/>
  <c r="L160" i="23"/>
  <c r="N160" i="23" s="1"/>
  <c r="L161" i="23"/>
  <c r="N161" i="23" s="1"/>
  <c r="L162" i="23"/>
  <c r="N162" i="23" s="1"/>
  <c r="L163" i="23"/>
  <c r="N163" i="23" s="1"/>
  <c r="L164" i="23"/>
  <c r="N164" i="23" s="1"/>
  <c r="L165" i="23"/>
  <c r="N165" i="23" s="1"/>
  <c r="L166" i="23"/>
  <c r="N166" i="23" s="1"/>
  <c r="L167" i="23"/>
  <c r="N167" i="23" s="1"/>
  <c r="L168" i="23"/>
  <c r="N168" i="23" s="1"/>
  <c r="L169" i="23"/>
  <c r="N169" i="23" s="1"/>
  <c r="L170" i="23"/>
  <c r="N170" i="23" s="1"/>
  <c r="L171" i="23"/>
  <c r="N171" i="23" s="1"/>
  <c r="L172" i="23"/>
  <c r="N172" i="23" s="1"/>
  <c r="L173" i="23"/>
  <c r="N173" i="23" s="1"/>
  <c r="L174" i="23"/>
  <c r="N174" i="23" s="1"/>
  <c r="L175" i="23"/>
  <c r="N175" i="23" s="1"/>
  <c r="L176" i="23"/>
  <c r="N176" i="23" s="1"/>
  <c r="L177" i="23"/>
  <c r="N177" i="23" s="1"/>
  <c r="L178" i="23"/>
  <c r="N178" i="23" s="1"/>
  <c r="L179" i="23"/>
  <c r="N179" i="23" s="1"/>
  <c r="L180" i="23"/>
  <c r="N180" i="23" s="1"/>
  <c r="L181" i="23"/>
  <c r="N181" i="23" s="1"/>
  <c r="L182" i="23"/>
  <c r="N182" i="23" s="1"/>
  <c r="L183" i="23"/>
  <c r="N183" i="23" s="1"/>
  <c r="L184" i="23"/>
  <c r="N184" i="23" s="1"/>
  <c r="L185" i="23"/>
  <c r="N185" i="23" s="1"/>
  <c r="L186" i="23"/>
  <c r="N186" i="23" s="1"/>
  <c r="L187" i="23"/>
  <c r="N187" i="23" s="1"/>
  <c r="L188" i="23"/>
  <c r="N188" i="23" s="1"/>
  <c r="L189" i="23"/>
  <c r="N189" i="23" s="1"/>
  <c r="L190" i="23"/>
  <c r="N190" i="23" s="1"/>
  <c r="L191" i="23"/>
  <c r="N191" i="23" s="1"/>
  <c r="L192" i="23"/>
  <c r="N192" i="23" s="1"/>
  <c r="L193" i="23"/>
  <c r="N193" i="23" s="1"/>
  <c r="L194" i="23"/>
  <c r="N194" i="23" s="1"/>
  <c r="L195" i="23"/>
  <c r="N195" i="23" s="1"/>
  <c r="L196" i="23"/>
  <c r="N196" i="23" s="1"/>
  <c r="L197" i="23"/>
  <c r="N197" i="23" s="1"/>
  <c r="L198" i="23"/>
  <c r="N198" i="23" s="1"/>
  <c r="L199" i="23"/>
  <c r="N199" i="23" s="1"/>
  <c r="L200" i="23"/>
  <c r="N200" i="23" s="1"/>
  <c r="L201" i="23"/>
  <c r="N201" i="23" s="1"/>
  <c r="L202" i="23"/>
  <c r="N202" i="23" s="1"/>
  <c r="L203" i="23"/>
  <c r="N203" i="23" s="1"/>
  <c r="L204" i="23"/>
  <c r="N204" i="23" s="1"/>
  <c r="L205" i="23"/>
  <c r="N205" i="23" s="1"/>
  <c r="L206" i="23"/>
  <c r="N206" i="23" s="1"/>
  <c r="L207" i="23"/>
  <c r="N207" i="23" s="1"/>
  <c r="L208" i="23"/>
  <c r="N208" i="23" s="1"/>
  <c r="L209" i="23"/>
  <c r="N209" i="23" s="1"/>
  <c r="L210" i="23"/>
  <c r="N210" i="23" s="1"/>
  <c r="L211" i="23"/>
  <c r="N211" i="23" s="1"/>
  <c r="L212" i="23"/>
  <c r="N212" i="23" s="1"/>
  <c r="L213" i="23"/>
  <c r="N213" i="23" s="1"/>
  <c r="L214" i="23"/>
  <c r="N214" i="23" s="1"/>
  <c r="L215" i="23"/>
  <c r="N215" i="23" s="1"/>
  <c r="L216" i="23"/>
  <c r="N216" i="23" s="1"/>
  <c r="L217" i="23"/>
  <c r="N217" i="23" s="1"/>
  <c r="L218" i="23"/>
  <c r="N218" i="23" s="1"/>
  <c r="L219" i="23"/>
  <c r="N219" i="23" s="1"/>
  <c r="L220" i="23"/>
  <c r="N220" i="23" s="1"/>
  <c r="L221" i="23"/>
  <c r="N221" i="23" s="1"/>
  <c r="L222" i="23"/>
  <c r="N222" i="23" s="1"/>
  <c r="L223" i="23"/>
  <c r="N223" i="23" s="1"/>
  <c r="L224" i="23"/>
  <c r="N224" i="23" s="1"/>
  <c r="L225" i="23"/>
  <c r="N225" i="23" s="1"/>
  <c r="L226" i="23"/>
  <c r="N226" i="23" s="1"/>
  <c r="L227" i="23"/>
  <c r="N227" i="23" s="1"/>
  <c r="L228" i="23"/>
  <c r="N228" i="23" s="1"/>
  <c r="L229" i="23"/>
  <c r="N229" i="23" s="1"/>
  <c r="L230" i="23"/>
  <c r="N230" i="23" s="1"/>
  <c r="L231" i="23"/>
  <c r="N231" i="23" s="1"/>
  <c r="L232" i="23"/>
  <c r="N232" i="23" s="1"/>
  <c r="L233" i="23"/>
  <c r="N233" i="23" s="1"/>
  <c r="L234" i="23"/>
  <c r="N234" i="23" s="1"/>
  <c r="L235" i="23"/>
  <c r="N235" i="23" s="1"/>
  <c r="L236" i="23"/>
  <c r="N236" i="23" s="1"/>
  <c r="L237" i="23"/>
  <c r="N237" i="23" s="1"/>
  <c r="L238" i="23"/>
  <c r="N238" i="23" s="1"/>
  <c r="L239" i="23"/>
  <c r="N239" i="23" s="1"/>
  <c r="L240" i="23"/>
  <c r="N240" i="23" s="1"/>
  <c r="L241" i="23"/>
  <c r="N241" i="23" s="1"/>
  <c r="L242" i="23"/>
  <c r="N242" i="23" s="1"/>
  <c r="L243" i="23"/>
  <c r="N243" i="23" s="1"/>
  <c r="L244" i="23"/>
  <c r="N244" i="23" s="1"/>
  <c r="L245" i="23"/>
  <c r="N245" i="23" s="1"/>
  <c r="L246" i="23"/>
  <c r="N246" i="23" s="1"/>
  <c r="L247" i="23"/>
  <c r="N247" i="23" s="1"/>
  <c r="L248" i="23"/>
  <c r="N248" i="23" s="1"/>
  <c r="L249" i="23"/>
  <c r="N249" i="23" s="1"/>
  <c r="L250" i="23"/>
  <c r="N250" i="23" s="1"/>
  <c r="L251" i="23"/>
  <c r="N251" i="23" s="1"/>
  <c r="L252" i="23"/>
  <c r="N252" i="23" s="1"/>
  <c r="L253" i="23"/>
  <c r="N253" i="23" s="1"/>
  <c r="L254" i="23"/>
  <c r="N254" i="23" s="1"/>
  <c r="L255" i="23"/>
  <c r="N255" i="23" s="1"/>
  <c r="L256" i="23"/>
  <c r="N256" i="23" s="1"/>
  <c r="L257" i="23"/>
  <c r="N257" i="23" s="1"/>
  <c r="L258" i="23"/>
  <c r="N258" i="23" s="1"/>
  <c r="L259" i="23"/>
  <c r="N259" i="23" s="1"/>
  <c r="L260" i="23"/>
  <c r="N260" i="23" s="1"/>
  <c r="L261" i="23"/>
  <c r="N261" i="23" s="1"/>
  <c r="L262" i="23"/>
  <c r="N262" i="23" s="1"/>
  <c r="L263" i="23"/>
  <c r="N263" i="23" s="1"/>
  <c r="L264" i="23"/>
  <c r="N264" i="23" s="1"/>
  <c r="L265" i="23"/>
  <c r="N265" i="23" s="1"/>
  <c r="L266" i="23"/>
  <c r="N266" i="23" s="1"/>
  <c r="L267" i="23"/>
  <c r="N267" i="23" s="1"/>
  <c r="L268" i="23"/>
  <c r="N268" i="23" s="1"/>
  <c r="L269" i="23"/>
  <c r="N269" i="23" s="1"/>
  <c r="L270" i="23"/>
  <c r="N270" i="23" s="1"/>
  <c r="L271" i="23"/>
  <c r="N271" i="23" s="1"/>
  <c r="L272" i="23"/>
  <c r="N272" i="23" s="1"/>
  <c r="L273" i="23"/>
  <c r="N273" i="23" s="1"/>
  <c r="L274" i="23"/>
  <c r="N274" i="23" s="1"/>
  <c r="L275" i="23"/>
  <c r="N275" i="23" s="1"/>
  <c r="L276" i="23"/>
  <c r="N276" i="23" s="1"/>
  <c r="L277" i="23"/>
  <c r="N277" i="23" s="1"/>
  <c r="L278" i="23"/>
  <c r="N278" i="23" s="1"/>
  <c r="L279" i="23"/>
  <c r="N279" i="23" s="1"/>
  <c r="L280" i="23"/>
  <c r="N280" i="23" s="1"/>
  <c r="L281" i="23"/>
  <c r="N281" i="23" s="1"/>
  <c r="L282" i="23"/>
  <c r="N282" i="23" s="1"/>
  <c r="L283" i="23"/>
  <c r="N283" i="23" s="1"/>
  <c r="L284" i="23"/>
  <c r="N284" i="23" s="1"/>
  <c r="L285" i="23"/>
  <c r="N285" i="23" s="1"/>
  <c r="L286" i="23"/>
  <c r="N286" i="23" s="1"/>
  <c r="L287" i="23"/>
  <c r="N287" i="23" s="1"/>
  <c r="L288" i="23"/>
  <c r="N288" i="23" s="1"/>
  <c r="L289" i="23"/>
  <c r="N289" i="23" s="1"/>
  <c r="L290" i="23"/>
  <c r="N290" i="23" s="1"/>
  <c r="L291" i="23"/>
  <c r="N291" i="23" s="1"/>
  <c r="L292" i="23"/>
  <c r="N292" i="23" s="1"/>
  <c r="L293" i="23"/>
  <c r="N293" i="23" s="1"/>
  <c r="L294" i="23"/>
  <c r="N294" i="23" s="1"/>
  <c r="L295" i="23"/>
  <c r="N295" i="23" s="1"/>
  <c r="L296" i="23"/>
  <c r="N296" i="23" s="1"/>
  <c r="L297" i="23"/>
  <c r="N297" i="23" s="1"/>
  <c r="L298" i="23"/>
  <c r="N298" i="23" s="1"/>
  <c r="L299" i="23"/>
  <c r="N299" i="23" s="1"/>
  <c r="L300" i="23"/>
  <c r="N300" i="23" s="1"/>
  <c r="L301" i="23"/>
  <c r="N301" i="23" s="1"/>
  <c r="L302" i="23"/>
  <c r="N302" i="23" s="1"/>
  <c r="L303" i="23"/>
  <c r="N303" i="23" s="1"/>
  <c r="L304" i="23"/>
  <c r="N304" i="23" s="1"/>
  <c r="L305" i="23"/>
  <c r="N305" i="23" s="1"/>
  <c r="L306" i="23"/>
  <c r="N306" i="23" s="1"/>
  <c r="L307" i="23"/>
  <c r="N307" i="23" s="1"/>
  <c r="L308" i="23"/>
  <c r="N308" i="23" s="1"/>
  <c r="L309" i="23"/>
  <c r="N309" i="23" s="1"/>
  <c r="L310" i="23"/>
  <c r="N310" i="23" s="1"/>
  <c r="L311" i="23"/>
  <c r="N311" i="23" s="1"/>
  <c r="L312" i="23"/>
  <c r="N312" i="23" s="1"/>
  <c r="L313" i="23"/>
  <c r="N313" i="23" s="1"/>
  <c r="L314" i="23"/>
  <c r="L315" i="23"/>
  <c r="N315" i="23" s="1"/>
  <c r="L316" i="23"/>
  <c r="N316" i="23" s="1"/>
  <c r="L317" i="23"/>
  <c r="N317" i="23" s="1"/>
  <c r="L318" i="23"/>
  <c r="N318" i="23" s="1"/>
  <c r="L319" i="23"/>
  <c r="N319" i="23" s="1"/>
  <c r="L320" i="23"/>
  <c r="N320" i="23" s="1"/>
  <c r="L321" i="23"/>
  <c r="N321" i="23" s="1"/>
  <c r="L322" i="23"/>
  <c r="N322" i="23" s="1"/>
  <c r="L323" i="23"/>
  <c r="N323" i="23" s="1"/>
  <c r="L324" i="23"/>
  <c r="N324" i="23" s="1"/>
  <c r="L325" i="23"/>
  <c r="N325" i="23" s="1"/>
  <c r="L326" i="23"/>
  <c r="N326" i="23" s="1"/>
  <c r="L327" i="23"/>
  <c r="N327" i="23" s="1"/>
  <c r="L328" i="23"/>
  <c r="N328" i="23" s="1"/>
  <c r="L329" i="23"/>
  <c r="N329" i="23" s="1"/>
  <c r="L330" i="23"/>
  <c r="N330" i="23" s="1"/>
  <c r="L331" i="23"/>
  <c r="N331" i="23" s="1"/>
  <c r="L332" i="23"/>
  <c r="N332" i="23" s="1"/>
  <c r="L333" i="23"/>
  <c r="N333" i="23" s="1"/>
  <c r="L334" i="23"/>
  <c r="N334" i="23" s="1"/>
  <c r="L335" i="23"/>
  <c r="N335" i="23" s="1"/>
  <c r="L336" i="23"/>
  <c r="L337" i="23"/>
  <c r="N337" i="23" s="1"/>
  <c r="L338" i="23"/>
  <c r="N338" i="23" s="1"/>
  <c r="L339" i="23"/>
  <c r="N339" i="23" s="1"/>
  <c r="L340" i="23"/>
  <c r="N340" i="23" s="1"/>
  <c r="L341" i="23"/>
  <c r="N341" i="23" s="1"/>
  <c r="L342" i="23"/>
  <c r="N342" i="23" s="1"/>
  <c r="L343" i="23"/>
  <c r="N343" i="23" s="1"/>
  <c r="L344" i="23"/>
  <c r="N344" i="23" s="1"/>
  <c r="L345" i="23"/>
  <c r="N345" i="23" s="1"/>
  <c r="L346" i="23"/>
  <c r="N346" i="23" s="1"/>
  <c r="L347" i="23"/>
  <c r="N347" i="23" s="1"/>
  <c r="L348" i="23"/>
  <c r="N348" i="23" s="1"/>
  <c r="L349" i="23"/>
  <c r="N349" i="23" s="1"/>
  <c r="L350" i="23"/>
  <c r="N350" i="23" s="1"/>
  <c r="L351" i="23"/>
  <c r="N351" i="23" s="1"/>
  <c r="L352" i="23"/>
  <c r="N352" i="23" s="1"/>
  <c r="L353" i="23"/>
  <c r="N353" i="23" s="1"/>
  <c r="L354" i="23"/>
  <c r="N354" i="23" s="1"/>
  <c r="L355" i="23"/>
  <c r="N355" i="23" s="1"/>
  <c r="L356" i="23"/>
  <c r="N356" i="23" s="1"/>
  <c r="L357" i="23"/>
  <c r="N357" i="23" s="1"/>
  <c r="L358" i="23"/>
  <c r="N358" i="23" s="1"/>
  <c r="L359" i="23"/>
  <c r="N359" i="23" s="1"/>
  <c r="L360" i="23"/>
  <c r="N360" i="23" s="1"/>
  <c r="L361" i="23"/>
  <c r="N361" i="23" s="1"/>
  <c r="L362" i="23"/>
  <c r="N362" i="23" s="1"/>
  <c r="L363" i="23"/>
  <c r="N363" i="23" s="1"/>
  <c r="L364" i="23"/>
  <c r="N364" i="23" s="1"/>
  <c r="L365" i="23"/>
  <c r="N365" i="23" s="1"/>
  <c r="L366" i="23"/>
  <c r="N366" i="23" s="1"/>
  <c r="L367" i="23"/>
  <c r="N367" i="23" s="1"/>
  <c r="L368" i="23"/>
  <c r="N368" i="23" s="1"/>
  <c r="L369" i="23"/>
  <c r="N369" i="23" s="1"/>
  <c r="L370" i="23"/>
  <c r="N370" i="23" s="1"/>
  <c r="L371" i="23"/>
  <c r="N371" i="23" s="1"/>
  <c r="L372" i="23"/>
  <c r="N372" i="23" s="1"/>
  <c r="L373" i="23"/>
  <c r="N373" i="23" s="1"/>
  <c r="L374" i="23"/>
  <c r="N374" i="23" s="1"/>
  <c r="L375" i="23"/>
  <c r="N375" i="23" s="1"/>
  <c r="L376" i="23"/>
  <c r="N376" i="23" s="1"/>
  <c r="L377" i="23"/>
  <c r="N377" i="23" s="1"/>
  <c r="L378" i="23"/>
  <c r="L379" i="23"/>
  <c r="N379" i="23" s="1"/>
  <c r="L380" i="23"/>
  <c r="N380" i="23" s="1"/>
  <c r="L381" i="23"/>
  <c r="N381" i="23" s="1"/>
  <c r="L382" i="23"/>
  <c r="N382" i="23" s="1"/>
  <c r="L383" i="23"/>
  <c r="N383" i="23" s="1"/>
  <c r="L384" i="23"/>
  <c r="N384" i="23" s="1"/>
  <c r="L385" i="23"/>
  <c r="N385" i="23" s="1"/>
  <c r="L386" i="23"/>
  <c r="N386" i="23" s="1"/>
  <c r="L387" i="23"/>
  <c r="N387" i="23" s="1"/>
  <c r="L388" i="23"/>
  <c r="N388" i="23" s="1"/>
  <c r="L389" i="23"/>
  <c r="N389" i="23" s="1"/>
  <c r="L390" i="23"/>
  <c r="N390" i="23" s="1"/>
  <c r="L391" i="23"/>
  <c r="N391" i="23" s="1"/>
  <c r="L392" i="23"/>
  <c r="N392" i="23" s="1"/>
  <c r="L393" i="23"/>
  <c r="N393" i="23" s="1"/>
  <c r="L394" i="23"/>
  <c r="N394" i="23" s="1"/>
  <c r="L395" i="23"/>
  <c r="N395" i="23" s="1"/>
  <c r="L396" i="23"/>
  <c r="N396" i="23" s="1"/>
  <c r="L397" i="23"/>
  <c r="N397" i="23" s="1"/>
  <c r="L398" i="23"/>
  <c r="N398" i="23" s="1"/>
  <c r="L399" i="23"/>
  <c r="N399" i="23" s="1"/>
  <c r="L400" i="23"/>
  <c r="N400" i="23" s="1"/>
  <c r="L401" i="23"/>
  <c r="N401" i="23" s="1"/>
  <c r="L402" i="23"/>
  <c r="N402" i="23" s="1"/>
  <c r="L403" i="23"/>
  <c r="N403" i="23" s="1"/>
  <c r="L404" i="23"/>
  <c r="N404" i="23" s="1"/>
  <c r="L405" i="23"/>
  <c r="N405" i="23" s="1"/>
  <c r="L406" i="23"/>
  <c r="N406" i="23" s="1"/>
  <c r="L407" i="23"/>
  <c r="N407" i="23" s="1"/>
  <c r="L408" i="23"/>
  <c r="N408" i="23" s="1"/>
  <c r="L409" i="23"/>
  <c r="N409" i="23" s="1"/>
  <c r="L410" i="23"/>
  <c r="N410" i="23" s="1"/>
  <c r="L411" i="23"/>
  <c r="N411" i="23" s="1"/>
  <c r="L412" i="23"/>
  <c r="N412" i="23" s="1"/>
  <c r="L413" i="23"/>
  <c r="N413" i="23" s="1"/>
  <c r="L414" i="23"/>
  <c r="N414" i="23" s="1"/>
  <c r="L415" i="23"/>
  <c r="N415" i="23" s="1"/>
  <c r="L416" i="23"/>
  <c r="N416" i="23" s="1"/>
  <c r="L417" i="23"/>
  <c r="N417" i="23" s="1"/>
  <c r="L418" i="23"/>
  <c r="N418" i="23" s="1"/>
  <c r="L419" i="23"/>
  <c r="N419" i="23" s="1"/>
  <c r="L420" i="23"/>
  <c r="L421" i="23"/>
  <c r="N421" i="23" s="1"/>
  <c r="L422" i="23"/>
  <c r="N422" i="23" s="1"/>
  <c r="L423" i="23"/>
  <c r="N423" i="23" s="1"/>
  <c r="L424" i="23"/>
  <c r="N424" i="23" s="1"/>
  <c r="L425" i="23"/>
  <c r="N425" i="23" s="1"/>
  <c r="L426" i="23"/>
  <c r="N426" i="23" s="1"/>
  <c r="L427" i="23"/>
  <c r="N427" i="23" s="1"/>
  <c r="L428" i="23"/>
  <c r="N428" i="23" s="1"/>
  <c r="L429" i="23"/>
  <c r="N429" i="23" s="1"/>
  <c r="L430" i="23"/>
  <c r="N430" i="23" s="1"/>
  <c r="L431" i="23"/>
  <c r="N431" i="23" s="1"/>
  <c r="L432" i="23"/>
  <c r="N432" i="23" s="1"/>
  <c r="L433" i="23"/>
  <c r="N433" i="23" s="1"/>
  <c r="L434" i="23"/>
  <c r="N434" i="23" s="1"/>
  <c r="L435" i="23"/>
  <c r="N435" i="23" s="1"/>
  <c r="L436" i="23"/>
  <c r="N436" i="23" s="1"/>
  <c r="L437" i="23"/>
  <c r="N437" i="23" s="1"/>
  <c r="L438" i="23"/>
  <c r="N438" i="23" s="1"/>
  <c r="L439" i="23"/>
  <c r="N439" i="23" s="1"/>
  <c r="L440" i="23"/>
  <c r="N440" i="23" s="1"/>
  <c r="L441" i="23"/>
  <c r="N441" i="23" s="1"/>
  <c r="L442" i="23"/>
  <c r="N442" i="23" s="1"/>
  <c r="L443" i="23"/>
  <c r="N443" i="23" s="1"/>
  <c r="L444" i="23"/>
  <c r="N444" i="23" s="1"/>
  <c r="L445" i="23"/>
  <c r="N445" i="23" s="1"/>
  <c r="L446" i="23"/>
  <c r="N446" i="23" s="1"/>
  <c r="L447" i="23"/>
  <c r="N447" i="23" s="1"/>
  <c r="L448" i="23"/>
  <c r="N448" i="23" s="1"/>
  <c r="L449" i="23"/>
  <c r="N449" i="23" s="1"/>
  <c r="L450" i="23"/>
  <c r="N450" i="23" s="1"/>
  <c r="L451" i="23"/>
  <c r="N451" i="23" s="1"/>
  <c r="L452" i="23"/>
  <c r="N452" i="23" s="1"/>
  <c r="L453" i="23"/>
  <c r="N453" i="23" s="1"/>
  <c r="L454" i="23"/>
  <c r="N454" i="23" s="1"/>
  <c r="L455" i="23"/>
  <c r="N455" i="23" s="1"/>
  <c r="L456" i="23"/>
  <c r="N456" i="23" s="1"/>
  <c r="L457" i="23"/>
  <c r="N457" i="23" s="1"/>
  <c r="L458" i="23"/>
  <c r="N458" i="23" s="1"/>
  <c r="L459" i="23"/>
  <c r="N459" i="23" s="1"/>
  <c r="L460" i="23"/>
  <c r="N460" i="23" s="1"/>
  <c r="L461" i="23"/>
  <c r="N461" i="23" s="1"/>
  <c r="L462" i="23"/>
  <c r="N462" i="23" s="1"/>
  <c r="L463" i="23"/>
  <c r="N463" i="23" s="1"/>
  <c r="L464" i="23"/>
  <c r="N464" i="23" s="1"/>
  <c r="L465" i="23"/>
  <c r="N465" i="23" s="1"/>
  <c r="L466" i="23"/>
  <c r="N466" i="23" s="1"/>
  <c r="L467" i="23"/>
  <c r="N467" i="23" s="1"/>
  <c r="L468" i="23"/>
  <c r="N468" i="23" s="1"/>
  <c r="L469" i="23"/>
  <c r="N469" i="23" s="1"/>
  <c r="L470" i="23"/>
  <c r="N470" i="23" s="1"/>
  <c r="L471" i="23"/>
  <c r="N471" i="23" s="1"/>
  <c r="L472" i="23"/>
  <c r="N472" i="23" s="1"/>
  <c r="L473" i="23"/>
  <c r="N473" i="23" s="1"/>
  <c r="L474" i="23"/>
  <c r="N474" i="23" s="1"/>
  <c r="L475" i="23"/>
  <c r="N475" i="23" s="1"/>
  <c r="L476" i="23"/>
  <c r="N476" i="23" s="1"/>
  <c r="L477" i="23"/>
  <c r="N477" i="23" s="1"/>
  <c r="L478" i="23"/>
  <c r="N478" i="23" s="1"/>
  <c r="L479" i="23"/>
  <c r="N479" i="23" s="1"/>
  <c r="L480" i="23"/>
  <c r="N480" i="23" s="1"/>
  <c r="L481" i="23"/>
  <c r="N481" i="23" s="1"/>
  <c r="L482" i="23"/>
  <c r="N482" i="23" s="1"/>
  <c r="L483" i="23"/>
  <c r="N483" i="23" s="1"/>
  <c r="L484" i="23"/>
  <c r="N484" i="23" s="1"/>
  <c r="L485" i="23"/>
  <c r="N485" i="23" s="1"/>
  <c r="L486" i="23"/>
  <c r="N486" i="23" s="1"/>
  <c r="L487" i="23"/>
  <c r="N487" i="23" s="1"/>
  <c r="L488" i="23"/>
  <c r="N488" i="23" s="1"/>
  <c r="L489" i="23"/>
  <c r="N489" i="23" s="1"/>
  <c r="L490" i="23"/>
  <c r="L491" i="23"/>
  <c r="N491" i="23" s="1"/>
  <c r="L492" i="23"/>
  <c r="N492" i="23" s="1"/>
  <c r="L493" i="23"/>
  <c r="L494" i="23"/>
  <c r="N494" i="23" s="1"/>
  <c r="L495" i="23"/>
  <c r="N495" i="23" s="1"/>
  <c r="L496" i="23"/>
  <c r="N496" i="23" s="1"/>
  <c r="L497" i="23"/>
  <c r="N497" i="23" s="1"/>
  <c r="L498" i="23"/>
  <c r="N498" i="23" s="1"/>
  <c r="L499" i="23"/>
  <c r="N499" i="23" s="1"/>
  <c r="L500" i="23"/>
  <c r="N500" i="23" s="1"/>
  <c r="L501" i="23"/>
  <c r="N501" i="23" s="1"/>
  <c r="L502" i="23"/>
  <c r="N502" i="23" s="1"/>
  <c r="L503" i="23"/>
  <c r="N503" i="23" s="1"/>
  <c r="L504" i="23"/>
  <c r="N504" i="23" s="1"/>
  <c r="L505" i="23"/>
  <c r="N505" i="23" s="1"/>
  <c r="L506" i="23"/>
  <c r="N506" i="23" s="1"/>
  <c r="L507" i="23"/>
  <c r="N507" i="23" s="1"/>
  <c r="L508" i="23"/>
  <c r="N508" i="23" s="1"/>
  <c r="L509" i="23"/>
  <c r="N509" i="23" s="1"/>
  <c r="L510" i="23"/>
  <c r="N510" i="23" s="1"/>
  <c r="L511" i="23"/>
  <c r="N511" i="23" s="1"/>
  <c r="L512" i="23"/>
  <c r="N512" i="23" s="1"/>
  <c r="L513" i="23"/>
  <c r="N513" i="23" s="1"/>
  <c r="L514" i="23"/>
  <c r="N514" i="23" s="1"/>
  <c r="L515" i="23"/>
  <c r="N515" i="23" s="1"/>
  <c r="L516" i="23"/>
  <c r="N516" i="23" s="1"/>
  <c r="L517" i="23"/>
  <c r="N517" i="23" s="1"/>
  <c r="L518" i="23"/>
  <c r="L519" i="23"/>
  <c r="N519" i="23" s="1"/>
  <c r="L520" i="23"/>
  <c r="N520" i="23" s="1"/>
  <c r="L521" i="23"/>
  <c r="N521" i="23" s="1"/>
  <c r="L522" i="23"/>
  <c r="N522" i="23" s="1"/>
  <c r="L523" i="23"/>
  <c r="N523" i="23" s="1"/>
  <c r="L524" i="23"/>
  <c r="N524" i="23" s="1"/>
  <c r="L525" i="23"/>
  <c r="N525" i="23" s="1"/>
  <c r="L526" i="23"/>
  <c r="N526" i="23" s="1"/>
  <c r="L527" i="23"/>
  <c r="N527" i="23" s="1"/>
  <c r="L528" i="23"/>
  <c r="N528" i="23" s="1"/>
  <c r="L529" i="23"/>
  <c r="N529" i="23" s="1"/>
  <c r="L530" i="23"/>
  <c r="N530" i="23" s="1"/>
  <c r="L531" i="23"/>
  <c r="N531" i="23" s="1"/>
  <c r="L532" i="23"/>
  <c r="N532" i="23" s="1"/>
  <c r="L533" i="23"/>
  <c r="N533" i="23" s="1"/>
  <c r="L534" i="23"/>
  <c r="N534" i="23" s="1"/>
  <c r="L535" i="23"/>
  <c r="L536" i="23"/>
  <c r="N536" i="23" s="1"/>
  <c r="L537" i="23"/>
  <c r="N537" i="23" s="1"/>
  <c r="L538" i="23"/>
  <c r="N538" i="23" s="1"/>
  <c r="L539" i="23"/>
  <c r="N539" i="23" s="1"/>
  <c r="L540" i="23"/>
  <c r="N540" i="23" s="1"/>
  <c r="L541" i="23"/>
  <c r="N541" i="23" s="1"/>
  <c r="L542" i="23"/>
  <c r="N542" i="23" s="1"/>
  <c r="L543" i="23"/>
  <c r="N543" i="23" s="1"/>
  <c r="L544" i="23"/>
  <c r="N544" i="23" s="1"/>
  <c r="L545" i="23"/>
  <c r="N545" i="23" s="1"/>
  <c r="L546" i="23"/>
  <c r="N546" i="23" s="1"/>
  <c r="L547" i="23"/>
  <c r="N547" i="23" s="1"/>
  <c r="L548" i="23"/>
  <c r="N548" i="23" s="1"/>
  <c r="L549" i="23"/>
  <c r="N549" i="23" s="1"/>
  <c r="L550" i="23"/>
  <c r="N550" i="23" s="1"/>
  <c r="L551" i="23"/>
  <c r="N551" i="23" s="1"/>
  <c r="L552" i="23"/>
  <c r="N552" i="23" s="1"/>
  <c r="L553" i="23"/>
  <c r="N553" i="23" s="1"/>
  <c r="L554" i="23"/>
  <c r="N554" i="23" s="1"/>
  <c r="L555" i="23"/>
  <c r="N555" i="23" s="1"/>
  <c r="L556" i="23"/>
  <c r="N556" i="23" s="1"/>
  <c r="L557" i="23"/>
  <c r="N557" i="23" s="1"/>
  <c r="L558" i="23"/>
  <c r="N558" i="23" s="1"/>
  <c r="L559" i="23"/>
  <c r="N559" i="23" s="1"/>
  <c r="L560" i="23"/>
  <c r="L561" i="23"/>
  <c r="N561" i="23" s="1"/>
  <c r="L562" i="23"/>
  <c r="N562" i="23" s="1"/>
  <c r="L563" i="23"/>
  <c r="N563" i="23" s="1"/>
  <c r="L564" i="23"/>
  <c r="N564" i="23" s="1"/>
  <c r="L565" i="23"/>
  <c r="N565" i="23" s="1"/>
  <c r="L566" i="23"/>
  <c r="N566" i="23" s="1"/>
  <c r="L567" i="23"/>
  <c r="N567" i="23" s="1"/>
  <c r="L568" i="23"/>
  <c r="N568" i="23" s="1"/>
  <c r="L569" i="23"/>
  <c r="L570" i="23"/>
  <c r="N570" i="23" s="1"/>
  <c r="L571" i="23"/>
  <c r="N571" i="23" s="1"/>
  <c r="L572" i="23"/>
  <c r="N572" i="23" s="1"/>
  <c r="L573" i="23"/>
  <c r="N573" i="23" s="1"/>
  <c r="L574" i="23"/>
  <c r="N574" i="23" s="1"/>
  <c r="L575" i="23"/>
  <c r="N575" i="23" s="1"/>
  <c r="L576" i="23"/>
  <c r="N576" i="23" s="1"/>
  <c r="L577" i="23"/>
  <c r="N577" i="23" s="1"/>
  <c r="L578" i="23"/>
  <c r="N578" i="23" s="1"/>
  <c r="L579" i="23"/>
  <c r="N579" i="23" s="1"/>
  <c r="L580" i="23"/>
  <c r="N580" i="23" s="1"/>
  <c r="L581" i="23"/>
  <c r="N581" i="23" s="1"/>
  <c r="L582" i="23"/>
  <c r="N582" i="23" s="1"/>
  <c r="L583" i="23"/>
  <c r="N583" i="23" s="1"/>
  <c r="L584" i="23"/>
  <c r="N584" i="23" s="1"/>
  <c r="L585" i="23"/>
  <c r="N585" i="23" s="1"/>
  <c r="L586" i="23"/>
  <c r="N586" i="23" s="1"/>
  <c r="L587" i="23"/>
  <c r="N587" i="23" s="1"/>
  <c r="L588" i="23"/>
  <c r="N588" i="23" s="1"/>
  <c r="L589" i="23"/>
  <c r="N589" i="23" s="1"/>
  <c r="L590" i="23"/>
  <c r="N590" i="23" s="1"/>
  <c r="L591" i="23"/>
  <c r="N591" i="23" s="1"/>
  <c r="L592" i="23"/>
  <c r="N592" i="23" s="1"/>
  <c r="L593" i="23"/>
  <c r="N593" i="23" s="1"/>
  <c r="L594" i="23"/>
  <c r="N594" i="23" s="1"/>
  <c r="L595" i="23"/>
  <c r="N595" i="23" s="1"/>
  <c r="L596" i="23"/>
  <c r="N596" i="23" s="1"/>
  <c r="L597" i="23"/>
  <c r="N597" i="23" s="1"/>
  <c r="L598" i="23"/>
  <c r="N598" i="23" s="1"/>
  <c r="L599" i="23"/>
  <c r="N599" i="23" s="1"/>
  <c r="L600" i="23"/>
  <c r="N600" i="23" s="1"/>
  <c r="L601" i="23"/>
  <c r="N601" i="23" s="1"/>
  <c r="L602" i="23"/>
  <c r="N602" i="23" s="1"/>
  <c r="L603" i="23"/>
  <c r="N603" i="23" s="1"/>
  <c r="L604" i="23"/>
  <c r="N604" i="23" s="1"/>
  <c r="L605" i="23"/>
  <c r="N605" i="23" s="1"/>
  <c r="L606" i="23"/>
  <c r="N606" i="23" s="1"/>
  <c r="L607" i="23"/>
  <c r="N607" i="23" s="1"/>
  <c r="L608" i="23"/>
  <c r="N608" i="23" s="1"/>
  <c r="L609" i="23"/>
  <c r="N609" i="23" s="1"/>
  <c r="L610" i="23"/>
  <c r="N610" i="23" s="1"/>
  <c r="L611" i="23"/>
  <c r="N611" i="23" s="1"/>
  <c r="L612" i="23"/>
  <c r="N612" i="23" s="1"/>
  <c r="L613" i="23"/>
  <c r="N613" i="23" s="1"/>
  <c r="L614" i="23"/>
  <c r="N614" i="23" s="1"/>
  <c r="L615" i="23"/>
  <c r="N615" i="23" s="1"/>
  <c r="L616" i="23"/>
  <c r="N616" i="23" s="1"/>
  <c r="L617" i="23"/>
  <c r="N617" i="23" s="1"/>
  <c r="L618" i="23"/>
  <c r="N618" i="23" s="1"/>
  <c r="L619" i="23"/>
  <c r="N619" i="23" s="1"/>
  <c r="L620" i="23"/>
  <c r="N620" i="23" s="1"/>
  <c r="L621" i="23"/>
  <c r="N621" i="23" s="1"/>
  <c r="L622" i="23"/>
  <c r="N622" i="23" s="1"/>
  <c r="L623" i="23"/>
  <c r="N623" i="23" s="1"/>
  <c r="L624" i="23"/>
  <c r="N624" i="23" s="1"/>
  <c r="L625" i="23"/>
  <c r="N625" i="23" s="1"/>
  <c r="L626" i="23"/>
  <c r="N626" i="23" s="1"/>
  <c r="L627" i="23"/>
  <c r="N627" i="23" s="1"/>
  <c r="L628" i="23"/>
  <c r="N628" i="23" s="1"/>
  <c r="L629" i="23"/>
  <c r="N629" i="23" s="1"/>
  <c r="L630" i="23"/>
  <c r="N630" i="23" s="1"/>
  <c r="L631" i="23"/>
  <c r="N631" i="23" s="1"/>
  <c r="L632" i="23"/>
  <c r="N632" i="23" s="1"/>
  <c r="L633" i="23"/>
  <c r="N633" i="23" s="1"/>
  <c r="L634" i="23"/>
  <c r="N634" i="23" s="1"/>
  <c r="L635" i="23"/>
  <c r="N635" i="23" s="1"/>
  <c r="L636" i="23"/>
  <c r="N636" i="23" s="1"/>
  <c r="L637" i="23"/>
  <c r="N637" i="23" s="1"/>
  <c r="L638" i="23"/>
  <c r="N638" i="23" s="1"/>
  <c r="L639" i="23"/>
  <c r="N639" i="23" s="1"/>
  <c r="L640" i="23"/>
  <c r="N640" i="23" s="1"/>
  <c r="L641" i="23"/>
  <c r="N641" i="23" s="1"/>
  <c r="L642" i="23"/>
  <c r="N642" i="23" s="1"/>
  <c r="L643" i="23"/>
  <c r="N643" i="23" s="1"/>
  <c r="L644" i="23"/>
  <c r="N644" i="23" s="1"/>
  <c r="L645" i="23"/>
  <c r="N645" i="23" s="1"/>
  <c r="L646" i="23"/>
  <c r="N646" i="23" s="1"/>
  <c r="L647" i="23"/>
  <c r="N647" i="23" s="1"/>
  <c r="L648" i="23"/>
  <c r="N648" i="23" s="1"/>
  <c r="L649" i="23"/>
  <c r="N649" i="23" s="1"/>
  <c r="L650" i="23"/>
  <c r="N650" i="23" s="1"/>
  <c r="L651" i="23"/>
  <c r="N651" i="23" s="1"/>
  <c r="L652" i="23"/>
  <c r="N652" i="23" s="1"/>
  <c r="L653" i="23"/>
  <c r="N653" i="23" s="1"/>
  <c r="L654" i="23"/>
  <c r="N654" i="23" s="1"/>
  <c r="L655" i="23"/>
  <c r="N655" i="23" s="1"/>
  <c r="L656" i="23"/>
  <c r="N656" i="23" s="1"/>
  <c r="L657" i="23"/>
  <c r="N657" i="23" s="1"/>
  <c r="L658" i="23"/>
  <c r="N658" i="23" s="1"/>
  <c r="L659" i="23"/>
  <c r="N659" i="23" s="1"/>
  <c r="L660" i="23"/>
  <c r="N660" i="23" s="1"/>
  <c r="L661" i="23"/>
  <c r="N661" i="23" s="1"/>
  <c r="L662" i="23"/>
  <c r="N662" i="23" s="1"/>
  <c r="L663" i="23"/>
  <c r="N663" i="23" s="1"/>
  <c r="L664" i="23"/>
  <c r="N664" i="23" s="1"/>
  <c r="L665" i="23"/>
  <c r="N665" i="23" s="1"/>
  <c r="L666" i="23"/>
  <c r="N666" i="23" s="1"/>
  <c r="L667" i="23"/>
  <c r="N667" i="23" s="1"/>
  <c r="L668" i="23"/>
  <c r="N668" i="23" s="1"/>
  <c r="L669" i="23"/>
  <c r="N669" i="23" s="1"/>
  <c r="L670" i="23"/>
  <c r="N670" i="23" s="1"/>
  <c r="L671" i="23"/>
  <c r="N671" i="23" s="1"/>
  <c r="L672" i="23"/>
  <c r="N672" i="23" s="1"/>
  <c r="L673" i="23"/>
  <c r="N673" i="23" s="1"/>
  <c r="L674" i="23"/>
  <c r="N674" i="23" s="1"/>
  <c r="L675" i="23"/>
  <c r="N675" i="23" s="1"/>
  <c r="L676" i="23"/>
  <c r="N676" i="23" s="1"/>
  <c r="L677" i="23"/>
  <c r="N677" i="23" s="1"/>
  <c r="L678" i="23"/>
  <c r="N678" i="23" s="1"/>
  <c r="L679" i="23"/>
  <c r="N679" i="23" s="1"/>
  <c r="L680" i="23"/>
  <c r="N680" i="23" s="1"/>
  <c r="L681" i="23"/>
  <c r="N681" i="23" s="1"/>
  <c r="L682" i="23"/>
  <c r="N682" i="23" s="1"/>
  <c r="L683" i="23"/>
  <c r="N683" i="23" s="1"/>
  <c r="L684" i="23"/>
  <c r="N684" i="23" s="1"/>
  <c r="L685" i="23"/>
  <c r="N685" i="23" s="1"/>
  <c r="L686" i="23"/>
  <c r="N686" i="23" s="1"/>
  <c r="L687" i="23"/>
  <c r="N687" i="23" s="1"/>
  <c r="L688" i="23"/>
  <c r="N688" i="23" s="1"/>
  <c r="L689" i="23"/>
  <c r="N689" i="23" s="1"/>
  <c r="L690" i="23"/>
  <c r="N690" i="23" s="1"/>
  <c r="L691" i="23"/>
  <c r="N691" i="23" s="1"/>
  <c r="L692" i="23"/>
  <c r="N692" i="23" s="1"/>
  <c r="L693" i="23"/>
  <c r="N693" i="23" s="1"/>
  <c r="L694" i="23"/>
  <c r="N694" i="23" s="1"/>
  <c r="L695" i="23"/>
  <c r="N695" i="23" s="1"/>
  <c r="L696" i="23"/>
  <c r="N696" i="23" s="1"/>
  <c r="L697" i="23"/>
  <c r="N697" i="23" s="1"/>
  <c r="L698" i="23"/>
  <c r="N698" i="23" s="1"/>
  <c r="L699" i="23"/>
  <c r="N699" i="23" s="1"/>
  <c r="L700" i="23"/>
  <c r="N700" i="23" s="1"/>
  <c r="L701" i="23"/>
  <c r="N701" i="23" s="1"/>
  <c r="L702" i="23"/>
  <c r="N702" i="23" s="1"/>
  <c r="L703" i="23"/>
  <c r="N703" i="23" s="1"/>
  <c r="L704" i="23"/>
  <c r="N704" i="23" s="1"/>
  <c r="L705" i="23"/>
  <c r="N705" i="23" s="1"/>
  <c r="L706" i="23"/>
  <c r="N706" i="23" s="1"/>
  <c r="L707" i="23"/>
  <c r="N707" i="23" s="1"/>
  <c r="L708" i="23"/>
  <c r="N708" i="23" s="1"/>
  <c r="L709" i="23"/>
  <c r="N709" i="23" s="1"/>
  <c r="L710" i="23"/>
  <c r="N710" i="23" s="1"/>
  <c r="L711" i="23"/>
  <c r="N711" i="23" s="1"/>
  <c r="L712" i="23"/>
  <c r="N712" i="23" s="1"/>
  <c r="L713" i="23"/>
  <c r="N713" i="23" s="1"/>
  <c r="L714" i="23"/>
  <c r="N714" i="23" s="1"/>
  <c r="L715" i="23"/>
  <c r="N715" i="23" s="1"/>
  <c r="L716" i="23"/>
  <c r="N716" i="23" s="1"/>
  <c r="L717" i="23"/>
  <c r="N717" i="23" s="1"/>
  <c r="L718" i="23"/>
  <c r="N718" i="23" s="1"/>
  <c r="L719" i="23"/>
  <c r="N719" i="23" s="1"/>
  <c r="L720" i="23"/>
  <c r="N720" i="23" s="1"/>
  <c r="L721" i="23"/>
  <c r="N721" i="23" s="1"/>
  <c r="L722" i="23"/>
  <c r="N722" i="23" s="1"/>
  <c r="L723" i="23"/>
  <c r="N723" i="23" s="1"/>
  <c r="L724" i="23"/>
  <c r="N724" i="23" s="1"/>
  <c r="L725" i="23"/>
  <c r="N725" i="23" s="1"/>
  <c r="L726" i="23"/>
  <c r="N726" i="23" s="1"/>
  <c r="L727" i="23"/>
  <c r="N727" i="23" s="1"/>
  <c r="L728" i="23"/>
  <c r="N728" i="23" s="1"/>
  <c r="L729" i="23"/>
  <c r="N729" i="23" s="1"/>
  <c r="L730" i="23"/>
  <c r="N730" i="23" s="1"/>
  <c r="L731" i="23"/>
  <c r="N731" i="23" s="1"/>
  <c r="L732" i="23"/>
  <c r="N732" i="23" s="1"/>
  <c r="L733" i="23"/>
  <c r="N733" i="23" s="1"/>
  <c r="L734" i="23"/>
  <c r="N734" i="23" s="1"/>
  <c r="L735" i="23"/>
  <c r="N735" i="23" s="1"/>
  <c r="L736" i="23"/>
  <c r="N736" i="23" s="1"/>
  <c r="L737" i="23"/>
  <c r="N737" i="23" s="1"/>
  <c r="L738" i="23"/>
  <c r="N738" i="23" s="1"/>
  <c r="L739" i="23"/>
  <c r="N739" i="23" s="1"/>
  <c r="L740" i="23"/>
  <c r="N740" i="23" s="1"/>
  <c r="L741" i="23"/>
  <c r="N741" i="23" s="1"/>
  <c r="L742" i="23"/>
  <c r="N742" i="23" s="1"/>
  <c r="L743" i="23"/>
  <c r="N743" i="23" s="1"/>
  <c r="L744" i="23"/>
  <c r="N744" i="23" s="1"/>
  <c r="L745" i="23"/>
  <c r="N745" i="23" s="1"/>
  <c r="L746" i="23"/>
  <c r="N746" i="23" s="1"/>
  <c r="L747" i="23"/>
  <c r="N747" i="23" s="1"/>
  <c r="L748" i="23"/>
  <c r="N748" i="23" s="1"/>
  <c r="L749" i="23"/>
  <c r="N749" i="23" s="1"/>
  <c r="L750" i="23"/>
  <c r="N750" i="23" s="1"/>
  <c r="L751" i="23"/>
  <c r="N751" i="23" s="1"/>
  <c r="L752" i="23"/>
  <c r="N752" i="23" s="1"/>
  <c r="L753" i="23"/>
  <c r="N753" i="23" s="1"/>
  <c r="L754" i="23"/>
  <c r="N754" i="23" s="1"/>
  <c r="L755" i="23"/>
  <c r="N755" i="23" s="1"/>
  <c r="L756" i="23"/>
  <c r="N756" i="23" s="1"/>
  <c r="L757" i="23"/>
  <c r="N757" i="23" s="1"/>
  <c r="L758" i="23"/>
  <c r="N758" i="23" s="1"/>
  <c r="L759" i="23"/>
  <c r="N759" i="23" s="1"/>
  <c r="L760" i="23"/>
  <c r="N760" i="23" s="1"/>
  <c r="L761" i="23"/>
  <c r="N761" i="23" s="1"/>
  <c r="L762" i="23"/>
  <c r="N762" i="23" s="1"/>
  <c r="L763" i="23"/>
  <c r="N763" i="23" s="1"/>
  <c r="L764" i="23"/>
  <c r="N764" i="23" s="1"/>
  <c r="L765" i="23"/>
  <c r="N765" i="23" s="1"/>
  <c r="L766" i="23"/>
  <c r="N766" i="23" s="1"/>
  <c r="L767" i="23"/>
  <c r="N767" i="23" s="1"/>
  <c r="L768" i="23"/>
  <c r="N768" i="23" s="1"/>
  <c r="L769" i="23"/>
  <c r="N769" i="23" s="1"/>
  <c r="L770" i="23"/>
  <c r="N770" i="23" s="1"/>
  <c r="L771" i="23"/>
  <c r="N771" i="23" s="1"/>
  <c r="L772" i="23"/>
  <c r="N772" i="23" s="1"/>
  <c r="L773" i="23"/>
  <c r="N773" i="23" s="1"/>
  <c r="L774" i="23"/>
  <c r="N774" i="23" s="1"/>
  <c r="L775" i="23"/>
  <c r="N775" i="23" s="1"/>
  <c r="L776" i="23"/>
  <c r="N776" i="23" s="1"/>
  <c r="L777" i="23"/>
  <c r="N777" i="23" s="1"/>
  <c r="L778" i="23"/>
  <c r="N778" i="23" s="1"/>
  <c r="L779" i="23"/>
  <c r="N779" i="23" s="1"/>
  <c r="L780" i="23"/>
  <c r="N780" i="23" s="1"/>
  <c r="L781" i="23"/>
  <c r="N781" i="23" s="1"/>
  <c r="L782" i="23"/>
  <c r="N782" i="23" s="1"/>
  <c r="L783" i="23"/>
  <c r="N783" i="23" s="1"/>
  <c r="L784" i="23"/>
  <c r="N784" i="23" s="1"/>
  <c r="L785" i="23"/>
  <c r="N785" i="23" s="1"/>
  <c r="L786" i="23"/>
  <c r="N786" i="23" s="1"/>
  <c r="L787" i="23"/>
  <c r="N787" i="23" s="1"/>
  <c r="L788" i="23"/>
  <c r="N788" i="23" s="1"/>
  <c r="L789" i="23"/>
  <c r="N789" i="23" s="1"/>
  <c r="L790" i="23"/>
  <c r="N790" i="23" s="1"/>
  <c r="L791" i="23"/>
  <c r="N791" i="23" s="1"/>
  <c r="L792" i="23"/>
  <c r="N792" i="23" s="1"/>
  <c r="L793" i="23"/>
  <c r="N793" i="23" s="1"/>
  <c r="L794" i="23"/>
  <c r="N794" i="23" s="1"/>
  <c r="L795" i="23"/>
  <c r="N795" i="23" s="1"/>
  <c r="L796" i="23"/>
  <c r="N796" i="23" s="1"/>
  <c r="L797" i="23"/>
  <c r="N797" i="23" s="1"/>
  <c r="L798" i="23"/>
  <c r="N798" i="23" s="1"/>
  <c r="L799" i="23"/>
  <c r="N799" i="23" s="1"/>
  <c r="L800" i="23"/>
  <c r="N800" i="23" s="1"/>
  <c r="L801" i="23"/>
  <c r="N801" i="23" s="1"/>
  <c r="L802" i="23"/>
  <c r="N802" i="23" s="1"/>
  <c r="L803" i="23"/>
  <c r="N803" i="23" s="1"/>
  <c r="L804" i="23"/>
  <c r="N804" i="23" s="1"/>
  <c r="L805" i="23"/>
  <c r="N805" i="23" s="1"/>
  <c r="L806" i="23"/>
  <c r="N806" i="23" s="1"/>
  <c r="L807" i="23"/>
  <c r="N807" i="23" s="1"/>
  <c r="L808" i="23"/>
  <c r="N808" i="23" s="1"/>
  <c r="L809" i="23"/>
  <c r="N809" i="23" s="1"/>
  <c r="L810" i="23"/>
  <c r="N810" i="23" s="1"/>
  <c r="L811" i="23"/>
  <c r="N811" i="23" s="1"/>
  <c r="L812" i="23"/>
  <c r="N812" i="23" s="1"/>
  <c r="L813" i="23"/>
  <c r="N813" i="23" s="1"/>
  <c r="L814" i="23"/>
  <c r="N814" i="23" s="1"/>
  <c r="L815" i="23"/>
  <c r="N815" i="23" s="1"/>
  <c r="L816" i="23"/>
  <c r="N816" i="23" s="1"/>
  <c r="L817" i="23"/>
  <c r="N817" i="23" s="1"/>
  <c r="L818" i="23"/>
  <c r="N818" i="23" s="1"/>
  <c r="L819" i="23"/>
  <c r="N819" i="23" s="1"/>
  <c r="L820" i="23"/>
  <c r="N820" i="23" s="1"/>
  <c r="L821" i="23"/>
  <c r="N821" i="23" s="1"/>
  <c r="L822" i="23"/>
  <c r="N822" i="23" s="1"/>
  <c r="L823" i="23"/>
  <c r="N823" i="23" s="1"/>
  <c r="L824" i="23"/>
  <c r="N824" i="23" s="1"/>
  <c r="L825" i="23"/>
  <c r="N825" i="23" s="1"/>
  <c r="L826" i="23"/>
  <c r="N826" i="23" s="1"/>
  <c r="L827" i="23"/>
  <c r="N827" i="23" s="1"/>
  <c r="L828" i="23"/>
  <c r="N828" i="23" s="1"/>
  <c r="L829" i="23"/>
  <c r="N829" i="23" s="1"/>
  <c r="L830" i="23"/>
  <c r="N830" i="23" s="1"/>
  <c r="L831" i="23"/>
  <c r="N831" i="23" s="1"/>
  <c r="L832" i="23"/>
  <c r="L833" i="23"/>
  <c r="N833" i="23" s="1"/>
  <c r="L834" i="23"/>
  <c r="N834" i="23" s="1"/>
  <c r="L835" i="23"/>
  <c r="N835" i="23" s="1"/>
  <c r="L836" i="23"/>
  <c r="N836" i="23" s="1"/>
  <c r="L837" i="23"/>
  <c r="N837" i="23" s="1"/>
  <c r="L838" i="23"/>
  <c r="N838" i="23" s="1"/>
  <c r="L839" i="23"/>
  <c r="N839" i="23" s="1"/>
  <c r="L840" i="23"/>
  <c r="N840" i="23" s="1"/>
  <c r="L841" i="23"/>
  <c r="N841" i="23" s="1"/>
  <c r="L842" i="23"/>
  <c r="N842" i="23" s="1"/>
  <c r="L843" i="23"/>
  <c r="N843" i="23" s="1"/>
  <c r="L844" i="23"/>
  <c r="N844" i="23" s="1"/>
  <c r="L845" i="23"/>
  <c r="N845" i="23" s="1"/>
  <c r="L846" i="23"/>
  <c r="N846" i="23" s="1"/>
  <c r="L847" i="23"/>
  <c r="N847" i="23" s="1"/>
  <c r="L848" i="23"/>
  <c r="N848" i="23" s="1"/>
  <c r="L849" i="23"/>
  <c r="N849" i="23" s="1"/>
  <c r="L850" i="23"/>
  <c r="N850" i="23" s="1"/>
  <c r="L851" i="23"/>
  <c r="N851" i="23" s="1"/>
  <c r="L852" i="23"/>
  <c r="N852" i="23" s="1"/>
  <c r="L853" i="23"/>
  <c r="N853" i="23" s="1"/>
  <c r="L854" i="23"/>
  <c r="N854" i="23" s="1"/>
  <c r="L855" i="23"/>
  <c r="N855" i="23" s="1"/>
  <c r="L856" i="23"/>
  <c r="N856" i="23" s="1"/>
  <c r="L857" i="23"/>
  <c r="N857" i="23" s="1"/>
  <c r="L858" i="23"/>
  <c r="N858" i="23" s="1"/>
  <c r="L859" i="23"/>
  <c r="N859" i="23" s="1"/>
  <c r="L860" i="23"/>
  <c r="L861" i="23"/>
  <c r="N861" i="23" s="1"/>
  <c r="L862" i="23"/>
  <c r="N862" i="23" s="1"/>
  <c r="L863" i="23"/>
  <c r="N863" i="23" s="1"/>
  <c r="L864" i="23"/>
  <c r="N864" i="23" s="1"/>
  <c r="L865" i="23"/>
  <c r="L866" i="23"/>
  <c r="N866" i="23" s="1"/>
  <c r="L867" i="23"/>
  <c r="N867" i="23" s="1"/>
  <c r="L868" i="23"/>
  <c r="N868" i="23" s="1"/>
  <c r="L869" i="23"/>
  <c r="N869" i="23" s="1"/>
  <c r="L870" i="23"/>
  <c r="N870" i="23" s="1"/>
  <c r="L871" i="23"/>
  <c r="N871" i="23" s="1"/>
  <c r="L872" i="23"/>
  <c r="N872" i="23" s="1"/>
  <c r="L873" i="23"/>
  <c r="N873" i="23" s="1"/>
  <c r="L874" i="23"/>
  <c r="N874" i="23" s="1"/>
  <c r="L875" i="23"/>
  <c r="N875" i="23" s="1"/>
  <c r="L876" i="23"/>
  <c r="N876" i="23" s="1"/>
  <c r="L877" i="23"/>
  <c r="N877" i="23" s="1"/>
  <c r="L878" i="23"/>
  <c r="N878" i="23" s="1"/>
  <c r="L879" i="23"/>
  <c r="N879" i="23" s="1"/>
  <c r="L880" i="23"/>
  <c r="N880" i="23" s="1"/>
  <c r="L881" i="23"/>
  <c r="N881" i="23" s="1"/>
  <c r="L882" i="23"/>
  <c r="N882" i="23" s="1"/>
  <c r="L883" i="23"/>
  <c r="N883" i="23" s="1"/>
  <c r="L884" i="23"/>
  <c r="N884" i="23" s="1"/>
  <c r="L885" i="23"/>
  <c r="N885" i="23" s="1"/>
  <c r="L886" i="23"/>
  <c r="N886" i="23" s="1"/>
  <c r="L887" i="23"/>
  <c r="N887" i="23" s="1"/>
  <c r="L888" i="23"/>
  <c r="N888" i="23" s="1"/>
  <c r="L889" i="23"/>
  <c r="N889" i="23" s="1"/>
  <c r="L890" i="23"/>
  <c r="N890" i="23" s="1"/>
  <c r="L891" i="23"/>
  <c r="N891" i="23" s="1"/>
  <c r="L892" i="23"/>
  <c r="N892" i="23" s="1"/>
  <c r="L893" i="23"/>
  <c r="N893" i="23" s="1"/>
  <c r="L894" i="23"/>
  <c r="N894" i="23" s="1"/>
  <c r="L895" i="23"/>
  <c r="N895" i="23" s="1"/>
  <c r="L896" i="23"/>
  <c r="N896" i="23" s="1"/>
  <c r="L897" i="23"/>
  <c r="N897" i="23" s="1"/>
  <c r="L898" i="23"/>
  <c r="N898" i="23" s="1"/>
  <c r="L899" i="23"/>
  <c r="N899" i="23" s="1"/>
  <c r="L900" i="23"/>
  <c r="N900" i="23" s="1"/>
  <c r="L901" i="23"/>
  <c r="N901" i="23" s="1"/>
  <c r="L902" i="23"/>
  <c r="N902" i="23" s="1"/>
  <c r="L903" i="23"/>
  <c r="N903" i="23" s="1"/>
  <c r="L904" i="23"/>
  <c r="N904" i="23" s="1"/>
  <c r="L905" i="23"/>
  <c r="N905" i="23" s="1"/>
  <c r="L906" i="23"/>
  <c r="N906" i="23" s="1"/>
  <c r="L907" i="23"/>
  <c r="N907" i="23" s="1"/>
  <c r="L908" i="23"/>
  <c r="N908" i="23" s="1"/>
  <c r="L909" i="23"/>
  <c r="N909" i="23" s="1"/>
  <c r="L910" i="23"/>
  <c r="N910" i="23" s="1"/>
  <c r="L911" i="23"/>
  <c r="N911" i="23" s="1"/>
  <c r="L912" i="23"/>
  <c r="N912" i="23" s="1"/>
  <c r="L913" i="23"/>
  <c r="N913" i="23" s="1"/>
  <c r="L914" i="23"/>
  <c r="N914" i="23" s="1"/>
  <c r="L915" i="23"/>
  <c r="N915" i="23" s="1"/>
  <c r="L916" i="23"/>
  <c r="N916" i="23" s="1"/>
  <c r="L917" i="23"/>
  <c r="N917" i="23" s="1"/>
  <c r="L918" i="23"/>
  <c r="N918" i="23" s="1"/>
  <c r="L919" i="23"/>
  <c r="N919" i="23" s="1"/>
  <c r="L920" i="23"/>
  <c r="N920" i="23" s="1"/>
  <c r="L921" i="23"/>
  <c r="N921" i="23" s="1"/>
  <c r="L922" i="23"/>
  <c r="N922" i="23" s="1"/>
  <c r="L923" i="23"/>
  <c r="N923" i="23" s="1"/>
  <c r="L924" i="23"/>
  <c r="N924" i="23" s="1"/>
  <c r="L925" i="23"/>
  <c r="N925" i="23" s="1"/>
  <c r="L926" i="23"/>
  <c r="N926" i="23" s="1"/>
  <c r="L927" i="23"/>
  <c r="N927" i="23" s="1"/>
  <c r="L928" i="23"/>
  <c r="N928" i="23" s="1"/>
  <c r="L929" i="23"/>
  <c r="N929" i="23" s="1"/>
  <c r="L930" i="23"/>
  <c r="N930" i="23" s="1"/>
  <c r="L931" i="23"/>
  <c r="N931" i="23" s="1"/>
  <c r="L932" i="23"/>
  <c r="N932" i="23" s="1"/>
  <c r="L933" i="23"/>
  <c r="N933" i="23" s="1"/>
  <c r="L934" i="23"/>
  <c r="N934" i="23" s="1"/>
  <c r="L935" i="23"/>
  <c r="N935" i="23" s="1"/>
  <c r="L936" i="23"/>
  <c r="N936" i="23" s="1"/>
  <c r="L937" i="23"/>
  <c r="N937" i="23" s="1"/>
  <c r="L938" i="23"/>
  <c r="N938" i="23" s="1"/>
  <c r="L939" i="23"/>
  <c r="N939" i="23" s="1"/>
  <c r="L940" i="23"/>
  <c r="N940" i="23" s="1"/>
  <c r="L941" i="23"/>
  <c r="N941" i="23" s="1"/>
  <c r="L942" i="23"/>
  <c r="N942" i="23" s="1"/>
  <c r="L943" i="23"/>
  <c r="N943" i="23" s="1"/>
  <c r="L944" i="23"/>
  <c r="N944" i="23" s="1"/>
  <c r="L945" i="23"/>
  <c r="N945" i="23" s="1"/>
  <c r="L946" i="23"/>
  <c r="N946" i="23" s="1"/>
  <c r="L947" i="23"/>
  <c r="N947" i="23" s="1"/>
  <c r="L948" i="23"/>
  <c r="N948" i="23" s="1"/>
  <c r="L949" i="23"/>
  <c r="N949" i="23" s="1"/>
  <c r="L950" i="23"/>
  <c r="N950" i="23" s="1"/>
  <c r="L951" i="23"/>
  <c r="N951" i="23" s="1"/>
  <c r="L952" i="23"/>
  <c r="N952" i="23" s="1"/>
  <c r="L953" i="23"/>
  <c r="N953" i="23" s="1"/>
  <c r="L954" i="23"/>
  <c r="N954" i="23" s="1"/>
  <c r="L955" i="23"/>
  <c r="N955" i="23" s="1"/>
  <c r="L956" i="23"/>
  <c r="N956" i="23" s="1"/>
  <c r="L957" i="23"/>
  <c r="N957" i="23" s="1"/>
  <c r="L958" i="23"/>
  <c r="N958" i="23" s="1"/>
  <c r="L959" i="23"/>
  <c r="N959" i="23" s="1"/>
  <c r="L960" i="23"/>
  <c r="N960" i="23" s="1"/>
  <c r="L961" i="23"/>
  <c r="N961" i="23" s="1"/>
  <c r="L962" i="23"/>
  <c r="N962" i="23" s="1"/>
  <c r="L963" i="23"/>
  <c r="N963" i="23" s="1"/>
  <c r="L964" i="23"/>
  <c r="N964" i="23" s="1"/>
  <c r="L965" i="23"/>
  <c r="N965" i="23" s="1"/>
  <c r="L966" i="23"/>
  <c r="N966" i="23" s="1"/>
  <c r="L967" i="23"/>
  <c r="N967" i="23" s="1"/>
  <c r="L968" i="23"/>
  <c r="N968" i="23" s="1"/>
  <c r="L969" i="23"/>
  <c r="N969" i="23" s="1"/>
  <c r="L970" i="23"/>
  <c r="N970" i="23" s="1"/>
  <c r="L971" i="23"/>
  <c r="N971" i="23" s="1"/>
  <c r="L972" i="23"/>
  <c r="N972" i="23" s="1"/>
  <c r="L973" i="23"/>
  <c r="N973" i="23" s="1"/>
  <c r="L974" i="23"/>
  <c r="N974" i="23" s="1"/>
  <c r="L975" i="23"/>
  <c r="N975" i="23" s="1"/>
  <c r="L976" i="23"/>
  <c r="N976" i="23" s="1"/>
  <c r="L977" i="23"/>
  <c r="N977" i="23" s="1"/>
  <c r="L978" i="23"/>
  <c r="N978" i="23" s="1"/>
  <c r="L979" i="23"/>
  <c r="N979" i="23" s="1"/>
  <c r="L980" i="23"/>
  <c r="N980" i="23" s="1"/>
  <c r="L981" i="23"/>
  <c r="N981" i="23" s="1"/>
  <c r="L982" i="23"/>
  <c r="N982" i="23" s="1"/>
  <c r="L983" i="23"/>
  <c r="N983" i="23" s="1"/>
  <c r="L984" i="23"/>
  <c r="N984" i="23" s="1"/>
  <c r="L985" i="23"/>
  <c r="N985" i="23" s="1"/>
  <c r="L986" i="23"/>
  <c r="N986" i="23" s="1"/>
  <c r="L987" i="23"/>
  <c r="N987" i="23" s="1"/>
  <c r="L988" i="23"/>
  <c r="N988" i="23" s="1"/>
  <c r="L989" i="23"/>
  <c r="N989" i="23" s="1"/>
  <c r="L990" i="23"/>
  <c r="N990" i="23" s="1"/>
  <c r="L991" i="23"/>
  <c r="N991" i="23" s="1"/>
  <c r="L992" i="23"/>
  <c r="N992" i="23" s="1"/>
  <c r="L993" i="23"/>
  <c r="N993" i="23" s="1"/>
  <c r="L994" i="23"/>
  <c r="N994" i="23" s="1"/>
  <c r="L995" i="23"/>
  <c r="N995" i="23" s="1"/>
  <c r="L996" i="23"/>
  <c r="N996" i="23" s="1"/>
  <c r="L997" i="23"/>
  <c r="N997" i="23" s="1"/>
  <c r="L998" i="23"/>
  <c r="N998" i="23" s="1"/>
  <c r="L999" i="23"/>
  <c r="N999" i="23" s="1"/>
  <c r="L1000" i="23"/>
  <c r="N1000" i="23" s="1"/>
  <c r="L1001" i="23"/>
  <c r="N1001" i="23" s="1"/>
  <c r="L1002" i="23"/>
  <c r="N1002" i="23" s="1"/>
  <c r="L1003" i="23"/>
  <c r="N1003" i="23" s="1"/>
  <c r="L1004" i="23"/>
  <c r="N1004" i="23" s="1"/>
  <c r="L1005" i="23"/>
  <c r="N1005" i="23" s="1"/>
  <c r="L1006" i="23"/>
  <c r="N1006" i="23" s="1"/>
  <c r="L1007" i="23"/>
  <c r="N1007" i="23" s="1"/>
  <c r="L1008" i="23"/>
  <c r="N1008" i="23" s="1"/>
  <c r="L1009" i="23"/>
  <c r="N1009" i="23" s="1"/>
  <c r="L1010" i="23"/>
  <c r="N1010" i="23" s="1"/>
  <c r="L1011" i="23"/>
  <c r="N1011" i="23" s="1"/>
  <c r="L1012" i="23"/>
  <c r="N1012" i="23" s="1"/>
  <c r="L1013" i="23"/>
  <c r="N1013" i="23" s="1"/>
  <c r="L1014" i="23"/>
  <c r="N1014" i="23" s="1"/>
  <c r="L1015" i="23"/>
  <c r="N1015" i="23" s="1"/>
  <c r="L1016" i="23"/>
  <c r="N1016" i="23" s="1"/>
  <c r="L1017" i="23"/>
  <c r="N1017" i="23" s="1"/>
  <c r="L1018" i="23"/>
  <c r="N1018" i="23" s="1"/>
  <c r="L1019" i="23"/>
  <c r="N1019" i="23" s="1"/>
  <c r="L1020" i="23"/>
  <c r="N1020" i="23" s="1"/>
  <c r="L1021" i="23"/>
  <c r="N1021" i="23" s="1"/>
  <c r="L1022" i="23"/>
  <c r="N1022" i="23" s="1"/>
  <c r="L1023" i="23"/>
  <c r="N1023" i="23" s="1"/>
  <c r="L1024" i="23"/>
  <c r="L1025" i="23"/>
  <c r="N1025" i="23" s="1"/>
  <c r="L1026" i="23"/>
  <c r="N1026" i="23" s="1"/>
  <c r="L1027" i="23"/>
  <c r="N1027" i="23" s="1"/>
  <c r="L1028" i="23"/>
  <c r="N1028" i="23" s="1"/>
  <c r="L1029" i="23"/>
  <c r="N1029" i="23" s="1"/>
  <c r="L1030" i="23"/>
  <c r="N1030" i="23" s="1"/>
  <c r="L1031" i="23"/>
  <c r="N1031" i="23" s="1"/>
  <c r="L1032" i="23"/>
  <c r="N1032" i="23" s="1"/>
  <c r="L1033" i="23"/>
  <c r="N1033" i="23" s="1"/>
  <c r="L1034" i="23"/>
  <c r="N1034" i="23" s="1"/>
  <c r="L1035" i="23"/>
  <c r="N1035" i="23" s="1"/>
  <c r="L1036" i="23"/>
  <c r="N1036" i="23" s="1"/>
  <c r="L1037" i="23"/>
  <c r="N1037" i="23" s="1"/>
  <c r="L1038" i="23"/>
  <c r="N1038" i="23" s="1"/>
  <c r="L1039" i="23"/>
  <c r="N1039" i="23" s="1"/>
  <c r="L1040" i="23"/>
  <c r="N1040" i="23" s="1"/>
  <c r="L1041" i="23"/>
  <c r="N1041" i="23" s="1"/>
  <c r="L1042" i="23"/>
  <c r="N1042" i="23" s="1"/>
  <c r="L1043" i="23"/>
  <c r="N1043" i="23" s="1"/>
  <c r="L1044" i="23"/>
  <c r="N1044" i="23" s="1"/>
  <c r="L1045" i="23"/>
  <c r="N1045" i="23" s="1"/>
  <c r="L1046" i="23"/>
  <c r="N1046" i="23" s="1"/>
  <c r="L1047" i="23"/>
  <c r="N1047" i="23" s="1"/>
  <c r="L1048" i="23"/>
  <c r="N1048" i="23" s="1"/>
  <c r="L1049" i="23"/>
  <c r="N1049" i="23" s="1"/>
  <c r="L1050" i="23"/>
  <c r="N1050" i="23" s="1"/>
  <c r="L1051" i="23"/>
  <c r="N1051" i="23" s="1"/>
  <c r="L1052" i="23"/>
  <c r="L1053" i="23"/>
  <c r="N1053" i="23" s="1"/>
  <c r="L1054" i="23"/>
  <c r="N1054" i="23" s="1"/>
  <c r="L1055" i="23"/>
  <c r="N1055" i="23" s="1"/>
  <c r="L1056" i="23"/>
  <c r="L1057" i="23"/>
  <c r="N1057" i="23" s="1"/>
  <c r="L1058" i="23"/>
  <c r="N1058" i="23" s="1"/>
  <c r="L1059" i="23"/>
  <c r="L1060" i="23"/>
  <c r="N1060" i="23" s="1"/>
  <c r="L1061" i="23"/>
  <c r="N1061" i="23" s="1"/>
  <c r="L1062" i="23"/>
  <c r="N1062" i="23" s="1"/>
  <c r="L1063" i="23"/>
  <c r="N1063" i="23" s="1"/>
  <c r="L1064" i="23"/>
  <c r="N1064" i="23" s="1"/>
  <c r="L1065" i="23"/>
  <c r="N1065" i="23" s="1"/>
  <c r="L1066" i="23"/>
  <c r="N1066" i="23" s="1"/>
  <c r="L1067" i="23"/>
  <c r="N1067" i="23" s="1"/>
  <c r="L1068" i="23"/>
  <c r="N1068" i="23" s="1"/>
  <c r="L1069" i="23"/>
  <c r="N1069" i="23" s="1"/>
  <c r="L1070" i="23"/>
  <c r="N1070" i="23" s="1"/>
  <c r="L1071" i="23"/>
  <c r="N1071" i="23" s="1"/>
  <c r="L1072" i="23"/>
  <c r="N1072" i="23" s="1"/>
  <c r="L1073" i="23"/>
  <c r="N1073" i="23" s="1"/>
  <c r="L1074" i="23"/>
  <c r="N1074" i="23" s="1"/>
  <c r="L1075" i="23"/>
  <c r="N1075" i="23" s="1"/>
  <c r="L1076" i="23"/>
  <c r="N1076" i="23" s="1"/>
  <c r="L1077" i="23"/>
  <c r="N1077" i="23" s="1"/>
  <c r="L1078" i="23"/>
  <c r="N1078" i="23" s="1"/>
  <c r="L1079" i="23"/>
  <c r="N1079" i="23" s="1"/>
  <c r="L1080" i="23"/>
  <c r="N1080" i="23" s="1"/>
  <c r="L1081" i="23"/>
  <c r="N1081" i="23" s="1"/>
  <c r="L1082" i="23"/>
  <c r="N1082" i="23" s="1"/>
  <c r="L1083" i="23"/>
  <c r="N1083" i="23" s="1"/>
  <c r="L1084" i="23"/>
  <c r="N1084" i="23" s="1"/>
  <c r="L1085" i="23"/>
  <c r="N1085" i="23" s="1"/>
  <c r="L1086" i="23"/>
  <c r="N1086" i="23" s="1"/>
  <c r="L1087" i="23"/>
  <c r="N1087" i="23" s="1"/>
  <c r="L1088" i="23"/>
  <c r="N1088" i="23" s="1"/>
  <c r="L1089" i="23"/>
  <c r="N1089" i="23" s="1"/>
  <c r="L1090" i="23"/>
  <c r="N1090" i="23" s="1"/>
  <c r="L1091" i="23"/>
  <c r="N1091" i="23" s="1"/>
  <c r="L1092" i="23"/>
  <c r="N1092" i="23" s="1"/>
  <c r="L1093" i="23"/>
  <c r="N1093" i="23" s="1"/>
  <c r="L1094" i="23"/>
  <c r="N1094" i="23" s="1"/>
  <c r="L1095" i="23"/>
  <c r="N1095" i="23" s="1"/>
  <c r="L1096" i="23"/>
  <c r="N1096" i="23" s="1"/>
  <c r="L1097" i="23"/>
  <c r="N1097" i="23" s="1"/>
  <c r="L1098" i="23"/>
  <c r="N1098" i="23" s="1"/>
  <c r="L1099" i="23"/>
  <c r="N1099" i="23" s="1"/>
  <c r="L1100" i="23"/>
  <c r="N1100" i="23" s="1"/>
  <c r="L1101" i="23"/>
  <c r="N1101" i="23" s="1"/>
  <c r="L1102" i="23"/>
  <c r="N1102" i="23" s="1"/>
  <c r="L1103" i="23"/>
  <c r="N1103" i="23" s="1"/>
  <c r="L1104" i="23"/>
  <c r="N1104" i="23" s="1"/>
  <c r="L1105" i="23"/>
  <c r="N1105" i="23" s="1"/>
  <c r="L1106" i="23"/>
  <c r="N1106" i="23" s="1"/>
  <c r="L1107" i="23"/>
  <c r="N1107" i="23" s="1"/>
  <c r="L1108" i="23"/>
  <c r="N1108" i="23" s="1"/>
  <c r="L1109" i="23"/>
  <c r="N1109" i="23" s="1"/>
  <c r="L1110" i="23"/>
  <c r="N1110" i="23" s="1"/>
  <c r="L1111" i="23"/>
  <c r="N1111" i="23" s="1"/>
  <c r="L1112" i="23"/>
  <c r="N1112" i="23" s="1"/>
  <c r="L1113" i="23"/>
  <c r="N1113" i="23" s="1"/>
  <c r="L1114" i="23"/>
  <c r="N1114" i="23" s="1"/>
  <c r="L1115" i="23"/>
  <c r="N1115" i="23" s="1"/>
  <c r="L1116" i="23"/>
  <c r="N1116" i="23" s="1"/>
  <c r="L1117" i="23"/>
  <c r="N1117" i="23" s="1"/>
  <c r="L1118" i="23"/>
  <c r="N1118" i="23" s="1"/>
  <c r="L1119" i="23"/>
  <c r="N1119" i="23" s="1"/>
  <c r="L1120" i="23"/>
  <c r="N1120" i="23" s="1"/>
  <c r="L1121" i="23"/>
  <c r="N1121" i="23" s="1"/>
  <c r="L1122" i="23"/>
  <c r="L1123" i="23"/>
  <c r="N1123" i="23" s="1"/>
  <c r="L1124" i="23"/>
  <c r="N1124" i="23" s="1"/>
  <c r="L1125" i="23"/>
  <c r="N1125" i="23" s="1"/>
  <c r="L1126" i="23"/>
  <c r="N1126" i="23" s="1"/>
  <c r="L1127" i="23"/>
  <c r="N1127" i="23" s="1"/>
  <c r="L1128" i="23"/>
  <c r="N1128" i="23" s="1"/>
  <c r="L1129" i="23"/>
  <c r="N1129" i="23" s="1"/>
  <c r="L1130" i="23"/>
  <c r="N1130" i="23" s="1"/>
  <c r="L1131" i="23"/>
  <c r="N1131" i="23" s="1"/>
  <c r="L1132" i="23"/>
  <c r="N1132" i="23" s="1"/>
  <c r="L1133" i="23"/>
  <c r="N1133" i="23" s="1"/>
  <c r="L1134" i="23"/>
  <c r="N1134" i="23" s="1"/>
  <c r="L1135" i="23"/>
  <c r="N1135" i="23" s="1"/>
  <c r="L1136" i="23"/>
  <c r="N1136" i="23" s="1"/>
  <c r="L1137" i="23"/>
  <c r="N1137" i="23" s="1"/>
  <c r="L1138" i="23"/>
  <c r="N1138" i="23" s="1"/>
  <c r="L1139" i="23"/>
  <c r="N1139" i="23" s="1"/>
  <c r="L1140" i="23"/>
  <c r="N1140" i="23" s="1"/>
  <c r="L1141" i="23"/>
  <c r="N1141" i="23" s="1"/>
  <c r="L1142" i="23"/>
  <c r="N1142" i="23" s="1"/>
  <c r="L1143" i="23"/>
  <c r="N1143" i="23" s="1"/>
  <c r="L1144" i="23"/>
  <c r="N1144" i="23" s="1"/>
  <c r="L1145" i="23"/>
  <c r="N1145" i="23" s="1"/>
  <c r="L1146" i="23"/>
  <c r="N1146" i="23" s="1"/>
  <c r="L1147" i="23"/>
  <c r="N1147" i="23" s="1"/>
  <c r="L1148" i="23"/>
  <c r="N1148" i="23" s="1"/>
  <c r="L1149" i="23"/>
  <c r="N1149" i="23" s="1"/>
  <c r="L1150" i="23"/>
  <c r="N1150" i="23" s="1"/>
  <c r="L1151" i="23"/>
  <c r="N1151" i="23" s="1"/>
  <c r="L1152" i="23"/>
  <c r="N1152" i="23" s="1"/>
  <c r="L1153" i="23"/>
  <c r="N1153" i="23" s="1"/>
  <c r="L1154" i="23"/>
  <c r="N1154" i="23" s="1"/>
  <c r="L1155" i="23"/>
  <c r="N1155" i="23" s="1"/>
  <c r="L1156" i="23"/>
  <c r="N1156" i="23" s="1"/>
  <c r="L1157" i="23"/>
  <c r="N1157" i="23" s="1"/>
  <c r="L1158" i="23"/>
  <c r="N1158" i="23" s="1"/>
  <c r="L1159" i="23"/>
  <c r="N1159" i="23" s="1"/>
  <c r="L1160" i="23"/>
  <c r="N1160" i="23" s="1"/>
  <c r="L1161" i="23"/>
  <c r="N1161" i="23" s="1"/>
  <c r="L1162" i="23"/>
  <c r="N1162" i="23" s="1"/>
  <c r="L1163" i="23"/>
  <c r="N1163" i="23" s="1"/>
  <c r="L1164" i="23"/>
  <c r="L1165" i="23"/>
  <c r="N1165" i="23" s="1"/>
  <c r="L1166" i="23"/>
  <c r="N1166" i="23" s="1"/>
  <c r="L1167" i="23"/>
  <c r="N1167" i="23" s="1"/>
  <c r="L1168" i="23"/>
  <c r="N1168" i="23" s="1"/>
  <c r="L1169" i="23"/>
  <c r="N1169" i="23" s="1"/>
  <c r="L1170" i="23"/>
  <c r="N1170" i="23" s="1"/>
  <c r="L1171" i="23"/>
  <c r="N1171" i="23" s="1"/>
  <c r="L1172" i="23"/>
  <c r="N1172" i="23" s="1"/>
  <c r="L1173" i="23"/>
  <c r="N1173" i="23" s="1"/>
  <c r="L1174" i="23"/>
  <c r="N1174" i="23" s="1"/>
  <c r="L1175" i="23"/>
  <c r="N1175" i="23" s="1"/>
  <c r="L1176" i="23"/>
  <c r="N1176" i="23" s="1"/>
  <c r="L1177" i="23"/>
  <c r="N1177" i="23" s="1"/>
  <c r="L1178" i="23"/>
  <c r="N1178" i="23" s="1"/>
  <c r="L1179" i="23"/>
  <c r="L1180" i="23"/>
  <c r="N1180" i="23" s="1"/>
  <c r="L1181" i="23"/>
  <c r="N1181" i="23" s="1"/>
  <c r="L1182" i="23"/>
  <c r="N1182" i="23" s="1"/>
  <c r="L1183" i="23"/>
  <c r="N1183" i="23" s="1"/>
  <c r="L1184" i="23"/>
  <c r="N1184" i="23" s="1"/>
  <c r="L1185" i="23"/>
  <c r="N1185" i="23" s="1"/>
  <c r="L1186" i="23"/>
  <c r="N1186" i="23" s="1"/>
  <c r="L1187" i="23"/>
  <c r="N1187" i="23" s="1"/>
  <c r="L1188" i="23"/>
  <c r="N1188" i="23" s="1"/>
  <c r="L1189" i="23"/>
  <c r="N1189" i="23" s="1"/>
  <c r="L1190" i="23"/>
  <c r="N1190" i="23" s="1"/>
  <c r="L1191" i="23"/>
  <c r="N1191" i="23" s="1"/>
  <c r="L1192" i="23"/>
  <c r="N1192" i="23" s="1"/>
  <c r="L1193" i="23"/>
  <c r="N1193" i="23" s="1"/>
  <c r="L1194" i="23"/>
  <c r="N1194" i="23" s="1"/>
  <c r="L1195" i="23"/>
  <c r="N1195" i="23" s="1"/>
  <c r="L1196" i="23"/>
  <c r="N1196" i="23" s="1"/>
  <c r="L1197" i="23"/>
  <c r="N1197" i="23" s="1"/>
  <c r="L1198" i="23"/>
  <c r="N1198" i="23" s="1"/>
  <c r="L1199" i="23"/>
  <c r="N1199" i="23" s="1"/>
  <c r="L1200" i="23"/>
  <c r="N1200" i="23" s="1"/>
  <c r="L1201" i="23"/>
  <c r="N1201" i="23" s="1"/>
  <c r="L1202" i="23"/>
  <c r="N1202" i="23" s="1"/>
  <c r="L1203" i="23"/>
  <c r="N1203" i="23" s="1"/>
  <c r="L1204" i="23"/>
  <c r="N1204" i="23" s="1"/>
  <c r="L1205" i="23"/>
  <c r="N1205" i="23" s="1"/>
  <c r="L1206" i="23"/>
  <c r="N1206" i="23" s="1"/>
  <c r="L1207" i="23"/>
  <c r="L1208" i="23"/>
  <c r="N1208" i="23" s="1"/>
  <c r="L1209" i="23"/>
  <c r="N1209" i="23" s="1"/>
  <c r="L1210" i="23"/>
  <c r="L1211" i="23"/>
  <c r="N1211" i="23" s="1"/>
  <c r="L1212" i="23"/>
  <c r="N1212" i="23" s="1"/>
  <c r="L1213" i="23"/>
  <c r="N1213" i="23" s="1"/>
  <c r="L1214" i="23"/>
  <c r="N1214" i="23" s="1"/>
  <c r="L1215" i="23"/>
  <c r="N1215" i="23" s="1"/>
  <c r="L1216" i="23"/>
  <c r="N1216" i="23" s="1"/>
  <c r="L1217" i="23"/>
  <c r="N1217" i="23" s="1"/>
  <c r="L1218" i="23"/>
  <c r="N1218" i="23" s="1"/>
  <c r="L1219" i="23"/>
  <c r="N1219" i="23" s="1"/>
  <c r="L1220" i="23"/>
  <c r="N1220" i="23" s="1"/>
  <c r="L1221" i="23"/>
  <c r="N1221" i="23" s="1"/>
  <c r="L1222" i="23"/>
  <c r="N1222" i="23" s="1"/>
  <c r="L1223" i="23"/>
  <c r="N1223" i="23" s="1"/>
  <c r="L1224" i="23"/>
  <c r="N1224" i="23" s="1"/>
  <c r="L1225" i="23"/>
  <c r="N1225" i="23" s="1"/>
  <c r="L1226" i="23"/>
  <c r="N1226" i="23" s="1"/>
  <c r="L1227" i="23"/>
  <c r="N1227" i="23" s="1"/>
  <c r="L1228" i="23"/>
  <c r="N1228" i="23" s="1"/>
  <c r="L1229" i="23"/>
  <c r="N1229" i="23" s="1"/>
  <c r="L1230" i="23"/>
  <c r="N1230" i="23" s="1"/>
  <c r="L1231" i="23"/>
  <c r="N1231" i="23" s="1"/>
  <c r="L1232" i="23"/>
  <c r="L1233" i="23"/>
  <c r="N1233" i="23" s="1"/>
  <c r="L1234" i="23"/>
  <c r="N1234" i="23" s="1"/>
  <c r="L1235" i="23"/>
  <c r="N1235" i="23" s="1"/>
  <c r="L1236" i="23"/>
  <c r="N1236" i="23" s="1"/>
  <c r="L1237" i="23"/>
  <c r="N1237" i="23" s="1"/>
  <c r="L1238" i="23"/>
  <c r="N1238" i="23" s="1"/>
  <c r="L1239" i="23"/>
  <c r="N1239" i="23" s="1"/>
  <c r="L1240" i="23"/>
  <c r="N1240" i="23" s="1"/>
  <c r="L1241" i="23"/>
  <c r="N1241" i="23" s="1"/>
  <c r="L1242" i="23"/>
  <c r="N1242" i="23" s="1"/>
  <c r="L1243" i="23"/>
  <c r="N1243" i="23" s="1"/>
  <c r="L1244" i="23"/>
  <c r="N1244" i="23" s="1"/>
  <c r="L1245" i="23"/>
  <c r="N1245" i="23" s="1"/>
  <c r="L1246" i="23"/>
  <c r="N1246" i="23" s="1"/>
  <c r="L1247" i="23"/>
  <c r="N1247" i="23" s="1"/>
  <c r="L1248" i="23"/>
  <c r="N1248" i="23" s="1"/>
  <c r="L1249" i="23"/>
  <c r="N1249" i="23" s="1"/>
  <c r="L1250" i="23"/>
  <c r="N1250" i="23" s="1"/>
  <c r="L1251" i="23"/>
  <c r="N1251" i="23" s="1"/>
  <c r="L1252" i="23"/>
  <c r="N1252" i="23" s="1"/>
  <c r="L1253" i="23"/>
  <c r="N1253" i="23" s="1"/>
  <c r="L1254" i="23"/>
  <c r="N1254" i="23" s="1"/>
  <c r="L1255" i="23"/>
  <c r="N1255" i="23" s="1"/>
  <c r="L1256" i="23"/>
  <c r="N1256" i="23" s="1"/>
  <c r="L1257" i="23"/>
  <c r="N1257" i="23" s="1"/>
  <c r="L1258" i="23"/>
  <c r="N1258" i="23" s="1"/>
  <c r="L1259" i="23"/>
  <c r="N1259" i="23" s="1"/>
  <c r="L1260" i="23"/>
  <c r="N1260" i="23" s="1"/>
  <c r="L1261" i="23"/>
  <c r="N1261" i="23" s="1"/>
  <c r="L1262" i="23"/>
  <c r="N1262" i="23" s="1"/>
  <c r="L1263" i="23"/>
  <c r="N1263" i="23" s="1"/>
  <c r="L1264" i="23"/>
  <c r="N1264" i="23" s="1"/>
  <c r="L1265" i="23"/>
  <c r="N1265" i="23" s="1"/>
  <c r="L1266" i="23"/>
  <c r="N1266" i="23" s="1"/>
  <c r="L1267" i="23"/>
  <c r="N1267" i="23" s="1"/>
  <c r="L1268" i="23"/>
  <c r="N1268" i="23" s="1"/>
  <c r="L1269" i="23"/>
  <c r="N1269" i="23" s="1"/>
  <c r="L1270" i="23"/>
  <c r="N1270" i="23" s="1"/>
  <c r="L1271" i="23"/>
  <c r="N1271" i="23" s="1"/>
  <c r="L1272" i="23"/>
  <c r="N1272" i="23" s="1"/>
  <c r="L1273" i="23"/>
  <c r="N1273" i="23" s="1"/>
  <c r="L1274" i="23"/>
  <c r="N1274" i="23" s="1"/>
  <c r="L1275" i="23"/>
  <c r="N1275" i="23" s="1"/>
  <c r="L1276" i="23"/>
  <c r="N1276" i="23" s="1"/>
  <c r="L1277" i="23"/>
  <c r="N1277" i="23" s="1"/>
  <c r="L1278" i="23"/>
  <c r="N1278" i="23" s="1"/>
  <c r="L1279" i="23"/>
  <c r="N1279" i="23" s="1"/>
  <c r="L1280" i="23"/>
  <c r="N1280" i="23" s="1"/>
  <c r="L1281" i="23"/>
  <c r="N1281" i="23" s="1"/>
  <c r="L1282" i="23"/>
  <c r="N1282" i="23" s="1"/>
  <c r="L1283" i="23"/>
  <c r="N1283" i="23" s="1"/>
  <c r="L1284" i="23"/>
  <c r="N1284" i="23" s="1"/>
  <c r="L1285" i="23"/>
  <c r="N1285" i="23" s="1"/>
  <c r="L1286" i="23"/>
  <c r="N1286" i="23" s="1"/>
  <c r="L1287" i="23"/>
  <c r="N1287" i="23" s="1"/>
  <c r="L1288" i="23"/>
  <c r="N1288" i="23" s="1"/>
  <c r="L1289" i="23"/>
  <c r="N1289" i="23" s="1"/>
  <c r="L1290" i="23"/>
  <c r="N1290" i="23" s="1"/>
  <c r="L1291" i="23"/>
  <c r="N1291" i="23" s="1"/>
  <c r="L1292" i="23"/>
  <c r="N1292" i="23" s="1"/>
  <c r="L1293" i="23"/>
  <c r="N1293" i="23" s="1"/>
  <c r="L1294" i="23"/>
  <c r="N1294" i="23" s="1"/>
  <c r="L1295" i="23"/>
  <c r="N1295" i="23" s="1"/>
  <c r="L1296" i="23"/>
  <c r="N1296" i="23" s="1"/>
  <c r="L1297" i="23"/>
  <c r="N1297" i="23" s="1"/>
  <c r="L1298" i="23"/>
  <c r="N1298" i="23" s="1"/>
  <c r="L1299" i="23"/>
  <c r="N1299" i="23" s="1"/>
  <c r="L1300" i="23"/>
  <c r="N1300" i="23" s="1"/>
  <c r="L1301" i="23"/>
  <c r="N1301" i="23" s="1"/>
  <c r="L1302" i="23"/>
  <c r="N1302" i="23" s="1"/>
  <c r="L1303" i="23"/>
  <c r="N1303" i="23" s="1"/>
  <c r="L1304" i="23"/>
  <c r="N1304" i="23" s="1"/>
  <c r="L1305" i="23"/>
  <c r="N1305" i="23" s="1"/>
  <c r="L1306" i="23"/>
  <c r="N1306" i="23" s="1"/>
  <c r="L1307" i="23"/>
  <c r="N1307" i="23" s="1"/>
  <c r="L1308" i="23"/>
  <c r="N1308" i="23" s="1"/>
  <c r="L1309" i="23"/>
  <c r="N1309" i="23" s="1"/>
  <c r="L1310" i="23"/>
  <c r="N1310" i="23" s="1"/>
  <c r="L1311" i="23"/>
  <c r="N1311" i="23" s="1"/>
  <c r="L1312" i="23"/>
  <c r="N1312" i="23" s="1"/>
  <c r="L1313" i="23"/>
  <c r="N1313" i="23" s="1"/>
  <c r="L1314" i="23"/>
  <c r="N1314" i="23" s="1"/>
  <c r="L1315" i="23"/>
  <c r="N1315" i="23" s="1"/>
  <c r="L1316" i="23"/>
  <c r="N1316" i="23" s="1"/>
  <c r="L1317" i="23"/>
  <c r="N1317" i="23" s="1"/>
  <c r="L1318" i="23"/>
  <c r="N1318" i="23" s="1"/>
  <c r="L1319" i="23"/>
  <c r="N1319" i="23" s="1"/>
  <c r="L1320" i="23"/>
  <c r="N1320" i="23" s="1"/>
  <c r="L1321" i="23"/>
  <c r="N1321" i="23" s="1"/>
  <c r="L1322" i="23"/>
  <c r="N1322" i="23" s="1"/>
  <c r="L1323" i="23"/>
  <c r="N1323" i="23" s="1"/>
  <c r="L1324" i="23"/>
  <c r="N1324" i="23" s="1"/>
  <c r="L1325" i="23"/>
  <c r="N1325" i="23" s="1"/>
  <c r="L1326" i="23"/>
  <c r="N1326" i="23" s="1"/>
  <c r="L1327" i="23"/>
  <c r="N1327" i="23" s="1"/>
  <c r="L1328" i="23"/>
  <c r="N1328" i="23" s="1"/>
  <c r="L1329" i="23"/>
  <c r="N1329" i="23" s="1"/>
  <c r="L1330" i="23"/>
  <c r="N1330" i="23" s="1"/>
  <c r="L1331" i="23"/>
  <c r="N1331" i="23" s="1"/>
  <c r="L1332" i="23"/>
  <c r="N1332" i="23" s="1"/>
  <c r="L1333" i="23"/>
  <c r="N1333" i="23" s="1"/>
  <c r="L1334" i="23"/>
  <c r="N1334" i="23" s="1"/>
  <c r="L1335" i="23"/>
  <c r="N1335" i="23" s="1"/>
  <c r="L1336" i="23"/>
  <c r="N1336" i="23" s="1"/>
  <c r="L1337" i="23"/>
  <c r="N1337" i="23" s="1"/>
  <c r="L1338" i="23"/>
  <c r="N1338" i="23" s="1"/>
  <c r="L1339" i="23"/>
  <c r="N1339" i="23" s="1"/>
  <c r="L1340" i="23"/>
  <c r="N1340" i="23" s="1"/>
  <c r="L1341" i="23"/>
  <c r="N1341" i="23" s="1"/>
  <c r="L1342" i="23"/>
  <c r="N1342" i="23" s="1"/>
  <c r="L1343" i="23"/>
  <c r="N1343" i="23" s="1"/>
  <c r="L1344" i="23"/>
  <c r="N1344" i="23" s="1"/>
  <c r="L1345" i="23"/>
  <c r="N1345" i="23" s="1"/>
  <c r="L1346" i="23"/>
  <c r="N1346" i="23" s="1"/>
  <c r="L1347" i="23"/>
  <c r="N1347" i="23" s="1"/>
  <c r="L1348" i="23"/>
  <c r="N1348" i="23" s="1"/>
  <c r="L1349" i="23"/>
  <c r="N1349" i="23" s="1"/>
  <c r="L1350" i="23"/>
  <c r="N1350" i="23" s="1"/>
  <c r="L1351" i="23"/>
  <c r="N1351" i="23" s="1"/>
  <c r="L1352" i="23"/>
  <c r="N1352" i="23" s="1"/>
  <c r="L1353" i="23"/>
  <c r="N1353" i="23" s="1"/>
  <c r="L1354" i="23"/>
  <c r="N1354" i="23" s="1"/>
  <c r="L1355" i="23"/>
  <c r="N1355" i="23" s="1"/>
  <c r="L1356" i="23"/>
  <c r="N1356" i="23" s="1"/>
  <c r="L1357" i="23"/>
  <c r="N1357" i="23" s="1"/>
  <c r="L1358" i="23"/>
  <c r="N1358" i="23" s="1"/>
  <c r="L1359" i="23"/>
  <c r="L1360" i="23"/>
  <c r="N1360" i="23" s="1"/>
  <c r="L1361" i="23"/>
  <c r="L1362" i="23"/>
  <c r="N1362" i="23" s="1"/>
  <c r="L1363" i="23"/>
  <c r="N1363" i="23" s="1"/>
  <c r="L1364" i="23"/>
  <c r="N1364" i="23" s="1"/>
  <c r="L1365" i="23"/>
  <c r="N1365" i="23" s="1"/>
  <c r="L1366" i="23"/>
  <c r="N1366" i="23" s="1"/>
  <c r="L1367" i="23"/>
  <c r="N1367" i="23" s="1"/>
  <c r="L1368" i="23"/>
  <c r="N1368" i="23" s="1"/>
  <c r="L1369" i="23"/>
  <c r="N1369" i="23" s="1"/>
  <c r="L1370" i="23"/>
  <c r="N1370" i="23" s="1"/>
  <c r="L1371" i="23"/>
  <c r="N1371" i="23" s="1"/>
  <c r="L1372" i="23"/>
  <c r="N1372" i="23" s="1"/>
  <c r="L1373" i="23"/>
  <c r="N1373" i="23" s="1"/>
  <c r="L1374" i="23"/>
  <c r="N1374" i="23" s="1"/>
  <c r="L1375" i="23"/>
  <c r="N1375" i="23" s="1"/>
  <c r="L1376" i="23"/>
  <c r="N1376" i="23" s="1"/>
  <c r="L1377" i="23"/>
  <c r="N1377" i="23" s="1"/>
  <c r="L1378" i="23"/>
  <c r="N1378" i="23" s="1"/>
  <c r="L1379" i="23"/>
  <c r="N1379" i="23" s="1"/>
  <c r="L1380" i="23"/>
  <c r="N1380" i="23" s="1"/>
  <c r="L1381" i="23"/>
  <c r="N1381" i="23" s="1"/>
  <c r="L1382" i="23"/>
  <c r="N1382" i="23" s="1"/>
  <c r="L1383" i="23"/>
  <c r="N1383" i="23" s="1"/>
  <c r="L1384" i="23"/>
  <c r="N1384" i="23" s="1"/>
  <c r="L1385" i="23"/>
  <c r="N1385" i="23" s="1"/>
  <c r="L1386" i="23"/>
  <c r="N1386" i="23" s="1"/>
  <c r="L1387" i="23"/>
  <c r="N1387" i="23" s="1"/>
  <c r="L1388" i="23"/>
  <c r="N1388" i="23" s="1"/>
  <c r="L1389" i="23"/>
  <c r="N1389" i="23" s="1"/>
  <c r="L1390" i="23"/>
  <c r="N1390" i="23" s="1"/>
  <c r="L1391" i="23"/>
  <c r="N1391" i="23" s="1"/>
  <c r="L1392" i="23"/>
  <c r="N1392" i="23" s="1"/>
  <c r="L1393" i="23"/>
  <c r="N1393" i="23" s="1"/>
  <c r="L1394" i="23"/>
  <c r="N1394" i="23" s="1"/>
  <c r="L1395" i="23"/>
  <c r="N1395" i="23" s="1"/>
  <c r="L1396" i="23"/>
  <c r="N1396" i="23" s="1"/>
  <c r="L1397" i="23"/>
  <c r="N1397" i="23" s="1"/>
  <c r="L1398" i="23"/>
  <c r="N1398" i="23" s="1"/>
  <c r="L1399" i="23"/>
  <c r="N1399" i="23" s="1"/>
  <c r="L1400" i="23"/>
  <c r="N1400" i="23" s="1"/>
  <c r="L1401" i="23"/>
  <c r="N1401" i="23" s="1"/>
  <c r="L1402" i="23"/>
  <c r="N1402" i="23" s="1"/>
  <c r="L1403" i="23"/>
  <c r="N1403" i="23" s="1"/>
  <c r="L1404" i="23"/>
  <c r="N1404" i="23" s="1"/>
  <c r="L1405" i="23"/>
  <c r="N1405" i="23" s="1"/>
  <c r="L1406" i="23"/>
  <c r="N1406" i="23" s="1"/>
  <c r="L1407" i="23"/>
  <c r="N1407" i="23" s="1"/>
  <c r="L1408" i="23"/>
  <c r="N1408" i="23" s="1"/>
  <c r="L1409" i="23"/>
  <c r="N1409" i="23" s="1"/>
  <c r="L1410" i="23"/>
  <c r="N1410" i="23" s="1"/>
  <c r="L1411" i="23"/>
  <c r="N1411" i="23" s="1"/>
  <c r="L1412" i="23"/>
  <c r="N1412" i="23" s="1"/>
  <c r="L1413" i="23"/>
  <c r="N1413" i="23" s="1"/>
  <c r="L1414" i="23"/>
  <c r="N1414" i="23" s="1"/>
  <c r="L1415" i="23"/>
  <c r="N1415" i="23" s="1"/>
  <c r="L1416" i="23"/>
  <c r="N1416" i="23" s="1"/>
  <c r="L1417" i="23"/>
  <c r="N1417" i="23" s="1"/>
  <c r="L1418" i="23"/>
  <c r="N1418" i="23" s="1"/>
  <c r="L1419" i="23"/>
  <c r="N1419" i="23" s="1"/>
  <c r="L1420" i="23"/>
  <c r="N1420" i="23" s="1"/>
  <c r="L1421" i="23"/>
  <c r="N1421" i="23" s="1"/>
  <c r="L1422" i="23"/>
  <c r="N1422" i="23" s="1"/>
  <c r="L1423" i="23"/>
  <c r="N1423" i="23" s="1"/>
  <c r="L1424" i="23"/>
  <c r="N1424" i="23" s="1"/>
  <c r="L1425" i="23"/>
  <c r="N1425" i="23" s="1"/>
  <c r="L1426" i="23"/>
  <c r="N1426" i="23" s="1"/>
  <c r="L1427" i="23"/>
  <c r="N1427" i="23" s="1"/>
  <c r="L1428" i="23"/>
  <c r="N1428" i="23" s="1"/>
  <c r="L1429" i="23"/>
  <c r="N1429" i="23" s="1"/>
  <c r="L1430" i="23"/>
  <c r="L1431" i="23"/>
  <c r="N1431" i="23" s="1"/>
  <c r="L1432" i="23"/>
  <c r="N1432" i="23" s="1"/>
  <c r="L1433" i="23"/>
  <c r="N1433" i="23" s="1"/>
  <c r="L1434" i="23"/>
  <c r="N1434" i="23" s="1"/>
  <c r="L1435" i="23"/>
  <c r="N1435" i="23" s="1"/>
  <c r="L1436" i="23"/>
  <c r="N1436" i="23" s="1"/>
  <c r="L1437" i="23"/>
  <c r="N1437" i="23" s="1"/>
  <c r="L1438" i="23"/>
  <c r="N1438" i="23" s="1"/>
  <c r="L1439" i="23"/>
  <c r="N1439" i="23" s="1"/>
  <c r="L1440" i="23"/>
  <c r="N1440" i="23" s="1"/>
  <c r="L1441" i="23"/>
  <c r="N1441" i="23" s="1"/>
  <c r="L1442" i="23"/>
  <c r="N1442" i="23" s="1"/>
  <c r="L1443" i="23"/>
  <c r="N1443" i="23" s="1"/>
  <c r="L1444" i="23"/>
  <c r="N1444" i="23" s="1"/>
  <c r="L1445" i="23"/>
  <c r="N1445" i="23" s="1"/>
  <c r="L1446" i="23"/>
  <c r="N1446" i="23" s="1"/>
  <c r="L1447" i="23"/>
  <c r="N1447" i="23" s="1"/>
  <c r="L1448" i="23"/>
  <c r="N1448" i="23" s="1"/>
  <c r="L1449" i="23"/>
  <c r="N1449" i="23" s="1"/>
  <c r="L1450" i="23"/>
  <c r="N1450" i="23" s="1"/>
  <c r="L1451" i="23"/>
  <c r="N1451" i="23" s="1"/>
  <c r="L1452" i="23"/>
  <c r="N1452" i="23" s="1"/>
  <c r="L1453" i="23"/>
  <c r="N1453" i="23" s="1"/>
  <c r="L1454" i="23"/>
  <c r="N1454" i="23" s="1"/>
  <c r="L1455" i="23"/>
  <c r="N1455" i="23" s="1"/>
  <c r="L1456" i="23"/>
  <c r="N1456" i="23" s="1"/>
  <c r="L1457" i="23"/>
  <c r="N1457" i="23" s="1"/>
  <c r="L1458" i="23"/>
  <c r="N1458" i="23" s="1"/>
  <c r="L1459" i="23"/>
  <c r="N1459" i="23" s="1"/>
  <c r="L1460" i="23"/>
  <c r="N1460" i="23" s="1"/>
  <c r="L1461" i="23"/>
  <c r="N1461" i="23" s="1"/>
  <c r="L1462" i="23"/>
  <c r="N1462" i="23" s="1"/>
  <c r="L1463" i="23"/>
  <c r="N1463" i="23" s="1"/>
  <c r="L1464" i="23"/>
  <c r="N1464" i="23" s="1"/>
  <c r="L1465" i="23"/>
  <c r="N1465" i="23" s="1"/>
  <c r="L1466" i="23"/>
  <c r="N1466" i="23" s="1"/>
  <c r="L1467" i="23"/>
  <c r="N1467" i="23" s="1"/>
  <c r="L1468" i="23"/>
  <c r="N1468" i="23" s="1"/>
  <c r="L1469" i="23"/>
  <c r="N1469" i="23" s="1"/>
  <c r="L1470" i="23"/>
  <c r="N1470" i="23" s="1"/>
  <c r="L1471" i="23"/>
  <c r="N1471" i="23" s="1"/>
  <c r="L1472" i="23"/>
  <c r="N1472" i="23" s="1"/>
  <c r="L1473" i="23"/>
  <c r="N1473" i="23" s="1"/>
  <c r="L1474" i="23"/>
  <c r="N1474" i="23" s="1"/>
  <c r="L1475" i="23"/>
  <c r="N1475" i="23" s="1"/>
  <c r="L1476" i="23"/>
  <c r="N1476" i="23" s="1"/>
  <c r="L1477" i="23"/>
  <c r="N1477" i="23" s="1"/>
  <c r="L1478" i="23"/>
  <c r="L1479" i="23"/>
  <c r="N1479" i="23" s="1"/>
  <c r="L1480" i="23"/>
  <c r="N1480" i="23" s="1"/>
  <c r="L1481" i="23"/>
  <c r="N1481" i="23" s="1"/>
  <c r="L1482" i="23"/>
  <c r="N1482" i="23" s="1"/>
  <c r="L1483" i="23"/>
  <c r="N1483" i="23" s="1"/>
  <c r="L1484" i="23"/>
  <c r="N1484" i="23" s="1"/>
  <c r="L1485" i="23"/>
  <c r="N1485" i="23" s="1"/>
  <c r="L1486" i="23"/>
  <c r="N1486" i="23" s="1"/>
  <c r="L1487" i="23"/>
  <c r="N1487" i="23" s="1"/>
  <c r="L1488" i="23"/>
  <c r="N1488" i="23" s="1"/>
  <c r="L1489" i="23"/>
  <c r="N1489" i="23" s="1"/>
  <c r="L1490" i="23"/>
  <c r="N1490" i="23" s="1"/>
  <c r="L1491" i="23"/>
  <c r="N1491" i="23" s="1"/>
  <c r="L1492" i="23"/>
  <c r="N1492" i="23" s="1"/>
  <c r="L1493" i="23"/>
  <c r="N1493" i="23" s="1"/>
  <c r="L1494" i="23"/>
  <c r="N1494" i="23" s="1"/>
  <c r="L1495" i="23"/>
  <c r="N1495" i="23" s="1"/>
  <c r="L1496" i="23"/>
  <c r="N1496" i="23" s="1"/>
  <c r="L1497" i="23"/>
  <c r="N1497" i="23" s="1"/>
  <c r="L1498" i="23"/>
  <c r="N1498" i="23" s="1"/>
  <c r="L1499" i="23"/>
  <c r="N1499" i="23" s="1"/>
  <c r="L1500" i="23"/>
  <c r="N1500" i="23" s="1"/>
  <c r="L1501" i="23"/>
  <c r="N1501" i="23" s="1"/>
  <c r="L1502" i="23"/>
  <c r="N1502" i="23" s="1"/>
  <c r="L1503" i="23"/>
  <c r="N1503" i="23" s="1"/>
  <c r="L1504" i="23"/>
  <c r="N1504" i="23" s="1"/>
  <c r="L1505" i="23"/>
  <c r="N1505" i="23" s="1"/>
  <c r="L1506" i="23"/>
  <c r="N1506" i="23" s="1"/>
  <c r="L1507" i="23"/>
  <c r="N1507" i="23" s="1"/>
  <c r="L1508" i="23"/>
  <c r="N1508" i="23" s="1"/>
  <c r="L1509" i="23"/>
  <c r="N1509" i="23" s="1"/>
  <c r="L1510" i="23"/>
  <c r="N1510" i="23" s="1"/>
  <c r="L1511" i="23"/>
  <c r="N1511" i="23" s="1"/>
  <c r="L1512" i="23"/>
  <c r="N1512" i="23" s="1"/>
  <c r="L1513" i="23"/>
  <c r="L1514" i="23"/>
  <c r="N1514" i="23" s="1"/>
  <c r="L1515" i="23"/>
  <c r="N1515" i="23" s="1"/>
  <c r="L1516" i="23"/>
  <c r="N1516" i="23" s="1"/>
  <c r="L1517" i="23"/>
  <c r="N1517" i="23" s="1"/>
  <c r="L1518" i="23"/>
  <c r="N1518" i="23" s="1"/>
  <c r="L1519" i="23"/>
  <c r="N1519" i="23" s="1"/>
  <c r="L1520" i="23"/>
  <c r="N1520" i="23" s="1"/>
  <c r="L1521" i="23"/>
  <c r="N1521" i="23" s="1"/>
  <c r="L1522" i="23"/>
  <c r="N1522" i="23" s="1"/>
  <c r="L1523" i="23"/>
  <c r="N1523" i="23" s="1"/>
  <c r="L1524" i="23"/>
  <c r="N1524" i="23" s="1"/>
  <c r="L1525" i="23"/>
  <c r="N1525" i="23" s="1"/>
  <c r="L1526" i="23"/>
  <c r="N1526" i="23" s="1"/>
  <c r="L1527" i="23"/>
  <c r="N1527" i="23" s="1"/>
  <c r="L1528" i="23"/>
  <c r="N1528" i="23" s="1"/>
  <c r="L1529" i="23"/>
  <c r="N1529" i="23" s="1"/>
  <c r="L1530" i="23"/>
  <c r="N1530" i="23" s="1"/>
  <c r="L1531" i="23"/>
  <c r="N1531" i="23" s="1"/>
  <c r="L1532" i="23"/>
  <c r="N1532" i="23" s="1"/>
  <c r="L1533" i="23"/>
  <c r="N1533" i="23" s="1"/>
  <c r="L1534" i="23"/>
  <c r="N1534" i="23" s="1"/>
  <c r="L1535" i="23"/>
  <c r="N1535" i="23" s="1"/>
  <c r="L1536" i="23"/>
  <c r="N1536" i="23" s="1"/>
  <c r="L1537" i="23"/>
  <c r="N1537" i="23" s="1"/>
  <c r="L1538" i="23"/>
  <c r="N1538" i="23" s="1"/>
  <c r="L1539" i="23"/>
  <c r="N1539" i="23" s="1"/>
  <c r="L1540" i="23"/>
  <c r="N1540" i="23" s="1"/>
  <c r="L1541" i="23"/>
  <c r="N1541" i="23" s="1"/>
  <c r="L1542" i="23"/>
  <c r="N1542" i="23" s="1"/>
  <c r="L1543" i="23"/>
  <c r="N1543" i="23" s="1"/>
  <c r="L1544" i="23"/>
  <c r="N1544" i="23" s="1"/>
  <c r="L1545" i="23"/>
  <c r="N1545" i="23" s="1"/>
  <c r="L1546" i="23"/>
  <c r="N1546" i="23" s="1"/>
  <c r="L1547" i="23"/>
  <c r="N1547" i="23" s="1"/>
  <c r="L1548" i="23"/>
  <c r="N1548" i="23" s="1"/>
  <c r="L1549" i="23"/>
  <c r="N1549" i="23" s="1"/>
  <c r="L1550" i="23"/>
  <c r="N1550" i="23" s="1"/>
  <c r="L1551" i="23"/>
  <c r="N1551" i="23" s="1"/>
  <c r="L1552" i="23"/>
  <c r="N1552" i="23" s="1"/>
  <c r="L1553" i="23"/>
  <c r="N1553" i="23" s="1"/>
  <c r="L1554" i="23"/>
  <c r="N1554" i="23" s="1"/>
  <c r="L1555" i="23"/>
  <c r="N1555" i="23" s="1"/>
  <c r="L1556" i="23"/>
  <c r="N1556" i="23" s="1"/>
  <c r="L1557" i="23"/>
  <c r="N1557" i="23" s="1"/>
  <c r="L1558" i="23"/>
  <c r="N1558" i="23" s="1"/>
  <c r="L1559" i="23"/>
  <c r="N1559" i="23" s="1"/>
  <c r="L1560" i="23"/>
  <c r="N1560" i="23" s="1"/>
  <c r="L1561" i="23"/>
  <c r="N1561" i="23" s="1"/>
  <c r="L1562" i="23"/>
  <c r="N1562" i="23" s="1"/>
  <c r="L1563" i="23"/>
  <c r="N1563" i="23" s="1"/>
  <c r="L1564" i="23"/>
  <c r="N1564" i="23" s="1"/>
  <c r="L1565" i="23"/>
  <c r="N1565" i="23" s="1"/>
  <c r="L1566" i="23"/>
  <c r="N1566" i="23" s="1"/>
  <c r="L1567" i="23"/>
  <c r="N1567" i="23" s="1"/>
  <c r="L1568" i="23"/>
  <c r="N1568" i="23" s="1"/>
  <c r="L1569" i="23"/>
  <c r="N1569" i="23" s="1"/>
  <c r="L1570" i="23"/>
  <c r="N1570" i="23" s="1"/>
  <c r="L1571" i="23"/>
  <c r="N1571" i="23" s="1"/>
  <c r="L1572" i="23"/>
  <c r="N1572" i="23" s="1"/>
  <c r="L1573" i="23"/>
  <c r="N1573" i="23" s="1"/>
  <c r="L1574" i="23"/>
  <c r="N1574" i="23" s="1"/>
  <c r="L1575" i="23"/>
  <c r="N1575" i="23" s="1"/>
  <c r="L1576" i="23"/>
  <c r="N1576" i="23" s="1"/>
  <c r="L1577" i="23"/>
  <c r="N1577" i="23" s="1"/>
  <c r="L1578" i="23"/>
  <c r="N1578" i="23" s="1"/>
  <c r="L1579" i="23"/>
  <c r="N1579" i="23" s="1"/>
  <c r="L1580" i="23"/>
  <c r="N1580" i="23" s="1"/>
  <c r="L1581" i="23"/>
  <c r="N1581" i="23" s="1"/>
  <c r="L1582" i="23"/>
  <c r="N1582" i="23" s="1"/>
  <c r="L1583" i="23"/>
  <c r="N1583" i="23" s="1"/>
  <c r="L1584" i="23"/>
  <c r="N1584" i="23" s="1"/>
  <c r="L1585" i="23"/>
  <c r="N1585" i="23" s="1"/>
  <c r="L1586" i="23"/>
  <c r="N1586" i="23" s="1"/>
  <c r="L1587" i="23"/>
  <c r="N1587" i="23" s="1"/>
  <c r="L1588" i="23"/>
  <c r="N1588" i="23" s="1"/>
  <c r="L1589" i="23"/>
  <c r="N1589" i="23" s="1"/>
  <c r="L1590" i="23"/>
  <c r="N1590" i="23" s="1"/>
  <c r="L1591" i="23"/>
  <c r="N1591" i="23" s="1"/>
  <c r="L1592" i="23"/>
  <c r="N1592" i="23" s="1"/>
  <c r="L1593" i="23"/>
  <c r="N1593" i="23" s="1"/>
  <c r="L1594" i="23"/>
  <c r="N1594" i="23" s="1"/>
  <c r="L1595" i="23"/>
  <c r="N1595" i="23" s="1"/>
  <c r="L1596" i="23"/>
  <c r="N1596" i="23" s="1"/>
  <c r="L1597" i="23"/>
  <c r="N1597" i="23" s="1"/>
  <c r="L1598" i="23"/>
  <c r="N1598" i="23" s="1"/>
  <c r="L1599" i="23"/>
  <c r="N1599" i="23" s="1"/>
  <c r="L1600" i="23"/>
  <c r="N1600" i="23" s="1"/>
  <c r="L1601" i="23"/>
  <c r="N1601" i="23" s="1"/>
  <c r="L1602" i="23"/>
  <c r="N1602" i="23" s="1"/>
  <c r="L1603" i="23"/>
  <c r="N1603" i="23" s="1"/>
  <c r="L1604" i="23"/>
  <c r="N1604" i="23" s="1"/>
  <c r="L1605" i="23"/>
  <c r="N1605" i="23" s="1"/>
  <c r="L1606" i="23"/>
  <c r="N1606" i="23" s="1"/>
  <c r="L1607" i="23"/>
  <c r="N1607" i="23" s="1"/>
  <c r="L1608" i="23"/>
  <c r="N1608" i="23" s="1"/>
  <c r="L1609" i="23"/>
  <c r="N1609" i="23" s="1"/>
  <c r="L1610" i="23"/>
  <c r="N1610" i="23" s="1"/>
  <c r="L1611" i="23"/>
  <c r="N1611" i="23" s="1"/>
  <c r="L1612" i="23"/>
  <c r="N1612" i="23" s="1"/>
  <c r="L1613" i="23"/>
  <c r="N1613" i="23" s="1"/>
  <c r="L1614" i="23"/>
  <c r="N1614" i="23" s="1"/>
  <c r="L1615" i="23"/>
  <c r="N1615" i="23" s="1"/>
  <c r="L1616" i="23"/>
  <c r="N1616" i="23" s="1"/>
  <c r="L1617" i="23"/>
  <c r="N1617" i="23" s="1"/>
  <c r="L1618" i="23"/>
  <c r="N1618" i="23" s="1"/>
  <c r="L1619" i="23"/>
  <c r="N1619" i="23" s="1"/>
  <c r="L1620" i="23"/>
  <c r="N1620" i="23" s="1"/>
  <c r="L1621" i="23"/>
  <c r="N1621" i="23" s="1"/>
  <c r="L1622" i="23"/>
  <c r="N1622" i="23" s="1"/>
  <c r="L1623" i="23"/>
  <c r="N1623" i="23" s="1"/>
  <c r="L1624" i="23"/>
  <c r="N1624" i="23" s="1"/>
  <c r="L1625" i="23"/>
  <c r="N1625" i="23" s="1"/>
  <c r="L1626" i="23"/>
  <c r="N1626" i="23" s="1"/>
  <c r="L1627" i="23"/>
  <c r="N1627" i="23" s="1"/>
  <c r="L1628" i="23"/>
  <c r="N1628" i="23" s="1"/>
  <c r="L1629" i="23"/>
  <c r="N1629" i="23" s="1"/>
  <c r="L1630" i="23"/>
  <c r="N1630" i="23" s="1"/>
  <c r="L1631" i="23"/>
  <c r="N1631" i="23" s="1"/>
  <c r="L1632" i="23"/>
  <c r="N1632" i="23" s="1"/>
  <c r="L1633" i="23"/>
  <c r="N1633" i="23" s="1"/>
  <c r="L1634" i="23"/>
  <c r="N1634" i="23" s="1"/>
  <c r="L1635" i="23"/>
  <c r="L1636" i="23"/>
  <c r="N1636" i="23" s="1"/>
  <c r="L1637" i="23"/>
  <c r="N1637" i="23" s="1"/>
  <c r="L1638" i="23"/>
  <c r="N1638" i="23" s="1"/>
  <c r="L1639" i="23"/>
  <c r="N1639" i="23" s="1"/>
  <c r="L1640" i="23"/>
  <c r="N1640" i="23" s="1"/>
  <c r="L1641" i="23"/>
  <c r="N1641" i="23" s="1"/>
  <c r="L1642" i="23"/>
  <c r="N1642" i="23" s="1"/>
  <c r="L1643" i="23"/>
  <c r="N1643" i="23" s="1"/>
  <c r="L1644" i="23"/>
  <c r="N1644" i="23" s="1"/>
  <c r="L1645" i="23"/>
  <c r="N1645" i="23" s="1"/>
  <c r="L1646" i="23"/>
  <c r="N1646" i="23" s="1"/>
  <c r="L1647" i="23"/>
  <c r="N1647" i="23" s="1"/>
  <c r="L1648" i="23"/>
  <c r="N1648" i="23" s="1"/>
  <c r="L1649" i="23"/>
  <c r="N1649" i="23" s="1"/>
  <c r="L1650" i="23"/>
  <c r="N1650" i="23" s="1"/>
  <c r="L1651" i="23"/>
  <c r="N1651" i="23" s="1"/>
  <c r="L1652" i="23"/>
  <c r="N1652" i="23" s="1"/>
  <c r="L1653" i="23"/>
  <c r="N1653" i="23" s="1"/>
  <c r="L1654" i="23"/>
  <c r="N1654" i="23" s="1"/>
  <c r="L1655" i="23"/>
  <c r="N1655" i="23" s="1"/>
  <c r="L1656" i="23"/>
  <c r="N1656" i="23" s="1"/>
  <c r="L1657" i="23"/>
  <c r="N1657" i="23" s="1"/>
  <c r="L1658" i="23"/>
  <c r="N1658" i="23" s="1"/>
  <c r="L1659" i="23"/>
  <c r="N1659" i="23" s="1"/>
  <c r="L1660" i="23"/>
  <c r="L1661" i="23"/>
  <c r="N1661" i="23" s="1"/>
  <c r="L1662" i="23"/>
  <c r="N1662" i="23" s="1"/>
  <c r="L1663" i="23"/>
  <c r="N1663" i="23" s="1"/>
  <c r="L1664" i="23"/>
  <c r="N1664" i="23" s="1"/>
  <c r="L1665" i="23"/>
  <c r="N1665" i="23" s="1"/>
  <c r="L1666" i="23"/>
  <c r="N1666" i="23" s="1"/>
  <c r="L1667" i="23"/>
  <c r="N1667" i="23" s="1"/>
  <c r="L1668" i="23"/>
  <c r="N1668" i="23" s="1"/>
  <c r="L1669" i="23"/>
  <c r="N1669" i="23" s="1"/>
  <c r="L1670" i="23"/>
  <c r="N1670" i="23" s="1"/>
  <c r="L1671" i="23"/>
  <c r="N1671" i="23" s="1"/>
  <c r="L1672" i="23"/>
  <c r="N1672" i="23" s="1"/>
  <c r="L1673" i="23"/>
  <c r="N1673" i="23" s="1"/>
  <c r="L1674" i="23"/>
  <c r="N1674" i="23" s="1"/>
  <c r="L1675" i="23"/>
  <c r="N1675" i="23" s="1"/>
  <c r="L1676" i="23"/>
  <c r="N1676" i="23" s="1"/>
  <c r="L1677" i="23"/>
  <c r="N1677" i="23" s="1"/>
  <c r="L1678" i="23"/>
  <c r="N1678" i="23" s="1"/>
  <c r="L1679" i="23"/>
  <c r="N1679" i="23" s="1"/>
  <c r="L1680" i="23"/>
  <c r="N1680" i="23" s="1"/>
  <c r="L1681" i="23"/>
  <c r="N1681" i="23" s="1"/>
  <c r="L1682" i="23"/>
  <c r="N1682" i="23" s="1"/>
  <c r="L1683" i="23"/>
  <c r="N1683" i="23" s="1"/>
  <c r="L1684" i="23"/>
  <c r="N1684" i="23" s="1"/>
  <c r="L1685" i="23"/>
  <c r="N1685" i="23" s="1"/>
  <c r="L1686" i="23"/>
  <c r="N1686" i="23" s="1"/>
  <c r="L1687" i="23"/>
  <c r="N1687" i="23" s="1"/>
  <c r="L1688" i="23"/>
  <c r="N1688" i="23" s="1"/>
  <c r="L1689" i="23"/>
  <c r="N1689" i="23" s="1"/>
  <c r="L1690" i="23"/>
  <c r="N1690" i="23" s="1"/>
  <c r="L1691" i="23"/>
  <c r="N1691" i="23" s="1"/>
  <c r="L1692" i="23"/>
  <c r="N1692" i="23" s="1"/>
  <c r="L1693" i="23"/>
  <c r="N1693" i="23" s="1"/>
  <c r="L1694" i="23"/>
  <c r="N1694" i="23" s="1"/>
  <c r="L1695" i="23"/>
  <c r="N1695" i="23" s="1"/>
  <c r="L1696" i="23"/>
  <c r="N1696" i="23" s="1"/>
  <c r="L1697" i="23"/>
  <c r="N1697" i="23" s="1"/>
  <c r="L1698" i="23"/>
  <c r="N1698" i="23" s="1"/>
  <c r="L1699" i="23"/>
  <c r="N1699" i="23" s="1"/>
  <c r="L1700" i="23"/>
  <c r="N1700" i="23" s="1"/>
  <c r="L1701" i="23"/>
  <c r="N1701" i="23" s="1"/>
  <c r="L1702" i="23"/>
  <c r="N1702" i="23" s="1"/>
  <c r="L1703" i="23"/>
  <c r="N1703" i="23" s="1"/>
  <c r="L1704" i="23"/>
  <c r="N1704" i="23" s="1"/>
  <c r="L1705" i="23"/>
  <c r="N1705" i="23" s="1"/>
  <c r="L1706" i="23"/>
  <c r="N1706" i="23" s="1"/>
  <c r="L1707" i="23"/>
  <c r="N1707" i="23" s="1"/>
  <c r="L1708" i="23"/>
  <c r="N1708" i="23" s="1"/>
  <c r="L1709" i="23"/>
  <c r="N1709" i="23" s="1"/>
  <c r="L1710" i="23"/>
  <c r="N1710" i="23" s="1"/>
  <c r="L1711" i="23"/>
  <c r="N1711" i="23" s="1"/>
  <c r="L1712" i="23"/>
  <c r="N1712" i="23" s="1"/>
  <c r="L1713" i="23"/>
  <c r="N1713" i="23" s="1"/>
  <c r="L1714" i="23"/>
  <c r="N1714" i="23" s="1"/>
  <c r="L1715" i="23"/>
  <c r="N1715" i="23" s="1"/>
  <c r="L1716" i="23"/>
  <c r="N1716" i="23" s="1"/>
  <c r="L1717" i="23"/>
  <c r="N1717" i="23" s="1"/>
  <c r="L1718" i="23"/>
  <c r="N1718" i="23" s="1"/>
  <c r="L1719" i="23"/>
  <c r="N1719" i="23" s="1"/>
  <c r="L1720" i="23"/>
  <c r="N1720" i="23" s="1"/>
  <c r="L1721" i="23"/>
  <c r="N1721" i="23" s="1"/>
  <c r="L1722" i="23"/>
  <c r="N1722" i="23" s="1"/>
  <c r="L1723" i="23"/>
  <c r="N1723" i="23" s="1"/>
  <c r="L1724" i="23"/>
  <c r="N1724" i="23" s="1"/>
  <c r="L1725" i="23"/>
  <c r="N1725" i="23" s="1"/>
  <c r="L1726" i="23"/>
  <c r="N1726" i="23" s="1"/>
  <c r="L1727" i="23"/>
  <c r="N1727" i="23" s="1"/>
  <c r="L1728" i="23"/>
  <c r="N1728" i="23" s="1"/>
  <c r="L2" i="23"/>
  <c r="N2" i="23" s="1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M224" i="15"/>
  <c r="M225" i="15"/>
  <c r="M226" i="15"/>
  <c r="M227" i="15"/>
  <c r="M228" i="15"/>
  <c r="M229" i="15"/>
  <c r="M230" i="15"/>
  <c r="M231" i="15"/>
  <c r="M232" i="15"/>
  <c r="M233" i="15"/>
  <c r="M234" i="15"/>
  <c r="M235" i="15"/>
  <c r="M236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M303" i="15"/>
  <c r="M304" i="15"/>
  <c r="M305" i="15"/>
  <c r="M306" i="15"/>
  <c r="M307" i="15"/>
  <c r="M308" i="15"/>
  <c r="M309" i="15"/>
  <c r="M310" i="15"/>
  <c r="M311" i="15"/>
  <c r="M312" i="15"/>
  <c r="M313" i="15"/>
  <c r="M314" i="15"/>
  <c r="M315" i="15"/>
  <c r="M316" i="15"/>
  <c r="M317" i="15"/>
  <c r="M318" i="15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M367" i="15"/>
  <c r="M368" i="15"/>
  <c r="M369" i="15"/>
  <c r="M370" i="15"/>
  <c r="M371" i="15"/>
  <c r="M372" i="15"/>
  <c r="M373" i="15"/>
  <c r="M374" i="15"/>
  <c r="M375" i="15"/>
  <c r="M376" i="15"/>
  <c r="M377" i="15"/>
  <c r="M378" i="15"/>
  <c r="M379" i="15"/>
  <c r="M380" i="15"/>
  <c r="M381" i="15"/>
  <c r="M382" i="15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M416" i="15"/>
  <c r="M417" i="15"/>
  <c r="M418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M431" i="15"/>
  <c r="M432" i="15"/>
  <c r="M433" i="15"/>
  <c r="M434" i="15"/>
  <c r="M435" i="15"/>
  <c r="M436" i="15"/>
  <c r="M437" i="15"/>
  <c r="M438" i="15"/>
  <c r="M439" i="15"/>
  <c r="M440" i="15"/>
  <c r="M441" i="15"/>
  <c r="M442" i="15"/>
  <c r="M443" i="15"/>
  <c r="M444" i="15"/>
  <c r="M445" i="15"/>
  <c r="M446" i="15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M482" i="15"/>
  <c r="M483" i="15"/>
  <c r="M484" i="15"/>
  <c r="M485" i="15"/>
  <c r="M486" i="15"/>
  <c r="M487" i="15"/>
  <c r="M488" i="15"/>
  <c r="M489" i="15"/>
  <c r="M490" i="15"/>
  <c r="M491" i="15"/>
  <c r="M492" i="15"/>
  <c r="M493" i="15"/>
  <c r="M494" i="15"/>
  <c r="M495" i="15"/>
  <c r="M496" i="15"/>
  <c r="M497" i="15"/>
  <c r="M498" i="15"/>
  <c r="M499" i="15"/>
  <c r="M500" i="15"/>
  <c r="Y22" i="15"/>
  <c r="Y398" i="15"/>
  <c r="Y399" i="15"/>
  <c r="Y400" i="15"/>
  <c r="Y401" i="15"/>
  <c r="Y402" i="15"/>
  <c r="Y403" i="15"/>
  <c r="Y404" i="15"/>
  <c r="Y405" i="15"/>
  <c r="Y406" i="15"/>
  <c r="Y407" i="15"/>
  <c r="Y408" i="15"/>
  <c r="Y409" i="15"/>
  <c r="Y410" i="15"/>
  <c r="Y411" i="15"/>
  <c r="Y412" i="15"/>
  <c r="Y413" i="15"/>
  <c r="Y414" i="15"/>
  <c r="Y415" i="15"/>
  <c r="Y416" i="15"/>
  <c r="Y417" i="15"/>
  <c r="Y418" i="15"/>
  <c r="Y419" i="15"/>
  <c r="Y420" i="15"/>
  <c r="Y421" i="15"/>
  <c r="Y422" i="15"/>
  <c r="Y423" i="15"/>
  <c r="Y424" i="15"/>
  <c r="Y425" i="15"/>
  <c r="Y426" i="15"/>
  <c r="Y427" i="15"/>
  <c r="Y428" i="15"/>
  <c r="Y429" i="15"/>
  <c r="Y430" i="15"/>
  <c r="Y431" i="15"/>
  <c r="Y432" i="15"/>
  <c r="Y433" i="15"/>
  <c r="Y434" i="15"/>
  <c r="Y435" i="15"/>
  <c r="Y436" i="15"/>
  <c r="Y437" i="15"/>
  <c r="Y438" i="15"/>
  <c r="Y439" i="15"/>
  <c r="Y440" i="15"/>
  <c r="Y441" i="15"/>
  <c r="Y442" i="15"/>
  <c r="Y443" i="15"/>
  <c r="Y444" i="15"/>
  <c r="Y445" i="15"/>
  <c r="Y446" i="15"/>
  <c r="Y447" i="15"/>
  <c r="Y448" i="15"/>
  <c r="Y449" i="15"/>
  <c r="Y450" i="15"/>
  <c r="Y451" i="15"/>
  <c r="Y452" i="15"/>
  <c r="Y453" i="15"/>
  <c r="Y454" i="15"/>
  <c r="Y455" i="15"/>
  <c r="Y456" i="15"/>
  <c r="Y457" i="15"/>
  <c r="Y458" i="15"/>
  <c r="Y459" i="15"/>
  <c r="Y460" i="15"/>
  <c r="Y461" i="15"/>
  <c r="Y462" i="15"/>
  <c r="Y463" i="15"/>
  <c r="Y464" i="15"/>
  <c r="Y465" i="15"/>
  <c r="Y466" i="15"/>
  <c r="Y467" i="15"/>
  <c r="Y468" i="15"/>
  <c r="Y469" i="15"/>
  <c r="Y470" i="15"/>
  <c r="Y471" i="15"/>
  <c r="Y472" i="15"/>
  <c r="Y473" i="15"/>
  <c r="Y474" i="15"/>
  <c r="Y475" i="15"/>
  <c r="Y476" i="15"/>
  <c r="Y477" i="15"/>
  <c r="Y478" i="15"/>
  <c r="Y479" i="15"/>
  <c r="Y480" i="15"/>
  <c r="Y481" i="15"/>
  <c r="Y482" i="15"/>
  <c r="Y483" i="15"/>
  <c r="Y484" i="15"/>
  <c r="Y485" i="15"/>
  <c r="Y486" i="15"/>
  <c r="Y487" i="15"/>
  <c r="Y488" i="15"/>
  <c r="Y489" i="15"/>
  <c r="Y490" i="15"/>
  <c r="Y491" i="15"/>
  <c r="Y492" i="15"/>
  <c r="Y493" i="15"/>
  <c r="Y494" i="15"/>
  <c r="Y495" i="15"/>
  <c r="Y496" i="15"/>
  <c r="Y497" i="15"/>
  <c r="Y498" i="15"/>
  <c r="Y499" i="15"/>
  <c r="Y500" i="15"/>
  <c r="Y388" i="15"/>
  <c r="Y389" i="15"/>
  <c r="Y390" i="15"/>
  <c r="Y391" i="15"/>
  <c r="Y392" i="15"/>
  <c r="Y393" i="15"/>
  <c r="Y355" i="15"/>
  <c r="Y356" i="15"/>
  <c r="Y357" i="15"/>
  <c r="Y358" i="15"/>
  <c r="Y359" i="15"/>
  <c r="Y360" i="15"/>
  <c r="Y361" i="15"/>
  <c r="Y362" i="15"/>
  <c r="Y363" i="15"/>
  <c r="Y364" i="15"/>
  <c r="Y365" i="15"/>
  <c r="Y366" i="15"/>
  <c r="Y367" i="15"/>
  <c r="Y368" i="15"/>
  <c r="Y369" i="15"/>
  <c r="Y370" i="15"/>
  <c r="Y371" i="15"/>
  <c r="Y372" i="15"/>
  <c r="Y373" i="15"/>
  <c r="Y374" i="15"/>
  <c r="Y375" i="15"/>
  <c r="Y376" i="15"/>
  <c r="Y377" i="15"/>
  <c r="Y378" i="15"/>
  <c r="Y379" i="15"/>
  <c r="Y380" i="15"/>
  <c r="Y381" i="15"/>
  <c r="Y382" i="15"/>
  <c r="Y383" i="15"/>
  <c r="Y384" i="15"/>
  <c r="Y385" i="15"/>
  <c r="Y386" i="15"/>
  <c r="Y387" i="15"/>
  <c r="Y394" i="15"/>
  <c r="Y395" i="15"/>
  <c r="Y396" i="15"/>
  <c r="Y397" i="15"/>
  <c r="Y328" i="15"/>
  <c r="Y329" i="15"/>
  <c r="Y330" i="15"/>
  <c r="Y331" i="15"/>
  <c r="Y332" i="15"/>
  <c r="Y333" i="15"/>
  <c r="Y334" i="15"/>
  <c r="Y335" i="15"/>
  <c r="Y336" i="15"/>
  <c r="Y337" i="15"/>
  <c r="Y338" i="15"/>
  <c r="Y339" i="15"/>
  <c r="Y340" i="15"/>
  <c r="Y341" i="15"/>
  <c r="Y342" i="15"/>
  <c r="Y343" i="15"/>
  <c r="Y344" i="15"/>
  <c r="Y345" i="15"/>
  <c r="Y346" i="15"/>
  <c r="Y347" i="15"/>
  <c r="Y348" i="15"/>
  <c r="Y349" i="15"/>
  <c r="Y350" i="15"/>
  <c r="Y351" i="15"/>
  <c r="Y352" i="15"/>
  <c r="Y353" i="15"/>
  <c r="Y354" i="15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Y113" i="15"/>
  <c r="Y114" i="15"/>
  <c r="Y115" i="15"/>
  <c r="Y116" i="15"/>
  <c r="Y117" i="15"/>
  <c r="Y118" i="15"/>
  <c r="Y119" i="15"/>
  <c r="Y120" i="15"/>
  <c r="Y121" i="15"/>
  <c r="Y122" i="15"/>
  <c r="Y123" i="15"/>
  <c r="Y124" i="15"/>
  <c r="Y125" i="15"/>
  <c r="Y126" i="15"/>
  <c r="Y127" i="15"/>
  <c r="Y128" i="15"/>
  <c r="Y129" i="15"/>
  <c r="Y130" i="15"/>
  <c r="Y131" i="15"/>
  <c r="Y132" i="15"/>
  <c r="Y133" i="15"/>
  <c r="Y134" i="15"/>
  <c r="Y135" i="15"/>
  <c r="Y136" i="15"/>
  <c r="Y137" i="15"/>
  <c r="Y138" i="15"/>
  <c r="Y139" i="15"/>
  <c r="Y140" i="15"/>
  <c r="Y141" i="15"/>
  <c r="Y142" i="15"/>
  <c r="Y143" i="15"/>
  <c r="Y144" i="15"/>
  <c r="Y145" i="15"/>
  <c r="Y146" i="15"/>
  <c r="Y147" i="15"/>
  <c r="Y148" i="15"/>
  <c r="Y149" i="15"/>
  <c r="Y150" i="15"/>
  <c r="Y151" i="15"/>
  <c r="Y152" i="15"/>
  <c r="Y153" i="15"/>
  <c r="Y154" i="15"/>
  <c r="Y155" i="15"/>
  <c r="Y156" i="15"/>
  <c r="Y157" i="15"/>
  <c r="Y158" i="15"/>
  <c r="Y159" i="15"/>
  <c r="Y160" i="15"/>
  <c r="Y161" i="15"/>
  <c r="Y162" i="15"/>
  <c r="Y163" i="15"/>
  <c r="Y164" i="15"/>
  <c r="Y165" i="15"/>
  <c r="Y166" i="15"/>
  <c r="Y167" i="15"/>
  <c r="Y168" i="15"/>
  <c r="Y169" i="15"/>
  <c r="Y170" i="15"/>
  <c r="Y171" i="15"/>
  <c r="Y172" i="15"/>
  <c r="Y173" i="15"/>
  <c r="Y174" i="15"/>
  <c r="Y175" i="15"/>
  <c r="Y176" i="15"/>
  <c r="Y177" i="15"/>
  <c r="Y178" i="15"/>
  <c r="Y179" i="15"/>
  <c r="Y180" i="15"/>
  <c r="Y181" i="15"/>
  <c r="Y182" i="15"/>
  <c r="Y183" i="15"/>
  <c r="Y184" i="15"/>
  <c r="Y185" i="15"/>
  <c r="Y186" i="15"/>
  <c r="Y187" i="15"/>
  <c r="Y188" i="15"/>
  <c r="Y189" i="15"/>
  <c r="Y190" i="15"/>
  <c r="Y191" i="15"/>
  <c r="Y192" i="15"/>
  <c r="Y193" i="15"/>
  <c r="Y194" i="15"/>
  <c r="Y195" i="15"/>
  <c r="Y196" i="15"/>
  <c r="Y197" i="15"/>
  <c r="Y198" i="15"/>
  <c r="Y199" i="15"/>
  <c r="Y200" i="15"/>
  <c r="Y201" i="15"/>
  <c r="Y202" i="15"/>
  <c r="Y203" i="15"/>
  <c r="Y204" i="15"/>
  <c r="Y205" i="15"/>
  <c r="Y206" i="15"/>
  <c r="Y207" i="15"/>
  <c r="Y208" i="15"/>
  <c r="Y209" i="15"/>
  <c r="Y210" i="15"/>
  <c r="Y211" i="15"/>
  <c r="Y212" i="15"/>
  <c r="Y213" i="15"/>
  <c r="Y214" i="15"/>
  <c r="Y215" i="15"/>
  <c r="Y216" i="15"/>
  <c r="Y217" i="15"/>
  <c r="Y218" i="15"/>
  <c r="Y219" i="15"/>
  <c r="Y220" i="15"/>
  <c r="Y221" i="15"/>
  <c r="Y222" i="15"/>
  <c r="Y223" i="15"/>
  <c r="Y224" i="15"/>
  <c r="Y225" i="15"/>
  <c r="Y226" i="15"/>
  <c r="Y227" i="15"/>
  <c r="Y228" i="15"/>
  <c r="Y229" i="15"/>
  <c r="Y230" i="15"/>
  <c r="Y231" i="15"/>
  <c r="Y232" i="15"/>
  <c r="Y233" i="15"/>
  <c r="Y234" i="15"/>
  <c r="Y235" i="15"/>
  <c r="Y236" i="15"/>
  <c r="Y237" i="15"/>
  <c r="Y238" i="15"/>
  <c r="Y239" i="15"/>
  <c r="Y240" i="15"/>
  <c r="Y241" i="15"/>
  <c r="Y242" i="15"/>
  <c r="Y243" i="15"/>
  <c r="Y244" i="15"/>
  <c r="Y245" i="15"/>
  <c r="Y246" i="15"/>
  <c r="Y247" i="15"/>
  <c r="Y248" i="15"/>
  <c r="Y249" i="15"/>
  <c r="Y250" i="15"/>
  <c r="Y251" i="15"/>
  <c r="Y252" i="15"/>
  <c r="Y253" i="15"/>
  <c r="Y254" i="15"/>
  <c r="Y255" i="15"/>
  <c r="Y256" i="15"/>
  <c r="Y257" i="15"/>
  <c r="Y258" i="15"/>
  <c r="Y259" i="15"/>
  <c r="Y260" i="15"/>
  <c r="Y261" i="15"/>
  <c r="Y262" i="15"/>
  <c r="Y263" i="15"/>
  <c r="Y264" i="15"/>
  <c r="Y265" i="15"/>
  <c r="Y266" i="15"/>
  <c r="Y267" i="15"/>
  <c r="Y268" i="15"/>
  <c r="Y269" i="15"/>
  <c r="Y270" i="15"/>
  <c r="Y271" i="15"/>
  <c r="Y272" i="15"/>
  <c r="Y273" i="15"/>
  <c r="Y274" i="15"/>
  <c r="Y275" i="15"/>
  <c r="Y276" i="15"/>
  <c r="Y277" i="15"/>
  <c r="Y278" i="15"/>
  <c r="Y279" i="15"/>
  <c r="Y280" i="15"/>
  <c r="Y281" i="15"/>
  <c r="Y282" i="15"/>
  <c r="Y283" i="15"/>
  <c r="Y284" i="15"/>
  <c r="Y285" i="15"/>
  <c r="Y286" i="15"/>
  <c r="Y287" i="15"/>
  <c r="Y288" i="15"/>
  <c r="Y289" i="15"/>
  <c r="Y290" i="15"/>
  <c r="Y291" i="15"/>
  <c r="Y292" i="15"/>
  <c r="Y293" i="15"/>
  <c r="Y294" i="15"/>
  <c r="Y295" i="15"/>
  <c r="Y296" i="15"/>
  <c r="Y297" i="15"/>
  <c r="Y298" i="15"/>
  <c r="Y299" i="15"/>
  <c r="Y300" i="15"/>
  <c r="Y301" i="15"/>
  <c r="Y302" i="15"/>
  <c r="Y303" i="15"/>
  <c r="Y304" i="15"/>
  <c r="Y305" i="15"/>
  <c r="Y306" i="15"/>
  <c r="Y307" i="15"/>
  <c r="Y308" i="15"/>
  <c r="Y309" i="15"/>
  <c r="Y310" i="15"/>
  <c r="Y311" i="15"/>
  <c r="Y312" i="15"/>
  <c r="Y313" i="15"/>
  <c r="Y314" i="15"/>
  <c r="Y315" i="15"/>
  <c r="Y316" i="15"/>
  <c r="Y317" i="15"/>
  <c r="Y318" i="15"/>
  <c r="Y319" i="15"/>
  <c r="Y320" i="15"/>
  <c r="Y321" i="15"/>
  <c r="Y322" i="15"/>
  <c r="Y323" i="15"/>
  <c r="Y324" i="15"/>
  <c r="Y325" i="15"/>
  <c r="Y326" i="15"/>
  <c r="Y327" i="15"/>
  <c r="T2" i="2" l="1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3" i="15"/>
  <c r="Y4" i="15" l="1"/>
</calcChain>
</file>

<file path=xl/sharedStrings.xml><?xml version="1.0" encoding="utf-8"?>
<sst xmlns="http://schemas.openxmlformats.org/spreadsheetml/2006/main" count="19145" uniqueCount="5447">
  <si>
    <t>WHERE</t>
  </si>
  <si>
    <t>WHO</t>
  </si>
  <si>
    <t>WHAT</t>
  </si>
  <si>
    <t>Reporting Month</t>
  </si>
  <si>
    <t>May</t>
  </si>
  <si>
    <t>IOM</t>
  </si>
  <si>
    <t>Completed</t>
  </si>
  <si>
    <t>ACTED</t>
  </si>
  <si>
    <t>Partner</t>
  </si>
  <si>
    <t>Activity Type</t>
  </si>
  <si>
    <t>Activity Sub-Type</t>
  </si>
  <si>
    <t>Unit</t>
  </si>
  <si>
    <t>Planned</t>
  </si>
  <si>
    <t>ActivityCode</t>
  </si>
  <si>
    <t>Concat1</t>
  </si>
  <si>
    <t>Units</t>
  </si>
  <si>
    <t>Activity Sub  Type</t>
  </si>
  <si>
    <t>Activity Code</t>
  </si>
  <si>
    <t>Ongoing</t>
  </si>
  <si>
    <t>January</t>
  </si>
  <si>
    <t>February</t>
  </si>
  <si>
    <t>Not Applicable</t>
  </si>
  <si>
    <t>March</t>
  </si>
  <si>
    <t>April</t>
  </si>
  <si>
    <t>June</t>
  </si>
  <si>
    <t>Other</t>
  </si>
  <si>
    <t>July</t>
  </si>
  <si>
    <t>August</t>
  </si>
  <si>
    <t>September</t>
  </si>
  <si>
    <t>October</t>
  </si>
  <si>
    <t>November</t>
  </si>
  <si>
    <t>December</t>
  </si>
  <si>
    <t># of sites</t>
  </si>
  <si>
    <t>Organization Name</t>
  </si>
  <si>
    <t>DRC</t>
  </si>
  <si>
    <t>NRC</t>
  </si>
  <si>
    <t>Jana</t>
  </si>
  <si>
    <t>Site</t>
  </si>
  <si>
    <t>STATUS</t>
  </si>
  <si>
    <t>Site ID</t>
  </si>
  <si>
    <t>Site Name</t>
  </si>
  <si>
    <t>Site Name (ar)</t>
  </si>
  <si>
    <t>Governorate</t>
  </si>
  <si>
    <t>Governorate_PCODE</t>
  </si>
  <si>
    <t>NeighborhoodPcode</t>
  </si>
  <si>
    <t>Site Agency</t>
  </si>
  <si>
    <t>Implementing Partner</t>
  </si>
  <si>
    <t>FinalImplementingPartner</t>
  </si>
  <si>
    <t>Site Status</t>
  </si>
  <si>
    <t>Agency</t>
  </si>
  <si>
    <t>KYS1023</t>
  </si>
  <si>
    <t>Al Karama 2</t>
  </si>
  <si>
    <t>الكرامة</t>
  </si>
  <si>
    <t>Al Mawasi</t>
  </si>
  <si>
    <t>PHC</t>
  </si>
  <si>
    <t>Active</t>
  </si>
  <si>
    <t>GZA4435</t>
  </si>
  <si>
    <t>Al Shalihat</t>
  </si>
  <si>
    <t>الشاليهات</t>
  </si>
  <si>
    <t>Gaza</t>
  </si>
  <si>
    <t>Southern Remal</t>
  </si>
  <si>
    <t>GZA4199</t>
  </si>
  <si>
    <t>Al Azahra University Parking</t>
  </si>
  <si>
    <t>مواقف جامعة الأزهر</t>
  </si>
  <si>
    <t>GZA4131</t>
  </si>
  <si>
    <t>Palestine stadium</t>
  </si>
  <si>
    <t xml:space="preserve">ملعب فلسطين </t>
  </si>
  <si>
    <t>Northern Remal</t>
  </si>
  <si>
    <t>GZA6013</t>
  </si>
  <si>
    <t>Metro Al-jwazat Site</t>
  </si>
  <si>
    <t>مترو الجوازات</t>
  </si>
  <si>
    <t>GZA4439</t>
  </si>
  <si>
    <t>Arafat City Site</t>
  </si>
  <si>
    <t>GZA4160</t>
  </si>
  <si>
    <t>Al Isra land 1</t>
  </si>
  <si>
    <t>ارض الاسراء 1</t>
  </si>
  <si>
    <t>KYS1532</t>
  </si>
  <si>
    <t>May 28 Camp</t>
  </si>
  <si>
    <t>مخيم ٢٨ مايو</t>
  </si>
  <si>
    <t>An Naser</t>
  </si>
  <si>
    <t>KYS4564</t>
  </si>
  <si>
    <t>Mina Al-Qarara Camp</t>
  </si>
  <si>
    <t>Al Qarara (west)</t>
  </si>
  <si>
    <t>CESVI</t>
  </si>
  <si>
    <t>GZA4125</t>
  </si>
  <si>
    <t>Wafaa</t>
  </si>
  <si>
    <t>مخيم الوفاء</t>
  </si>
  <si>
    <t>As Sabra</t>
  </si>
  <si>
    <t>KYS2715</t>
  </si>
  <si>
    <t>Khaled Ben al-Waleed</t>
  </si>
  <si>
    <t>موقع خالد بن الوليد</t>
  </si>
  <si>
    <t>KYS2816</t>
  </si>
  <si>
    <t>El Ebtesamah</t>
  </si>
  <si>
    <t>موقع الابتسامة</t>
  </si>
  <si>
    <t>DEB0080</t>
  </si>
  <si>
    <t>Quds Site</t>
  </si>
  <si>
    <t>مخيم القدس</t>
  </si>
  <si>
    <t>Ar Rasheed</t>
  </si>
  <si>
    <t>KYS2051</t>
  </si>
  <si>
    <t>Al Mukhtar Faisal Site</t>
  </si>
  <si>
    <t>موقع المختار فيصل</t>
  </si>
  <si>
    <t>DEB2459</t>
  </si>
  <si>
    <t>Asia</t>
  </si>
  <si>
    <t>أسيا</t>
  </si>
  <si>
    <t>Al Bassa</t>
  </si>
  <si>
    <t>GZA4457</t>
  </si>
  <si>
    <t>Atyaf Al Khair site</t>
  </si>
  <si>
    <t xml:space="preserve">موقع اطياف الخير 1 و 2 </t>
  </si>
  <si>
    <t>GZA4134</t>
  </si>
  <si>
    <t>Al Karama</t>
  </si>
  <si>
    <t>مخيم الكرامة</t>
  </si>
  <si>
    <t>GZA4129</t>
  </si>
  <si>
    <t>Al-Zouhoor 1</t>
  </si>
  <si>
    <t>مخيم الزهور 1</t>
  </si>
  <si>
    <t>An Naser-Gaza</t>
  </si>
  <si>
    <t>DEB4493</t>
  </si>
  <si>
    <t>Al-Nakheel Alshrqee</t>
  </si>
  <si>
    <t>مخيم النخيل الشرقي</t>
  </si>
  <si>
    <t>As Salam</t>
  </si>
  <si>
    <t>BLDA</t>
  </si>
  <si>
    <t>North Gaza</t>
  </si>
  <si>
    <t>'Izbat Beit Hanun (west)</t>
  </si>
  <si>
    <t>DEB4596</t>
  </si>
  <si>
    <t>Sakeena School</t>
  </si>
  <si>
    <t>مدرسة سكينة</t>
  </si>
  <si>
    <t>Al Balad</t>
  </si>
  <si>
    <t>KYS2668</t>
  </si>
  <si>
    <t>Shams Site</t>
  </si>
  <si>
    <t>شمس</t>
  </si>
  <si>
    <t>KYS1741</t>
  </si>
  <si>
    <t>Al Abdin Area</t>
  </si>
  <si>
    <t>منطقة العابدين</t>
  </si>
  <si>
    <t>KYS3931</t>
  </si>
  <si>
    <t>Basant Site</t>
  </si>
  <si>
    <t>موقع بسنت</t>
  </si>
  <si>
    <t>Al Jala'a</t>
  </si>
  <si>
    <t>DEB3272</t>
  </si>
  <si>
    <t>Al-Masdar al-bahr camp</t>
  </si>
  <si>
    <t>موقع المصدر البحر</t>
  </si>
  <si>
    <t>DEB2330</t>
  </si>
  <si>
    <t>mostafa</t>
  </si>
  <si>
    <t>مخيم المصطفى</t>
  </si>
  <si>
    <t>DEB0120</t>
  </si>
  <si>
    <t>DEB0120 - Ard Sharrab</t>
  </si>
  <si>
    <t>ارض شراب</t>
  </si>
  <si>
    <t>DEB2219</t>
  </si>
  <si>
    <t>Al-Durra Stadium</t>
  </si>
  <si>
    <t>ملعب الدرة</t>
  </si>
  <si>
    <t>DEB0077</t>
  </si>
  <si>
    <t>Al-Karama</t>
  </si>
  <si>
    <t>موقع الكرامة</t>
  </si>
  <si>
    <t>DEB4558</t>
  </si>
  <si>
    <t>Al-Riyad School</t>
  </si>
  <si>
    <t>مدرسة الرياض</t>
  </si>
  <si>
    <t>An Nuseirat</t>
  </si>
  <si>
    <t>DEB2778</t>
  </si>
  <si>
    <t>Bilal Bin Rabah</t>
  </si>
  <si>
    <t>مخيم بلال بن رباح</t>
  </si>
  <si>
    <t>DEB4498</t>
  </si>
  <si>
    <t>Palestine Technical College</t>
  </si>
  <si>
    <t>كلية فلسطين التقنية</t>
  </si>
  <si>
    <t>DEB4585</t>
  </si>
  <si>
    <t>Deir Al-Balah Primary School</t>
  </si>
  <si>
    <t>Al Hikr</t>
  </si>
  <si>
    <t>DEB0477</t>
  </si>
  <si>
    <t>Arb abu salim shelter</t>
  </si>
  <si>
    <t>ايواء ارض ابو سليم</t>
  </si>
  <si>
    <t>DEB4587</t>
  </si>
  <si>
    <t>Filtar Boys School</t>
  </si>
  <si>
    <t>مدرسة فلتر للبنين</t>
  </si>
  <si>
    <t>KYS1893</t>
  </si>
  <si>
    <t>Al Bayari</t>
  </si>
  <si>
    <t>البياري</t>
  </si>
  <si>
    <t>At Tahrir</t>
  </si>
  <si>
    <t>KYS1742</t>
  </si>
  <si>
    <t>Al-Shaer</t>
  </si>
  <si>
    <t>حي الشاعر</t>
  </si>
  <si>
    <t>KYS4038</t>
  </si>
  <si>
    <t>Al-Ihsan camp (KYS)</t>
  </si>
  <si>
    <t>احسان</t>
  </si>
  <si>
    <t>DEB4107</t>
  </si>
  <si>
    <t>Al-Badr camp</t>
  </si>
  <si>
    <t>مخيم البدر</t>
  </si>
  <si>
    <t>KYS1896</t>
  </si>
  <si>
    <t>Zourob site  (Alahed)</t>
  </si>
  <si>
    <t>موقع زعرب (العهد)</t>
  </si>
  <si>
    <t>DEB0515</t>
  </si>
  <si>
    <t>Ashkelon square location</t>
  </si>
  <si>
    <t>موقع عسقلان</t>
  </si>
  <si>
    <t>KYS2033</t>
  </si>
  <si>
    <t>Al-Joura Camp</t>
  </si>
  <si>
    <t>الجوره</t>
  </si>
  <si>
    <t>KYS0092</t>
  </si>
  <si>
    <t>Al-Najjar community 1</t>
  </si>
  <si>
    <t>النجار</t>
  </si>
  <si>
    <t>KYS1932</t>
  </si>
  <si>
    <t>AlFarra</t>
  </si>
  <si>
    <t>مخيم الفرا</t>
  </si>
  <si>
    <t>KYS0240</t>
  </si>
  <si>
    <t>Sunniyeh Camp</t>
  </si>
  <si>
    <t>السُنِّيه</t>
  </si>
  <si>
    <t>KYS0939</t>
  </si>
  <si>
    <t>Hai-Aljonaina</t>
  </si>
  <si>
    <t>حي الجنينه</t>
  </si>
  <si>
    <t>KYS4033</t>
  </si>
  <si>
    <t>Hayat Camp</t>
  </si>
  <si>
    <t>موقع حياة</t>
  </si>
  <si>
    <t>KYS2030</t>
  </si>
  <si>
    <t>Alrrayan</t>
  </si>
  <si>
    <t>موقع الريان</t>
  </si>
  <si>
    <t>KYS1923</t>
  </si>
  <si>
    <t>Al Amal Camp</t>
  </si>
  <si>
    <t>مخيم الامل</t>
  </si>
  <si>
    <t>KYS0931</t>
  </si>
  <si>
    <t>Al-Wafaa</t>
  </si>
  <si>
    <t>الوفا</t>
  </si>
  <si>
    <t>KYS0811</t>
  </si>
  <si>
    <t>Ard Al-Jawafa</t>
  </si>
  <si>
    <t>ارض الجوافة</t>
  </si>
  <si>
    <t>KYS1702</t>
  </si>
  <si>
    <t>Jerusalem Camp</t>
  </si>
  <si>
    <t>موقع القدس</t>
  </si>
  <si>
    <t>KYS1718</t>
  </si>
  <si>
    <t>Ajyal-Alkrama</t>
  </si>
  <si>
    <t>أجيال-الكرامة</t>
  </si>
  <si>
    <t>KYS1734</t>
  </si>
  <si>
    <t>Alkarama</t>
  </si>
  <si>
    <t>KYS1934</t>
  </si>
  <si>
    <t>Al-mosalla</t>
  </si>
  <si>
    <t>موقع المصلى</t>
  </si>
  <si>
    <t>KYS0906</t>
  </si>
  <si>
    <t>Aiash</t>
  </si>
  <si>
    <t>عياش</t>
  </si>
  <si>
    <t>KYS3962</t>
  </si>
  <si>
    <t>Pioneers camp</t>
  </si>
  <si>
    <t>مخيم رواد</t>
  </si>
  <si>
    <t>KYS0841</t>
  </si>
  <si>
    <t>Al-Kareem</t>
  </si>
  <si>
    <t>الكريم</t>
  </si>
  <si>
    <t>KYS0801</t>
  </si>
  <si>
    <t>Al-Shehre</t>
  </si>
  <si>
    <t>موقع الشحري</t>
  </si>
  <si>
    <t>KYS1709</t>
  </si>
  <si>
    <t>Hanoon camp</t>
  </si>
  <si>
    <t>مخيم حنون</t>
  </si>
  <si>
    <t>KYS1461</t>
  </si>
  <si>
    <t>Al Shaer</t>
  </si>
  <si>
    <t>الشاعر</t>
  </si>
  <si>
    <t>KYS4095</t>
  </si>
  <si>
    <t>Al-tahrir</t>
  </si>
  <si>
    <t>التحرير</t>
  </si>
  <si>
    <t>GZA4761</t>
  </si>
  <si>
    <t>Mina Al soumod site</t>
  </si>
  <si>
    <t>موقع ميناء الصمود</t>
  </si>
  <si>
    <t>KYS0988</t>
  </si>
  <si>
    <t>Al Nahda</t>
  </si>
  <si>
    <t>النهضة</t>
  </si>
  <si>
    <t>KYS0110</t>
  </si>
  <si>
    <t>Al-Awda</t>
  </si>
  <si>
    <t xml:space="preserve">العودة </t>
  </si>
  <si>
    <t>KYS1772</t>
  </si>
  <si>
    <t>Al-Wehda</t>
  </si>
  <si>
    <t>الوحدة</t>
  </si>
  <si>
    <t>KYS2035</t>
  </si>
  <si>
    <t>Al Amal w Al Haya</t>
  </si>
  <si>
    <t>الامل و الحياة</t>
  </si>
  <si>
    <t>KYS4592</t>
  </si>
  <si>
    <t>Joud Al-Khairy Site</t>
  </si>
  <si>
    <t xml:space="preserve">موقع جود الخير </t>
  </si>
  <si>
    <t>KYS1732</t>
  </si>
  <si>
    <t>Al Nour</t>
  </si>
  <si>
    <t>النور</t>
  </si>
  <si>
    <t>KYS0987</t>
  </si>
  <si>
    <t>Al Ibtisama</t>
  </si>
  <si>
    <t>الابتسامة</t>
  </si>
  <si>
    <t>KYS1703</t>
  </si>
  <si>
    <t>Alaga Camp</t>
  </si>
  <si>
    <t>موقع الاغا</t>
  </si>
  <si>
    <t>KYS1726</t>
  </si>
  <si>
    <t>Al-Akli Camp</t>
  </si>
  <si>
    <t>مخيم العقلي</t>
  </si>
  <si>
    <t>KYS1901</t>
  </si>
  <si>
    <t>Al-ziton</t>
  </si>
  <si>
    <t>الزيتون</t>
  </si>
  <si>
    <t>KYS1018</t>
  </si>
  <si>
    <t>Alshorbagi  2 site</t>
  </si>
  <si>
    <t>الشوربجي 2</t>
  </si>
  <si>
    <t>KYS3285</t>
  </si>
  <si>
    <t>Al-Hurya</t>
  </si>
  <si>
    <t>الحرية</t>
  </si>
  <si>
    <t>KYS1928</t>
  </si>
  <si>
    <t>Wajed</t>
  </si>
  <si>
    <t>واجد</t>
  </si>
  <si>
    <t>KYS0814</t>
  </si>
  <si>
    <t>Al Amudiya</t>
  </si>
  <si>
    <t>العامودي</t>
  </si>
  <si>
    <t>KYS4324</t>
  </si>
  <si>
    <t>Zahra Amal Site</t>
  </si>
  <si>
    <t>موقع زهرة امل</t>
  </si>
  <si>
    <t>NGZ4737</t>
  </si>
  <si>
    <t>Al Karama Stadium Site</t>
  </si>
  <si>
    <t>موقع ملعب الكرامة حي الصفطاوي</t>
  </si>
  <si>
    <t>Ibad Ar-Rahman</t>
  </si>
  <si>
    <t>KYS1725</t>
  </si>
  <si>
    <t>Ghawar</t>
  </si>
  <si>
    <t>الغوار</t>
  </si>
  <si>
    <t>DEB4226</t>
  </si>
  <si>
    <t>Al Amal 2</t>
  </si>
  <si>
    <t>موقع الامل 2</t>
  </si>
  <si>
    <t>Al Salateen</t>
  </si>
  <si>
    <t>KYS1708</t>
  </si>
  <si>
    <t>Farooq Site</t>
  </si>
  <si>
    <t>ابو فاروق</t>
  </si>
  <si>
    <t>KYS1700</t>
  </si>
  <si>
    <t>Garb Al Shaleh Site</t>
  </si>
  <si>
    <t xml:space="preserve">موقع غرب الشالية </t>
  </si>
  <si>
    <t>GZA6040</t>
  </si>
  <si>
    <t>Iwa al-Imadi (Ansar 8)  Site</t>
  </si>
  <si>
    <t>موقع ايواء العمادي (انصار 8)</t>
  </si>
  <si>
    <t>GZA6039</t>
  </si>
  <si>
    <t>Al-Karama Site</t>
  </si>
  <si>
    <t>GZA6017</t>
  </si>
  <si>
    <t>Al-Taeb Site</t>
  </si>
  <si>
    <t>موقع الطيب</t>
  </si>
  <si>
    <t>Ad Darraj</t>
  </si>
  <si>
    <t>Al Amal</t>
  </si>
  <si>
    <t>GZA4595</t>
  </si>
  <si>
    <t>Nadi Jabalia Site</t>
  </si>
  <si>
    <t>موقع نادي جباليا</t>
  </si>
  <si>
    <t>KYS4427</t>
  </si>
  <si>
    <t>Al-Majd Site</t>
  </si>
  <si>
    <t>موقع المجد</t>
  </si>
  <si>
    <t>GZA4738</t>
  </si>
  <si>
    <t>Al Noor Camp, Street 10</t>
  </si>
  <si>
    <t>مخيم النور شارع 10</t>
  </si>
  <si>
    <t>Az Zaitoun</t>
  </si>
  <si>
    <t>DEB4594</t>
  </si>
  <si>
    <t>Nadi Al Fares Site</t>
  </si>
  <si>
    <t>موقع نادي الفارس</t>
  </si>
  <si>
    <t>GZA4703</t>
  </si>
  <si>
    <t>Balqees Al Yaman</t>
  </si>
  <si>
    <t>مدرسة بلقيس</t>
  </si>
  <si>
    <t>Tal El Hawa</t>
  </si>
  <si>
    <t>موقع الفارس</t>
  </si>
  <si>
    <t>KYS0096</t>
  </si>
  <si>
    <t>مجتمع المنتزه الاقليمي 2</t>
  </si>
  <si>
    <t>DEB4576</t>
  </si>
  <si>
    <t>Al Ramla Site</t>
  </si>
  <si>
    <t>موقع الرملة</t>
  </si>
  <si>
    <t>Deir Al Balah (south)</t>
  </si>
  <si>
    <t>DEB4513</t>
  </si>
  <si>
    <t>Aljalil alaelaa site</t>
  </si>
  <si>
    <t>موقع الجليل الاعلى</t>
  </si>
  <si>
    <t>GZA6018</t>
  </si>
  <si>
    <t>Al-Jawad Site</t>
  </si>
  <si>
    <t>موقع الجواد</t>
  </si>
  <si>
    <t>DEB2757</t>
  </si>
  <si>
    <t>Zawaida Coast camp</t>
  </si>
  <si>
    <t>As Sahabah</t>
  </si>
  <si>
    <t>FAFD</t>
  </si>
  <si>
    <t>Ash Shaima'a</t>
  </si>
  <si>
    <t>Al Birkeh</t>
  </si>
  <si>
    <t>GZA6045</t>
  </si>
  <si>
    <t>Nadi Al-Tawfeg Site</t>
  </si>
  <si>
    <t>موقع التوفيق</t>
  </si>
  <si>
    <t>Hai-Albanat</t>
  </si>
  <si>
    <t>DEB4354</t>
  </si>
  <si>
    <t>Al-Nakhil Al-Shamaliu Site</t>
  </si>
  <si>
    <t>موقع النخيل الشمالي</t>
  </si>
  <si>
    <t>GZA4543</t>
  </si>
  <si>
    <t>Khalil Al Wazer school</t>
  </si>
  <si>
    <t>مدرسة خليل الوزير</t>
  </si>
  <si>
    <t>GZA4271</t>
  </si>
  <si>
    <t>Al yarmouk school</t>
  </si>
  <si>
    <t>مدرسة اليرموك  الثانوية للبنين</t>
  </si>
  <si>
    <t>KYS4250</t>
  </si>
  <si>
    <t>Al-Nour Site</t>
  </si>
  <si>
    <t>موقع النور</t>
  </si>
  <si>
    <t>KYS4237</t>
  </si>
  <si>
    <t>Al-Ihsan Site</t>
  </si>
  <si>
    <t>موقع الاحسان</t>
  </si>
  <si>
    <t>KYS4303</t>
  </si>
  <si>
    <t>Palestine Site</t>
  </si>
  <si>
    <t xml:space="preserve">موقع فلسطين </t>
  </si>
  <si>
    <t>GZA0389</t>
  </si>
  <si>
    <t>Hassan Al-Harazin School</t>
  </si>
  <si>
    <t>ايوء مدرسة حسن الحرازين</t>
  </si>
  <si>
    <t>NGZ2067</t>
  </si>
  <si>
    <t>Tal al-Zatar School</t>
  </si>
  <si>
    <t>-</t>
  </si>
  <si>
    <t>Alkhazan</t>
  </si>
  <si>
    <t>NGZ2068</t>
  </si>
  <si>
    <t>Tal Al Rabee School</t>
  </si>
  <si>
    <t>Batn As-Sameen</t>
  </si>
  <si>
    <t>NGZ2089</t>
  </si>
  <si>
    <t>Am Al Fahm School</t>
  </si>
  <si>
    <t>Al Kur'a El Khamsa</t>
  </si>
  <si>
    <t>At Tuffah</t>
  </si>
  <si>
    <t>KYS4439</t>
  </si>
  <si>
    <t>Al-Taeawun 1 Site</t>
  </si>
  <si>
    <t>موقع التعاون 1</t>
  </si>
  <si>
    <t>موقع النسيم</t>
  </si>
  <si>
    <t>Rafah</t>
  </si>
  <si>
    <t>Al Muharrarat</t>
  </si>
  <si>
    <t>موقع القلعة</t>
  </si>
  <si>
    <t>GZA4440</t>
  </si>
  <si>
    <t>Ard Al saraya</t>
  </si>
  <si>
    <t>موقع ايواء ارض السرايا</t>
  </si>
  <si>
    <t>DEB0294</t>
  </si>
  <si>
    <t>Khalid bin Al-Walid School Site</t>
  </si>
  <si>
    <t>موقع مدرسة خالد بن الوليد</t>
  </si>
  <si>
    <t>KYS4241</t>
  </si>
  <si>
    <t>Al-Jenan Site</t>
  </si>
  <si>
    <t>موقع الجنان</t>
  </si>
  <si>
    <t>GZA6049</t>
  </si>
  <si>
    <t>Al Anan Camp</t>
  </si>
  <si>
    <t>مخيم العنان</t>
  </si>
  <si>
    <t>GZA6035</t>
  </si>
  <si>
    <t>Ansar 4 Site</t>
  </si>
  <si>
    <t>مخيم انصار 4</t>
  </si>
  <si>
    <t>Bani Suhaila Site</t>
  </si>
  <si>
    <t>KYS4252</t>
  </si>
  <si>
    <t>Alquds</t>
  </si>
  <si>
    <t>GZA4538</t>
  </si>
  <si>
    <t>Barshalona Makeshift</t>
  </si>
  <si>
    <t>مخيم برشلونة</t>
  </si>
  <si>
    <t>Ash Sheikh 'Ijleen</t>
  </si>
  <si>
    <t>GZA6026</t>
  </si>
  <si>
    <t>Asia  Site</t>
  </si>
  <si>
    <t>موقع اسيا</t>
  </si>
  <si>
    <t>موقع الحياة</t>
  </si>
  <si>
    <t>Bani Suheila</t>
  </si>
  <si>
    <t>Al-Amal Site</t>
  </si>
  <si>
    <t>موقع الامل</t>
  </si>
  <si>
    <t>Fad'os</t>
  </si>
  <si>
    <t>موقع السلام</t>
  </si>
  <si>
    <t>Jabalya Camp</t>
  </si>
  <si>
    <t>KYS4356</t>
  </si>
  <si>
    <t>Al-Noor (Al-Nakheel)</t>
  </si>
  <si>
    <t>موقع النور (النخيل)</t>
  </si>
  <si>
    <t>Khan Yunis Camp</t>
  </si>
  <si>
    <t>KYS4423</t>
  </si>
  <si>
    <t>Barbra Site</t>
  </si>
  <si>
    <t>موقع بربرة</t>
  </si>
  <si>
    <t>GZA4534</t>
  </si>
  <si>
    <t>Al-Remal Clinic (Talshomair)</t>
  </si>
  <si>
    <t xml:space="preserve">عيادة الرمال </t>
  </si>
  <si>
    <t>KYS1854</t>
  </si>
  <si>
    <t>Ataya Alkhair  Site</t>
  </si>
  <si>
    <t xml:space="preserve">موقع عطايا الخير </t>
  </si>
  <si>
    <t>GZA4049</t>
  </si>
  <si>
    <t>Al Karmel Collective Center</t>
  </si>
  <si>
    <t>مدرسة الكرمل</t>
  </si>
  <si>
    <t>GZA6046</t>
  </si>
  <si>
    <t>Nadi Al-Gazera  Site</t>
  </si>
  <si>
    <t>موقع نادي الجزيرة</t>
  </si>
  <si>
    <t>KYS4351</t>
  </si>
  <si>
    <t>Al-Isra Site</t>
  </si>
  <si>
    <t>موقع الاسراء</t>
  </si>
  <si>
    <t>Bani Suheila (south)</t>
  </si>
  <si>
    <t>Jourat Al-Loot</t>
  </si>
  <si>
    <t>Beit Hanoun (north east)</t>
  </si>
  <si>
    <t>Al Manshieh</t>
  </si>
  <si>
    <t>KYS1877</t>
  </si>
  <si>
    <t>Coastal Water Authority Camp</t>
  </si>
  <si>
    <t>هيئة المياه الساحلية</t>
  </si>
  <si>
    <t>KYS4270</t>
  </si>
  <si>
    <t>AL Yabani Site</t>
  </si>
  <si>
    <t>موقع الياياني</t>
  </si>
  <si>
    <t>KYS4219</t>
  </si>
  <si>
    <t>Al-balad</t>
  </si>
  <si>
    <t>البلد</t>
  </si>
  <si>
    <t>Al Mahattah</t>
  </si>
  <si>
    <t>KYS4220</t>
  </si>
  <si>
    <t>Alhaiaa and  alhorya</t>
  </si>
  <si>
    <t>الحياة والحرية</t>
  </si>
  <si>
    <t>KYS4337</t>
  </si>
  <si>
    <t>A'edoon Site</t>
  </si>
  <si>
    <t>موقع عائدون</t>
  </si>
  <si>
    <t>GZA6044</t>
  </si>
  <si>
    <t>Nadi Al-Bitis Site</t>
  </si>
  <si>
    <t>موفع نادي البيتش</t>
  </si>
  <si>
    <t>GZA6027</t>
  </si>
  <si>
    <t>Al-Salam Site</t>
  </si>
  <si>
    <t>Al Manarah</t>
  </si>
  <si>
    <t>Qizan An-Najjar</t>
  </si>
  <si>
    <t>Al-Zatoon</t>
  </si>
  <si>
    <t>Al-Sekka</t>
  </si>
  <si>
    <t>موقع الرباط</t>
  </si>
  <si>
    <t>Hai Abu Ghazala</t>
  </si>
  <si>
    <t>Ghobon</t>
  </si>
  <si>
    <t xml:space="preserve">موقع التعاون </t>
  </si>
  <si>
    <t>Al Farata</t>
  </si>
  <si>
    <t>Al Attarta (east)</t>
  </si>
  <si>
    <t>موقع صلاح الدين</t>
  </si>
  <si>
    <t>KYS4508</t>
  </si>
  <si>
    <t>Al Awda Makeshift</t>
  </si>
  <si>
    <t>مخيم العودة</t>
  </si>
  <si>
    <t>KYS4437</t>
  </si>
  <si>
    <t>Al-Fajr 3 Site</t>
  </si>
  <si>
    <t xml:space="preserve">موقع الفجر 3 </t>
  </si>
  <si>
    <t>DEB3416</t>
  </si>
  <si>
    <t>Al Arami shelter</t>
  </si>
  <si>
    <t>مخيم العرمي</t>
  </si>
  <si>
    <t>As Samah</t>
  </si>
  <si>
    <t>DEB4076</t>
  </si>
  <si>
    <t>Nahda Camp</t>
  </si>
  <si>
    <t>مخيم النهضة</t>
  </si>
  <si>
    <t>DEB2771</t>
  </si>
  <si>
    <t>Ard Shaheen camp</t>
  </si>
  <si>
    <t>As Salah</t>
  </si>
  <si>
    <t>KYS4251</t>
  </si>
  <si>
    <t>Al-Qatari Site</t>
  </si>
  <si>
    <t xml:space="preserve">موقع القطري </t>
  </si>
  <si>
    <t>KYS4550</t>
  </si>
  <si>
    <t>Watan Makeshift</t>
  </si>
  <si>
    <t>مخيم وطن</t>
  </si>
  <si>
    <t>KYS4267</t>
  </si>
  <si>
    <t>Altaghriba</t>
  </si>
  <si>
    <t>موقع التغريبة</t>
  </si>
  <si>
    <t>Al Qarara (south)</t>
  </si>
  <si>
    <t>NGZ4234</t>
  </si>
  <si>
    <t>Al-Ghaboun Neighborhood Site</t>
  </si>
  <si>
    <t>Unknown</t>
  </si>
  <si>
    <t>DEB3316</t>
  </si>
  <si>
    <t>Al-Manfalouti School</t>
  </si>
  <si>
    <t>مدرسة المنفلوطي</t>
  </si>
  <si>
    <t>KYS4434</t>
  </si>
  <si>
    <t>Share Al-Nas Site</t>
  </si>
  <si>
    <t>موقع شارع النص</t>
  </si>
  <si>
    <t>KYS4435</t>
  </si>
  <si>
    <t>Al-Tadamun Site</t>
  </si>
  <si>
    <t>موقع التضامن</t>
  </si>
  <si>
    <t>DEB0148</t>
  </si>
  <si>
    <t>Abdel Karim Al-Aklouk School</t>
  </si>
  <si>
    <t>مدرسة عبد الكريم العكلوك</t>
  </si>
  <si>
    <t>GZA6036</t>
  </si>
  <si>
    <t>Ansar 1 Site</t>
  </si>
  <si>
    <t>موقع انصار 1</t>
  </si>
  <si>
    <t>Hatabiyya</t>
  </si>
  <si>
    <t>DEB3269</t>
  </si>
  <si>
    <t>Filtar Mixed School</t>
  </si>
  <si>
    <t>DEB4598</t>
  </si>
  <si>
    <t>San‘ood Yawman Ma Site</t>
  </si>
  <si>
    <t xml:space="preserve">موقع سنعود يوماً ما </t>
  </si>
  <si>
    <t>DEB4312</t>
  </si>
  <si>
    <t>Sunaa Alhayaa</t>
  </si>
  <si>
    <t>موقع صناع الحياه</t>
  </si>
  <si>
    <t>DEB3261</t>
  </si>
  <si>
    <t>Khawla Bint  Al Azwar School</t>
  </si>
  <si>
    <t>مدرسة خولة بنت الازور</t>
  </si>
  <si>
    <t>GZA6037</t>
  </si>
  <si>
    <t>Ansar 9 Site</t>
  </si>
  <si>
    <t>موقع انصار 9</t>
  </si>
  <si>
    <t>KYS4436</t>
  </si>
  <si>
    <t>Salsabil Site</t>
  </si>
  <si>
    <t>موقع سلسبيل</t>
  </si>
  <si>
    <t>موقع الكرم</t>
  </si>
  <si>
    <t>DEB4539</t>
  </si>
  <si>
    <t>Al-Akhwa (Bisan 2) Makeshift</t>
  </si>
  <si>
    <t>مخيم الأخوة (بيسان 2)</t>
  </si>
  <si>
    <t>DEB4276</t>
  </si>
  <si>
    <t>Ard Kabaja</t>
  </si>
  <si>
    <t>ارض كباجة</t>
  </si>
  <si>
    <t>Al Bruk</t>
  </si>
  <si>
    <t>KYS4254</t>
  </si>
  <si>
    <t>Al Sabrin Site</t>
  </si>
  <si>
    <t>موقع الصابرين</t>
  </si>
  <si>
    <t>Ar Rahmeh</t>
  </si>
  <si>
    <t>KYS4297</t>
  </si>
  <si>
    <t>Al-Qalaa Site</t>
  </si>
  <si>
    <t>DEB4579</t>
  </si>
  <si>
    <t>KYS4247</t>
  </si>
  <si>
    <t>Almotahedoon</t>
  </si>
  <si>
    <t>المتحدون</t>
  </si>
  <si>
    <t>KYS4426</t>
  </si>
  <si>
    <t>Al-Mostafa Site</t>
  </si>
  <si>
    <t>موقع المصطفى</t>
  </si>
  <si>
    <t>GZA6012</t>
  </si>
  <si>
    <t>Al-Abbas Site</t>
  </si>
  <si>
    <t>موقع العباس</t>
  </si>
  <si>
    <t>GZA6016</t>
  </si>
  <si>
    <t>Al-Niqaba Site</t>
  </si>
  <si>
    <t>موقع النقابة</t>
  </si>
  <si>
    <t>GZA6022</t>
  </si>
  <si>
    <t>Al-Rabe' Site</t>
  </si>
  <si>
    <t>موقع الربيع</t>
  </si>
  <si>
    <t>'Abasan al Kabira</t>
  </si>
  <si>
    <t>GZA4371</t>
  </si>
  <si>
    <t>Al-Wesam Site</t>
  </si>
  <si>
    <t>موقع الوسام</t>
  </si>
  <si>
    <t>KYS4464</t>
  </si>
  <si>
    <t>Al-Khair Site</t>
  </si>
  <si>
    <t>موقع الخير</t>
  </si>
  <si>
    <t>KYS4421</t>
  </si>
  <si>
    <t>Al-Ahrmaat</t>
  </si>
  <si>
    <t>الأهرمات</t>
  </si>
  <si>
    <t>DEB2639</t>
  </si>
  <si>
    <t>Abu Baraka Al-Sahel - Abu Asad</t>
  </si>
  <si>
    <t>ابو بركة الساحل</t>
  </si>
  <si>
    <t>DEB2197</t>
  </si>
  <si>
    <t>Al-Furat</t>
  </si>
  <si>
    <t>الفرات</t>
  </si>
  <si>
    <t>KYS4468</t>
  </si>
  <si>
    <t>Nadi Al-Amana site</t>
  </si>
  <si>
    <t>موقع نادي الامانة</t>
  </si>
  <si>
    <t>KYS4422</t>
  </si>
  <si>
    <t>Aman site</t>
  </si>
  <si>
    <t>موقع امان</t>
  </si>
  <si>
    <t>KYS1313</t>
  </si>
  <si>
    <t>Burj Site</t>
  </si>
  <si>
    <t>مخيم البرج</t>
  </si>
  <si>
    <t>KYS4560</t>
  </si>
  <si>
    <t>Al-Wafaa Gaza Camp</t>
  </si>
  <si>
    <t xml:space="preserve">مخيم الوفاء </t>
  </si>
  <si>
    <t>KYS4553</t>
  </si>
  <si>
    <t>Al-Da’wah Camp</t>
  </si>
  <si>
    <t>مخيم الدعوة</t>
  </si>
  <si>
    <t>KYS1753</t>
  </si>
  <si>
    <t>DEB4103</t>
  </si>
  <si>
    <t>Ard Fayad 17</t>
  </si>
  <si>
    <t>ارض فياض 17</t>
  </si>
  <si>
    <t>Al Sadaqa camp</t>
  </si>
  <si>
    <t>مخيم الصداقة</t>
  </si>
  <si>
    <t>KYS4559</t>
  </si>
  <si>
    <t>Al-Wafaa Al-Joura Camp</t>
  </si>
  <si>
    <t>مخيم الوفاء الجورة</t>
  </si>
  <si>
    <t>KYS1711</t>
  </si>
  <si>
    <t>Al-Nakheel and Al Zytoon Site</t>
  </si>
  <si>
    <t>النخيل والزيتون</t>
  </si>
  <si>
    <t>KYS1902</t>
  </si>
  <si>
    <t>Msk Wlyān</t>
  </si>
  <si>
    <t>مسك وليان</t>
  </si>
  <si>
    <t>KYS0805</t>
  </si>
  <si>
    <t>Al-Shaheed Jameel</t>
  </si>
  <si>
    <t>مخيم نور النجار</t>
  </si>
  <si>
    <t>KYS0100</t>
  </si>
  <si>
    <t>Wijdan  community</t>
  </si>
  <si>
    <t>وجدان</t>
  </si>
  <si>
    <t>KYS0825</t>
  </si>
  <si>
    <t>Al-Jawhari</t>
  </si>
  <si>
    <t>مخيم الامل للنازحين</t>
  </si>
  <si>
    <t>KYS0831</t>
  </si>
  <si>
    <t>Al-Karam Site</t>
  </si>
  <si>
    <t xml:space="preserve">موقع الكرم </t>
  </si>
  <si>
    <t>KYS0947</t>
  </si>
  <si>
    <t>Al-rimal Al-Thahabiea</t>
  </si>
  <si>
    <t>موقع نور الشمس</t>
  </si>
  <si>
    <t>KYS1713</t>
  </si>
  <si>
    <t>Al-Naseem camp</t>
  </si>
  <si>
    <t>مخيم النسيم</t>
  </si>
  <si>
    <t>KYS1875</t>
  </si>
  <si>
    <t>Shady Site</t>
  </si>
  <si>
    <t>موقع شادي</t>
  </si>
  <si>
    <t>KYS1704</t>
  </si>
  <si>
    <t>Al Noor</t>
  </si>
  <si>
    <t>KYS0835</t>
  </si>
  <si>
    <t>Ard Bassam Al-Najjar</t>
  </si>
  <si>
    <t>أرض الرمال الذهبية</t>
  </si>
  <si>
    <t>GZA4422</t>
  </si>
  <si>
    <t>Islamic University shelter</t>
  </si>
  <si>
    <t>مخيم الجامعة الاسلامية</t>
  </si>
  <si>
    <t>PARC</t>
  </si>
  <si>
    <t>GZA4121</t>
  </si>
  <si>
    <t>Al-Yarmouk Stadium Shelter - Al-Mu'tasim Billah Shelter</t>
  </si>
  <si>
    <t>موقع المعتصم بالله- موقع ملعب اليرموك</t>
  </si>
  <si>
    <t>مخيم النخلة</t>
  </si>
  <si>
    <t>GZA4224</t>
  </si>
  <si>
    <t>Abu Khadra Land Site</t>
  </si>
  <si>
    <t xml:space="preserve">مخيم الغربة </t>
  </si>
  <si>
    <t>DEB4774</t>
  </si>
  <si>
    <t>Alasima 1</t>
  </si>
  <si>
    <t>العاصمة 1</t>
  </si>
  <si>
    <t>FADE</t>
  </si>
  <si>
    <t>DEB4775</t>
  </si>
  <si>
    <t>Alasima 2</t>
  </si>
  <si>
    <t xml:space="preserve">العاصمة </t>
  </si>
  <si>
    <t>DEB4776</t>
  </si>
  <si>
    <t>Alasima 3</t>
  </si>
  <si>
    <t>العاصمة 3</t>
  </si>
  <si>
    <t>KYS1869</t>
  </si>
  <si>
    <t>Al-Malaab(Stadium) site</t>
  </si>
  <si>
    <t xml:space="preserve">موقع الملعب </t>
  </si>
  <si>
    <t>KYS1715</t>
  </si>
  <si>
    <t>AlQuods</t>
  </si>
  <si>
    <t>القدس</t>
  </si>
  <si>
    <t>KYS1926</t>
  </si>
  <si>
    <t>Albwasil</t>
  </si>
  <si>
    <t>البواسل</t>
  </si>
  <si>
    <t>KYS1933</t>
  </si>
  <si>
    <t>Al faruq</t>
  </si>
  <si>
    <t>الفاروق</t>
  </si>
  <si>
    <t>GZA4147</t>
  </si>
  <si>
    <t>Musab bin Omair School</t>
  </si>
  <si>
    <t>ايواء مدرسة مصعب بن عمير</t>
  </si>
  <si>
    <t>Ash Sheikh Radwan</t>
  </si>
  <si>
    <t>KYS1733</t>
  </si>
  <si>
    <t>The land of Zarab</t>
  </si>
  <si>
    <t>ارض زعرب</t>
  </si>
  <si>
    <t>DEB3187</t>
  </si>
  <si>
    <t>Al-Nour Shelter</t>
  </si>
  <si>
    <t>إيواء النور</t>
  </si>
  <si>
    <t>DEB4282</t>
  </si>
  <si>
    <t>Capital</t>
  </si>
  <si>
    <t>موقع كابيتال</t>
  </si>
  <si>
    <t>DEB4116</t>
  </si>
  <si>
    <t>Abu Shabban</t>
  </si>
  <si>
    <t>ايواء أبو شعبان</t>
  </si>
  <si>
    <t>DEB0178</t>
  </si>
  <si>
    <t>Al-Bukhari</t>
  </si>
  <si>
    <t>مخيم البخاري</t>
  </si>
  <si>
    <t>DEB4561</t>
  </si>
  <si>
    <t>Ard Abu Kheswan</t>
  </si>
  <si>
    <t>ارض ابو خصوان</t>
  </si>
  <si>
    <t>DEB4557</t>
  </si>
  <si>
    <t>Al-Rafdeen</t>
  </si>
  <si>
    <t>ايواء الرافدين</t>
  </si>
  <si>
    <t>DEB3477</t>
  </si>
  <si>
    <t>Al-Istaqam Shelter Center</t>
  </si>
  <si>
    <t>مركز ايواء الاستقامة</t>
  </si>
  <si>
    <t>DEB2610</t>
  </si>
  <si>
    <t>Sheltering Abdul Rahman Abu Jumayzah (Al-Izza site)</t>
  </si>
  <si>
    <t>ايواء العزة</t>
  </si>
  <si>
    <t>DEB2515</t>
  </si>
  <si>
    <t>El Shegagi</t>
  </si>
  <si>
    <t>الشقاقي</t>
  </si>
  <si>
    <t>DEB2787</t>
  </si>
  <si>
    <t>Al Nakheel</t>
  </si>
  <si>
    <t>KYS4554</t>
  </si>
  <si>
    <t>Alhindi Camp</t>
  </si>
  <si>
    <t>مخيم الهندي</t>
  </si>
  <si>
    <t>MAAN</t>
  </si>
  <si>
    <t>DEB4670</t>
  </si>
  <si>
    <t>Al-Khair Camp</t>
  </si>
  <si>
    <t>مخيم الخير</t>
  </si>
  <si>
    <t>KYS4673</t>
  </si>
  <si>
    <t>Doha Camp</t>
  </si>
  <si>
    <t>مخيم الدوحة</t>
  </si>
  <si>
    <t>KYS1825</t>
  </si>
  <si>
    <t>Al Amer</t>
  </si>
  <si>
    <t>العامر</t>
  </si>
  <si>
    <t>KYS4470</t>
  </si>
  <si>
    <t>Takaful</t>
  </si>
  <si>
    <t>التكافل</t>
  </si>
  <si>
    <t>KYS4505</t>
  </si>
  <si>
    <t>Al- Agha</t>
  </si>
  <si>
    <t>الأغا</t>
  </si>
  <si>
    <t>KYS4025</t>
  </si>
  <si>
    <t>Al fajer</t>
  </si>
  <si>
    <t>الفجر</t>
  </si>
  <si>
    <t>KYS4515</t>
  </si>
  <si>
    <t>Al-Mahabah</t>
  </si>
  <si>
    <t>المحبة</t>
  </si>
  <si>
    <t>KYS3675</t>
  </si>
  <si>
    <t>Mango Land</t>
  </si>
  <si>
    <t>ارض المانجا</t>
  </si>
  <si>
    <t>KYS4549</t>
  </si>
  <si>
    <t>Waqfet Kheir</t>
  </si>
  <si>
    <t>وقفة خير</t>
  </si>
  <si>
    <t>KYS3900</t>
  </si>
  <si>
    <t>Bilal Al Qara</t>
  </si>
  <si>
    <t>بلال القرا</t>
  </si>
  <si>
    <t>KYS1808</t>
  </si>
  <si>
    <t>Janop alhedayai Camp</t>
  </si>
  <si>
    <t>جنوب الهداية</t>
  </si>
  <si>
    <t>KYS1819</t>
  </si>
  <si>
    <t>Noor Al Houda</t>
  </si>
  <si>
    <t>نور الهدى</t>
  </si>
  <si>
    <t>KYS4476</t>
  </si>
  <si>
    <t>Al Qawasma</t>
  </si>
  <si>
    <t>القواسمة</t>
  </si>
  <si>
    <t>KYS1562</t>
  </si>
  <si>
    <t>Sumud Alaistil</t>
  </si>
  <si>
    <t>صمود الاسطل</t>
  </si>
  <si>
    <t>KYS1630</t>
  </si>
  <si>
    <t>Honin</t>
  </si>
  <si>
    <t>حُنين</t>
  </si>
  <si>
    <t>KYS3273</t>
  </si>
  <si>
    <t>North Asda Camp A</t>
  </si>
  <si>
    <t>شمال أصداء بلوك A</t>
  </si>
  <si>
    <t>KYS1844</t>
  </si>
  <si>
    <t>Ghusn Al ziton</t>
  </si>
  <si>
    <t>غصن الزيتون</t>
  </si>
  <si>
    <t>KYS1628</t>
  </si>
  <si>
    <t>الكرامة 2</t>
  </si>
  <si>
    <t>KYS3979</t>
  </si>
  <si>
    <t>Besan camp</t>
  </si>
  <si>
    <t>مخيم بيسان</t>
  </si>
  <si>
    <t>Ataa Al Khier</t>
  </si>
  <si>
    <t>مخيم عطاء الخير</t>
  </si>
  <si>
    <t>KYS1641</t>
  </si>
  <si>
    <t>Abu Torky</t>
  </si>
  <si>
    <t>أبو تركي</t>
  </si>
  <si>
    <t>KYS1678</t>
  </si>
  <si>
    <t>Al Shoka</t>
  </si>
  <si>
    <t>الشوكة</t>
  </si>
  <si>
    <t>KYS4489</t>
  </si>
  <si>
    <t>Al Saeada</t>
  </si>
  <si>
    <t>السعادة</t>
  </si>
  <si>
    <t>KYS1661</t>
  </si>
  <si>
    <t>Canada Aleahd</t>
  </si>
  <si>
    <t>كندا العهد</t>
  </si>
  <si>
    <t>KYS1579</t>
  </si>
  <si>
    <t>Al Tomoh</t>
  </si>
  <si>
    <t>الطموح</t>
  </si>
  <si>
    <t>KYS3244</t>
  </si>
  <si>
    <t>Teeba 1</t>
  </si>
  <si>
    <t>طيبة 1</t>
  </si>
  <si>
    <t>KYS4555</t>
  </si>
  <si>
    <t>Alnajaa camp</t>
  </si>
  <si>
    <t>KYS4477</t>
  </si>
  <si>
    <t>Al Hanen</t>
  </si>
  <si>
    <t>الحنين</t>
  </si>
  <si>
    <t>KYS1810</t>
  </si>
  <si>
    <t>Alsalam camp</t>
  </si>
  <si>
    <t xml:space="preserve">السلام كامب </t>
  </si>
  <si>
    <t>KYS4472</t>
  </si>
  <si>
    <t>Ghanima</t>
  </si>
  <si>
    <t>غنيمة</t>
  </si>
  <si>
    <t>Al Janoob 2</t>
  </si>
  <si>
    <t>KYS2710</t>
  </si>
  <si>
    <t>Khaled Bin Al Waleed</t>
  </si>
  <si>
    <t>خالد بن الوليد</t>
  </si>
  <si>
    <t>KYS1692</t>
  </si>
  <si>
    <t>Sultan Mahmoud camp</t>
  </si>
  <si>
    <t>مخيم سلطان محمود</t>
  </si>
  <si>
    <t>KYS1662</t>
  </si>
  <si>
    <t>KYS4478</t>
  </si>
  <si>
    <t>Sonaa Al amal</t>
  </si>
  <si>
    <t>صناع الامل</t>
  </si>
  <si>
    <t>KYS1577</t>
  </si>
  <si>
    <t>Al Saqer</t>
  </si>
  <si>
    <t>الصقر</t>
  </si>
  <si>
    <t>KYS1657</t>
  </si>
  <si>
    <t>Mena Allah</t>
  </si>
  <si>
    <t>منة الله</t>
  </si>
  <si>
    <t>KYS4721</t>
  </si>
  <si>
    <t>Zamzam</t>
  </si>
  <si>
    <t>مخيم زمزم</t>
  </si>
  <si>
    <t>KYS1663</t>
  </si>
  <si>
    <t>Almohand camp</t>
  </si>
  <si>
    <t>مخيم المهند</t>
  </si>
  <si>
    <t>KYS4471</t>
  </si>
  <si>
    <t>Al Nueman</t>
  </si>
  <si>
    <t>النعمان</t>
  </si>
  <si>
    <t>Friends</t>
  </si>
  <si>
    <t>مخيم الأصدقاء</t>
  </si>
  <si>
    <t>KYS1670</t>
  </si>
  <si>
    <t>Al Montza Al bahri</t>
  </si>
  <si>
    <t>المنتزه البحري</t>
  </si>
  <si>
    <t>KYS1812</t>
  </si>
  <si>
    <t>Alimam Malek</t>
  </si>
  <si>
    <t>الامام مالك</t>
  </si>
  <si>
    <t>KYS3783</t>
  </si>
  <si>
    <t>Teeba 2</t>
  </si>
  <si>
    <t>طيبة 2</t>
  </si>
  <si>
    <t>KYS1651</t>
  </si>
  <si>
    <t>Event camp</t>
  </si>
  <si>
    <t>مخيم إيفنت</t>
  </si>
  <si>
    <t>KYS1553</t>
  </si>
  <si>
    <t>Al suber , Al Sumod</t>
  </si>
  <si>
    <t>الصبر والصمود</t>
  </si>
  <si>
    <t>RFH4718</t>
  </si>
  <si>
    <t>Karawan Site</t>
  </si>
  <si>
    <t>موقع الكروان</t>
  </si>
  <si>
    <t>KYS4487</t>
  </si>
  <si>
    <t>Sky</t>
  </si>
  <si>
    <t>سكاي</t>
  </si>
  <si>
    <t>KYS4490</t>
  </si>
  <si>
    <t>Al salam , Alwehda</t>
  </si>
  <si>
    <t>السلام والوحدة</t>
  </si>
  <si>
    <t>KYS4491</t>
  </si>
  <si>
    <t>Al Shekh shamel</t>
  </si>
  <si>
    <t>الشيخ شامل</t>
  </si>
  <si>
    <t>KYS4474</t>
  </si>
  <si>
    <t>Al Khayr</t>
  </si>
  <si>
    <t>الخير</t>
  </si>
  <si>
    <t>KYS4719</t>
  </si>
  <si>
    <t>Project Amer</t>
  </si>
  <si>
    <t>موقع مشروع عامر</t>
  </si>
  <si>
    <t>DEB4618</t>
  </si>
  <si>
    <t>Aird Al-zaytun Site</t>
  </si>
  <si>
    <t>موقع ارض الزيتون</t>
  </si>
  <si>
    <t>GZA4363</t>
  </si>
  <si>
    <t>Al Sabreen</t>
  </si>
  <si>
    <t>الصابرين</t>
  </si>
  <si>
    <t>GZA6021</t>
  </si>
  <si>
    <t>Salah Al-Din  Site</t>
  </si>
  <si>
    <t>GZA4309</t>
  </si>
  <si>
    <t>Sohbt kheer camp</t>
  </si>
  <si>
    <t>مخيم صحبة خير</t>
  </si>
  <si>
    <t>GZA4421</t>
  </si>
  <si>
    <t>Ashan falsteen 1</t>
  </si>
  <si>
    <t xml:space="preserve"> 1عشلن فلسطين</t>
  </si>
  <si>
    <t>GZA4277</t>
  </si>
  <si>
    <t>مخيم ايادي مصر  1و2</t>
  </si>
  <si>
    <t>KYS3222</t>
  </si>
  <si>
    <t>Filastin Camp</t>
  </si>
  <si>
    <t>KYS1804</t>
  </si>
  <si>
    <t>Al jamal</t>
  </si>
  <si>
    <t>الجمل</t>
  </si>
  <si>
    <t>GZA3314</t>
  </si>
  <si>
    <t>Al Amal college</t>
  </si>
  <si>
    <t>دمج مع معهد الامل</t>
  </si>
  <si>
    <t>KYS4488</t>
  </si>
  <si>
    <t>Al Rahma 2</t>
  </si>
  <si>
    <t>الرحمة 2</t>
  </si>
  <si>
    <t>KYS1679</t>
  </si>
  <si>
    <t>Al-Itihad</t>
  </si>
  <si>
    <t>الاتحاد</t>
  </si>
  <si>
    <t>KYS4480</t>
  </si>
  <si>
    <t>Al Barka</t>
  </si>
  <si>
    <t>البركة</t>
  </si>
  <si>
    <t>KYS1571</t>
  </si>
  <si>
    <t>Al Jazera</t>
  </si>
  <si>
    <t>DEB2781</t>
  </si>
  <si>
    <t>مخيم الاستقامة</t>
  </si>
  <si>
    <t>GZA4447</t>
  </si>
  <si>
    <t>Metro site</t>
  </si>
  <si>
    <t>موقع مترو الجوازات</t>
  </si>
  <si>
    <t>GZA4335</t>
  </si>
  <si>
    <t>Abo Olba  Al Aqsa camp</t>
  </si>
  <si>
    <t>مخيم الاقصى</t>
  </si>
  <si>
    <t>GZA0388</t>
  </si>
  <si>
    <t>Cairo School</t>
  </si>
  <si>
    <t>ايواء مدرسة القاهرة</t>
  </si>
  <si>
    <t>GZA3665</t>
  </si>
  <si>
    <t>Bashir Al Rayes Secondary School for Girls</t>
  </si>
  <si>
    <t>مدرسة بشير الريس الثانوية للبنات</t>
  </si>
  <si>
    <t>KYS1646</t>
  </si>
  <si>
    <t>Al Quds</t>
  </si>
  <si>
    <t>KYS1594</t>
  </si>
  <si>
    <t>Al rabie</t>
  </si>
  <si>
    <t>الربيع</t>
  </si>
  <si>
    <t>KYS4486</t>
  </si>
  <si>
    <t>Al Mostaqbal Land</t>
  </si>
  <si>
    <t>ارض المستقبل</t>
  </si>
  <si>
    <t>KYS1149</t>
  </si>
  <si>
    <t>Al nakhel Alsahely</t>
  </si>
  <si>
    <t>النخيل الساحلي</t>
  </si>
  <si>
    <t>GZA4349</t>
  </si>
  <si>
    <t>Al Hassan Al-Bassri school</t>
  </si>
  <si>
    <t>مدرسة الحسن البصري</t>
  </si>
  <si>
    <t>KYS3729</t>
  </si>
  <si>
    <t>Al Kasim camp</t>
  </si>
  <si>
    <t>مخيم القاسم</t>
  </si>
  <si>
    <t>GZA0393</t>
  </si>
  <si>
    <t>Amir Al-Mansi School</t>
  </si>
  <si>
    <t>ايواء مدرسة امير المنسي</t>
  </si>
  <si>
    <t>GZA4432</t>
  </si>
  <si>
    <t>Al Rasheed site</t>
  </si>
  <si>
    <t>موقع الرشيد</t>
  </si>
  <si>
    <t>KYS4475</t>
  </si>
  <si>
    <t>GZA0391</t>
  </si>
  <si>
    <t>Palestine Secondary School for Boys Shelter</t>
  </si>
  <si>
    <t>ايواء مدرسة فلسطين الثانوية للبنين</t>
  </si>
  <si>
    <t>GZA4388</t>
  </si>
  <si>
    <t>Ministry of Labor</t>
  </si>
  <si>
    <t>وزارة العمل</t>
  </si>
  <si>
    <t>GZA4123</t>
  </si>
  <si>
    <t>Holy Family School Shelter</t>
  </si>
  <si>
    <t>ايواء مدرسة العائلة المقدسة</t>
  </si>
  <si>
    <t>GZA4050</t>
  </si>
  <si>
    <t>Middle East Council of Churches (El Wahda street)</t>
  </si>
  <si>
    <t>موقع ايواء اتحاد الكنائس</t>
  </si>
  <si>
    <t>GZA4442</t>
  </si>
  <si>
    <t>Baldna Site</t>
  </si>
  <si>
    <t>موقع بلدنا</t>
  </si>
  <si>
    <t>GZA4397</t>
  </si>
  <si>
    <t>Samayil State Camp  Sultanate of Oman</t>
  </si>
  <si>
    <t>مخيم ولاية سمائل سلطنة عمان</t>
  </si>
  <si>
    <t>DEB0071</t>
  </si>
  <si>
    <t>Ard Abu Gemayzeh</t>
  </si>
  <si>
    <t>ايواء ارض ابو جميزة</t>
  </si>
  <si>
    <t>Yafa</t>
  </si>
  <si>
    <t>DEB2138</t>
  </si>
  <si>
    <t>East Durra</t>
  </si>
  <si>
    <t>شرق الدرة</t>
  </si>
  <si>
    <t>DEB2396</t>
  </si>
  <si>
    <t>Ard Al-Falah</t>
  </si>
  <si>
    <t>ارض الفلاح</t>
  </si>
  <si>
    <t>KYS3953</t>
  </si>
  <si>
    <t>Al Amasy 2</t>
  </si>
  <si>
    <t>الأماسي 2</t>
  </si>
  <si>
    <t>KYS1843</t>
  </si>
  <si>
    <t>Al Awda</t>
  </si>
  <si>
    <t>العودة</t>
  </si>
  <si>
    <t>KYS4473</t>
  </si>
  <si>
    <t>Al Azba</t>
  </si>
  <si>
    <t>العزبة</t>
  </si>
  <si>
    <t>KYS4484</t>
  </si>
  <si>
    <t>الأمل 2</t>
  </si>
  <si>
    <t>KYS4482</t>
  </si>
  <si>
    <t>Al Arab2</t>
  </si>
  <si>
    <t>2العرب</t>
  </si>
  <si>
    <t>KYS1669</t>
  </si>
  <si>
    <t>Arab 1</t>
  </si>
  <si>
    <t>1العرب</t>
  </si>
  <si>
    <t>KYS4565</t>
  </si>
  <si>
    <t>Qubat Alsalam Camp</t>
  </si>
  <si>
    <t>مخيم قبة السلام</t>
  </si>
  <si>
    <t>KYS1820</t>
  </si>
  <si>
    <t>Akela camp</t>
  </si>
  <si>
    <t>عكيلة</t>
  </si>
  <si>
    <t>DEB4676</t>
  </si>
  <si>
    <t>Salam Alshamal</t>
  </si>
  <si>
    <t>مخيم سلام الشمال</t>
  </si>
  <si>
    <t>KYS1156</t>
  </si>
  <si>
    <t>Noor Al Salam</t>
  </si>
  <si>
    <t>نور السلام</t>
  </si>
  <si>
    <t>DEB4671</t>
  </si>
  <si>
    <t>Al Nojoom</t>
  </si>
  <si>
    <t>مخيم النجوم</t>
  </si>
  <si>
    <t>KYS1611</t>
  </si>
  <si>
    <t>Al Rahma(1)</t>
  </si>
  <si>
    <t>الرحمة(1)</t>
  </si>
  <si>
    <t>GZA4142</t>
  </si>
  <si>
    <t>Al Zahraa camp</t>
  </si>
  <si>
    <t xml:space="preserve">الزهراء </t>
  </si>
  <si>
    <t>KYS1652</t>
  </si>
  <si>
    <t>Al Agha camp (Al Jeid)</t>
  </si>
  <si>
    <t>مخيم الآغا (الجد)</t>
  </si>
  <si>
    <t>GZA4436</t>
  </si>
  <si>
    <t>Al-Turkman Site</t>
  </si>
  <si>
    <t>موقع التركمان</t>
  </si>
  <si>
    <t>GZA4675</t>
  </si>
  <si>
    <t>Khair Al-Ayady Site</t>
  </si>
  <si>
    <t>موقع خير الايادي</t>
  </si>
  <si>
    <t>GZA4427</t>
  </si>
  <si>
    <t>Al-Mashtel club site</t>
  </si>
  <si>
    <t>موقع نادي المشتل</t>
  </si>
  <si>
    <t>GZA4668</t>
  </si>
  <si>
    <t>Al-Bayt Al-Samid Site</t>
  </si>
  <si>
    <t>البيت السعيد موقع</t>
  </si>
  <si>
    <t>DEB4054</t>
  </si>
  <si>
    <t>Sur Al-Tahlia Site (Water Authority Shelter)</t>
  </si>
  <si>
    <t>مخيم مصلحة المياه</t>
  </si>
  <si>
    <t>KYS1600</t>
  </si>
  <si>
    <t>Abu Issa</t>
  </si>
  <si>
    <t>ابو عيسي</t>
  </si>
  <si>
    <t>KYS1800</t>
  </si>
  <si>
    <t>Abu Emraan</t>
  </si>
  <si>
    <t>أبو عمران</t>
  </si>
  <si>
    <t>KYS1841</t>
  </si>
  <si>
    <t>Ahel Al Khair</t>
  </si>
  <si>
    <t>RFH4677</t>
  </si>
  <si>
    <t>Mukhtar Site</t>
  </si>
  <si>
    <t>موقع المختار</t>
  </si>
  <si>
    <t>KYS4469</t>
  </si>
  <si>
    <t>Mousa Alaga</t>
  </si>
  <si>
    <t>موسي الاغا</t>
  </si>
  <si>
    <t>KYS0839</t>
  </si>
  <si>
    <t>Al Amal 1</t>
  </si>
  <si>
    <t>الامل</t>
  </si>
  <si>
    <t>AL gourba</t>
  </si>
  <si>
    <t xml:space="preserve">موقع الغربة </t>
  </si>
  <si>
    <t>KYS3699</t>
  </si>
  <si>
    <t>Al-Basma camp</t>
  </si>
  <si>
    <t>البسمة</t>
  </si>
  <si>
    <t>DEB4600</t>
  </si>
  <si>
    <t>Zina site</t>
  </si>
  <si>
    <t>موقع زينة</t>
  </si>
  <si>
    <t>KYS1592</t>
  </si>
  <si>
    <t>Abu Husni</t>
  </si>
  <si>
    <t>ابو حسني</t>
  </si>
  <si>
    <t>Al Taawun Site</t>
  </si>
  <si>
    <t>KYS1811</t>
  </si>
  <si>
    <t>Abo Ashour</t>
  </si>
  <si>
    <t>أبوعاشور</t>
  </si>
  <si>
    <t>GZA0382</t>
  </si>
  <si>
    <t>Fahmi Al-Gargawi Shelter</t>
  </si>
  <si>
    <t>KYS3674</t>
  </si>
  <si>
    <t>Adel Al Abadla</t>
  </si>
  <si>
    <t>GZA0707</t>
  </si>
  <si>
    <t>Ansar 5 Camp</t>
  </si>
  <si>
    <t>مخيم انصار 5</t>
  </si>
  <si>
    <t>KYS1653</t>
  </si>
  <si>
    <t>Al- Shatt</t>
  </si>
  <si>
    <t>عبد الرحمن  هشام</t>
  </si>
  <si>
    <t>DEB2649</t>
  </si>
  <si>
    <t>Al-Fajr Alshababi</t>
  </si>
  <si>
    <t>الفجر الشبابي</t>
  </si>
  <si>
    <t>KYS4481</t>
  </si>
  <si>
    <t>Al Arab 3</t>
  </si>
  <si>
    <t>العرب3</t>
  </si>
  <si>
    <t>KYS1673</t>
  </si>
  <si>
    <t>Abo Rashad Al-Astal</t>
  </si>
  <si>
    <t>ابو رشاد الاسطل</t>
  </si>
  <si>
    <t>GZA4572</t>
  </si>
  <si>
    <t>Al Manara School site</t>
  </si>
  <si>
    <t>مدرسة المنارة</t>
  </si>
  <si>
    <t>Gaza Old City</t>
  </si>
  <si>
    <t>DEB4457</t>
  </si>
  <si>
    <t>Basma Amal</t>
  </si>
  <si>
    <t>مركز ايواء بسمة أمل الشمولي لذوي الاعاقة</t>
  </si>
  <si>
    <t>GZA2137</t>
  </si>
  <si>
    <t>Mustaqbal School</t>
  </si>
  <si>
    <t>مدرسة المستقبل الخاصة</t>
  </si>
  <si>
    <t>RFH4678</t>
  </si>
  <si>
    <t>Wahj Al Hayah</t>
  </si>
  <si>
    <t>موقع وهج الحياة</t>
  </si>
  <si>
    <t>RFH4672</t>
  </si>
  <si>
    <t>Al Noor Site</t>
  </si>
  <si>
    <t>RFH4674</t>
  </si>
  <si>
    <t>Grand House Site</t>
  </si>
  <si>
    <t>موقع جراند هاوس</t>
  </si>
  <si>
    <t>KYS1714</t>
  </si>
  <si>
    <t>Hebron camp</t>
  </si>
  <si>
    <t>مخيم الخليلين</t>
  </si>
  <si>
    <t>RFH4669</t>
  </si>
  <si>
    <t>Al Houda Site</t>
  </si>
  <si>
    <t>موقع الهدى</t>
  </si>
  <si>
    <t>RFH4660</t>
  </si>
  <si>
    <t>Akwakh Site</t>
  </si>
  <si>
    <t>موقع الأكواخ</t>
  </si>
  <si>
    <t>DEB0504</t>
  </si>
  <si>
    <t>German maritime club camp</t>
  </si>
  <si>
    <t>مخيم النادي البحري الألماني</t>
  </si>
  <si>
    <t>DEB0517</t>
  </si>
  <si>
    <t>Al-Asdiqa'</t>
  </si>
  <si>
    <t>الأصدقاء</t>
  </si>
  <si>
    <t>DEB3018</t>
  </si>
  <si>
    <t>Unknown - scattered site</t>
  </si>
  <si>
    <t>KYS0945</t>
  </si>
  <si>
    <t>Sea camp</t>
  </si>
  <si>
    <t>مخيم البحر</t>
  </si>
  <si>
    <t>KYS4512</t>
  </si>
  <si>
    <t>Al- Heba</t>
  </si>
  <si>
    <t>الهبة</t>
  </si>
  <si>
    <t>KYS1724</t>
  </si>
  <si>
    <t>Al-Najjar 2</t>
  </si>
  <si>
    <t xml:space="preserve">النجار 2 </t>
  </si>
  <si>
    <t>KYS1460</t>
  </si>
  <si>
    <t>Tobasy</t>
  </si>
  <si>
    <t>طوباسى</t>
  </si>
  <si>
    <t>KYS3986</t>
  </si>
  <si>
    <t xml:space="preserve">النور </t>
  </si>
  <si>
    <t>الساحل</t>
  </si>
  <si>
    <t>KYS4563</t>
  </si>
  <si>
    <t>Atta'a Shabab</t>
  </si>
  <si>
    <t>عطاء شباب</t>
  </si>
  <si>
    <t>KYS3973</t>
  </si>
  <si>
    <t>Al aqsa</t>
  </si>
  <si>
    <t>الأقصى</t>
  </si>
  <si>
    <t>KYS0090</t>
  </si>
  <si>
    <t>Al-Aqsa B community</t>
  </si>
  <si>
    <t>الأقصى ب</t>
  </si>
  <si>
    <t>KYS4094</t>
  </si>
  <si>
    <t>Al Rahma alGharbi</t>
  </si>
  <si>
    <t>مخيم الرحمة الغربي</t>
  </si>
  <si>
    <t>DEB3026</t>
  </si>
  <si>
    <t>Altaghreeba-alfalasteenia</t>
  </si>
  <si>
    <t>التغريبة الفلسطينية</t>
  </si>
  <si>
    <t>KYS0237</t>
  </si>
  <si>
    <t>Zoroub</t>
  </si>
  <si>
    <t>DEB0491</t>
  </si>
  <si>
    <t>Al Salam al-Sharqi</t>
  </si>
  <si>
    <t>السلام الشرقي</t>
  </si>
  <si>
    <t>KYS0899</t>
  </si>
  <si>
    <t>Welding camp</t>
  </si>
  <si>
    <t xml:space="preserve">مخيم اللحام </t>
  </si>
  <si>
    <t>KYS4567</t>
  </si>
  <si>
    <t>Tabariaa 1</t>
  </si>
  <si>
    <t>طبريا 1</t>
  </si>
  <si>
    <t>KYS1968</t>
  </si>
  <si>
    <t>Salah Aldin Shelter</t>
  </si>
  <si>
    <t>مخيم صلاح الدين</t>
  </si>
  <si>
    <t>GZA4420</t>
  </si>
  <si>
    <t>Montazah Al-Baladia Site</t>
  </si>
  <si>
    <t>موقع منتزة البلدية</t>
  </si>
  <si>
    <t>DEB2596</t>
  </si>
  <si>
    <t>Alhurya site -A</t>
  </si>
  <si>
    <t>الحرية-أ</t>
  </si>
  <si>
    <t>KYS4044</t>
  </si>
  <si>
    <t>Ashdod Camp</t>
  </si>
  <si>
    <t>الاسدود</t>
  </si>
  <si>
    <t>KYS1017</t>
  </si>
  <si>
    <t>Jerusalem Camp "Al Hilal"</t>
  </si>
  <si>
    <t>مخيم القدس "الهلال"</t>
  </si>
  <si>
    <t>KYS4093</t>
  </si>
  <si>
    <t>KYS1716</t>
  </si>
  <si>
    <t>Al Majid camp</t>
  </si>
  <si>
    <t>مخيم الماجد</t>
  </si>
  <si>
    <t>KYS1057</t>
  </si>
  <si>
    <t>Qdaih</t>
  </si>
  <si>
    <t>مخيم قديح</t>
  </si>
  <si>
    <t>DEB4633</t>
  </si>
  <si>
    <t>El-Aman Site</t>
  </si>
  <si>
    <t>موقع الأمان</t>
  </si>
  <si>
    <t>GZA4143</t>
  </si>
  <si>
    <t>Asslam</t>
  </si>
  <si>
    <t>السلام</t>
  </si>
  <si>
    <t>GZA4152</t>
  </si>
  <si>
    <t>Palestine camp</t>
  </si>
  <si>
    <t>مخيم دوار فلسطين</t>
  </si>
  <si>
    <t>DEB2794</t>
  </si>
  <si>
    <t>Al-Rahma</t>
  </si>
  <si>
    <t>الرحمة</t>
  </si>
  <si>
    <t>KYS1859</t>
  </si>
  <si>
    <t>Al-Barr and Al-Ihsan camp</t>
  </si>
  <si>
    <t>مخيم البر والاحسان</t>
  </si>
  <si>
    <t>DEB4599</t>
  </si>
  <si>
    <t>Takafoul site</t>
  </si>
  <si>
    <t>موقع التكافل</t>
  </si>
  <si>
    <t>DEB4578</t>
  </si>
  <si>
    <t>AL Ribat site</t>
  </si>
  <si>
    <t>KYS1323</t>
  </si>
  <si>
    <t>Al Eata</t>
  </si>
  <si>
    <t>مخيم العطاء</t>
  </si>
  <si>
    <t>DEB0296</t>
  </si>
  <si>
    <t>Mamdouh Saidam School</t>
  </si>
  <si>
    <t>مدرسة ممدوح صيدم</t>
  </si>
  <si>
    <t>Tal Az-Zuhour</t>
  </si>
  <si>
    <t>DEB0047</t>
  </si>
  <si>
    <t>Nuseirat Elem. Co-ed "G" &amp; Prep.Girls "C"</t>
  </si>
  <si>
    <t>UNRWA</t>
  </si>
  <si>
    <t>DEB0067</t>
  </si>
  <si>
    <t>Maghazi Elem. Co-ed "A" &amp; "B"</t>
  </si>
  <si>
    <t>Al Maghazi Camp</t>
  </si>
  <si>
    <t>DEB0054</t>
  </si>
  <si>
    <t>Nuseirat Prep. Boys "D" &amp; Elem. Boys "C"</t>
  </si>
  <si>
    <t>DEB0069</t>
  </si>
  <si>
    <t>Maghazi Elem. Boys "B" &amp; "A"</t>
  </si>
  <si>
    <t>DEB0068</t>
  </si>
  <si>
    <t>Maghazi Prep. Boys "A"</t>
  </si>
  <si>
    <t>DEB0503</t>
  </si>
  <si>
    <t>Bureij Elem. Co-ed B &amp; Elem. Boys C</t>
  </si>
  <si>
    <t>مدرسة البريج الابتدائية المشتركة ب</t>
  </si>
  <si>
    <t>Al Bureij Camp</t>
  </si>
  <si>
    <t>DEB0066</t>
  </si>
  <si>
    <t>Bureij Elem. Co-ed "D" &amp; Elem. Boys "D"</t>
  </si>
  <si>
    <t>مدرسة البريج الابتدائية المشتركة د</t>
  </si>
  <si>
    <t>DEB0062</t>
  </si>
  <si>
    <t>Nuseirat Prep. Boys "E"</t>
  </si>
  <si>
    <t>DEB4265</t>
  </si>
  <si>
    <t>Al-Souq Al-Jadeed  Site</t>
  </si>
  <si>
    <t>موقع السوق الجديد</t>
  </si>
  <si>
    <t>KYS4428</t>
  </si>
  <si>
    <t>Al-Heria Site</t>
  </si>
  <si>
    <t>موقع الحرية</t>
  </si>
  <si>
    <t>KYS4438</t>
  </si>
  <si>
    <t>Al-Sawaid Site</t>
  </si>
  <si>
    <t>موقع سواعد</t>
  </si>
  <si>
    <t>DEB0046</t>
  </si>
  <si>
    <t>Nuseirat Prep. Co-ed "A"</t>
  </si>
  <si>
    <t>مدرسة النصيرات الإعدادية المشتركة أ</t>
  </si>
  <si>
    <t>KYS4593</t>
  </si>
  <si>
    <t>Khan Younis Stadium Site</t>
  </si>
  <si>
    <t>نادي خدمات خانيونس</t>
  </si>
  <si>
    <t>KYS1117</t>
  </si>
  <si>
    <t>Al Essraa 2 Camp</t>
  </si>
  <si>
    <t>موقع الاسراء 2</t>
  </si>
  <si>
    <t>KYS4323</t>
  </si>
  <si>
    <t>Yasmine</t>
  </si>
  <si>
    <t>موقع وادي الريان</t>
  </si>
  <si>
    <t>GZA6014</t>
  </si>
  <si>
    <t>Sanad Site</t>
  </si>
  <si>
    <t>موقع سند</t>
  </si>
  <si>
    <t>موقع العطاء</t>
  </si>
  <si>
    <t>GZA0465</t>
  </si>
  <si>
    <t>Gaza Prep. Girls "A" &amp; "B"</t>
  </si>
  <si>
    <t>"إعدادية غزة للبنات (أ) و(ب)"</t>
  </si>
  <si>
    <t>GZA3037</t>
  </si>
  <si>
    <t>Daraj Elem. Co-ed "A" &amp; "B" &amp; "D" &amp; "E"</t>
  </si>
  <si>
    <t>الدرج الابتدائية المشتركة أ  و ب و ج و د</t>
  </si>
  <si>
    <t>DEB0056</t>
  </si>
  <si>
    <t>Nuseirat Elem. Boys "B" &amp; Girls "A"</t>
  </si>
  <si>
    <t>KYS1912</t>
  </si>
  <si>
    <t>Al Taawon</t>
  </si>
  <si>
    <t>التعاون</t>
  </si>
  <si>
    <t>DEB0039</t>
  </si>
  <si>
    <t>D/Balah Prep. Boys "A" &amp; "B"</t>
  </si>
  <si>
    <t>مدرسة دير البلح الإعدادية للبنين "أ" و"ب"</t>
  </si>
  <si>
    <t>Deir al Balah Camp</t>
  </si>
  <si>
    <t>KYS3235</t>
  </si>
  <si>
    <t>Al Asdeqaa</t>
  </si>
  <si>
    <t>مخيم الاصدقاء</t>
  </si>
  <si>
    <t>DEB0038</t>
  </si>
  <si>
    <t>D/Balah Elem. Co-ed A &amp; B</t>
  </si>
  <si>
    <t>مدرسه ديرالبلح المشتركه ا . ب ( البصه )</t>
  </si>
  <si>
    <t>KYS3770</t>
  </si>
  <si>
    <t>Al-Wafa Camp</t>
  </si>
  <si>
    <t>GZA4063</t>
  </si>
  <si>
    <t>Al Noor Rehabilitation Centre for Visually Impaired (RCVI)</t>
  </si>
  <si>
    <t>GZA0444</t>
  </si>
  <si>
    <t>Rimal Elem. Co-ed "A" &amp; "B"</t>
  </si>
  <si>
    <t>KYS1325</t>
  </si>
  <si>
    <t>Falastin site</t>
  </si>
  <si>
    <t>موقع فلسطين</t>
  </si>
  <si>
    <t>GZA0734</t>
  </si>
  <si>
    <t>Rimal Prep. Co-ed "C"</t>
  </si>
  <si>
    <t>بنات الرمال الإعدادية ج</t>
  </si>
  <si>
    <t>GZA0461</t>
  </si>
  <si>
    <t>New Gaza Elem. Boys "A" &amp; "B"</t>
  </si>
  <si>
    <t>GZA0443</t>
  </si>
  <si>
    <t>Asma Elem. Co-ed "A" &amp; "B"</t>
  </si>
  <si>
    <t>مدرسة أسماء الابتدائية المختلطة "أ" و"ب"</t>
  </si>
  <si>
    <t>GZA3025</t>
  </si>
  <si>
    <t>Salah Eddin Prep. Boys "B" &amp; "A"</t>
  </si>
  <si>
    <t>GZA3299</t>
  </si>
  <si>
    <t>GZA3299 - Mamounia Prep. Girls "A" &amp; "B"</t>
  </si>
  <si>
    <t>GZA4064</t>
  </si>
  <si>
    <t>Asma Elem. Co-ed "C" &amp; "D"</t>
  </si>
  <si>
    <t>GZA0436</t>
  </si>
  <si>
    <t>Beach Elem. Boys "E" &amp; Co-ed "B"</t>
  </si>
  <si>
    <t>Ash Shati' Camp</t>
  </si>
  <si>
    <t>GZA0441</t>
  </si>
  <si>
    <t>Beach Prep Boys "A"</t>
  </si>
  <si>
    <t>GZA0445</t>
  </si>
  <si>
    <t>Asma' Prep. Girls "A" &amp; "B"</t>
  </si>
  <si>
    <t>GZA0455</t>
  </si>
  <si>
    <t>Beach Elem. Coed "D" &amp; Elem Coed "G"</t>
  </si>
  <si>
    <t>مدرسة الشاطئ الابتدائية المختلطة "د" ومدرسة الابتدائي المختلطة "جي"</t>
  </si>
  <si>
    <t>GZA2134</t>
  </si>
  <si>
    <t>New Gaza Prep. Boys "A" &amp; "C"</t>
  </si>
  <si>
    <t>GZA4065</t>
  </si>
  <si>
    <t>Beach Elem. Boys "A" &amp; "B"</t>
  </si>
  <si>
    <t>GZA4066</t>
  </si>
  <si>
    <t>Beach Health Center</t>
  </si>
  <si>
    <t>GZA4067</t>
  </si>
  <si>
    <t>Beach Prep Boys "C"</t>
  </si>
  <si>
    <t>GZA4070</t>
  </si>
  <si>
    <t>Rimal Health Center</t>
  </si>
  <si>
    <t>GZA4071</t>
  </si>
  <si>
    <t>Rimal Prep. Boys A &amp; B</t>
  </si>
  <si>
    <t>At Turukman - Ijdeedeh</t>
  </si>
  <si>
    <t>GZA4110</t>
  </si>
  <si>
    <t>New Gaza Elem. Boys "C" &amp; "D"</t>
  </si>
  <si>
    <t>GZA4278</t>
  </si>
  <si>
    <t>Bahrain Elem Boys "A" &amp; "B"</t>
  </si>
  <si>
    <t>ذكور البحرين الابتدائية أ ، ب</t>
  </si>
  <si>
    <t>GZA4316</t>
  </si>
  <si>
    <t>Tal El-Hawa Elem. Girls "A" &amp; "B"</t>
  </si>
  <si>
    <t>بنات تل الهوا الابتدائية أ،ب</t>
  </si>
  <si>
    <t>GZA4317</t>
  </si>
  <si>
    <t>Tal El-Hawa Prep. Boys "A" &amp; "B"</t>
  </si>
  <si>
    <t>ذكور تل الهوا الإعدادية أ.ب</t>
  </si>
  <si>
    <t>GZA4318</t>
  </si>
  <si>
    <t>Tal El-Hawa Prep. Girls "A" &amp; "B"</t>
  </si>
  <si>
    <t>بنات تل الهوا الإعدادية</t>
  </si>
  <si>
    <t>GZA4458</t>
  </si>
  <si>
    <t>Al-Mashtal Prep Boys</t>
  </si>
  <si>
    <t>مدرسة المشتل الإعدادية للبنين</t>
  </si>
  <si>
    <t>KYS2021</t>
  </si>
  <si>
    <t>lburaq</t>
  </si>
  <si>
    <t>موقع البراق الجنوبي</t>
  </si>
  <si>
    <t>KYS3751</t>
  </si>
  <si>
    <t>Al-Huda Al-Qatari</t>
  </si>
  <si>
    <t>الهدى القطري</t>
  </si>
  <si>
    <t>KYS1917</t>
  </si>
  <si>
    <t>Al Madina Al Munwara</t>
  </si>
  <si>
    <t>المدينة المنورة</t>
  </si>
  <si>
    <t>DEB3533</t>
  </si>
  <si>
    <t>Aetehad al am</t>
  </si>
  <si>
    <t>ايواء الاتحاد العام لذوي الاعاقة</t>
  </si>
  <si>
    <t>KYS3893</t>
  </si>
  <si>
    <t>Haifa</t>
  </si>
  <si>
    <t>حيفا</t>
  </si>
  <si>
    <t>KYS3293</t>
  </si>
  <si>
    <t>Almajd</t>
  </si>
  <si>
    <t>Qizan Abu Rashwan</t>
  </si>
  <si>
    <t>KYS1560</t>
  </si>
  <si>
    <t>Matar camp</t>
  </si>
  <si>
    <t>مخيم مطر</t>
  </si>
  <si>
    <t>KYS1699</t>
  </si>
  <si>
    <t>Al-Mina camp</t>
  </si>
  <si>
    <t>مخيم المينا</t>
  </si>
  <si>
    <t>KYS1694</t>
  </si>
  <si>
    <t>Al-Fajr camp</t>
  </si>
  <si>
    <t>مخيم الفجر</t>
  </si>
  <si>
    <t>KYS1120</t>
  </si>
  <si>
    <t>KYS1120 - Hai AlSalam</t>
  </si>
  <si>
    <t>حى السلام</t>
  </si>
  <si>
    <t>KYS0099</t>
  </si>
  <si>
    <t>West of Al-Majayda community</t>
  </si>
  <si>
    <t>KYS1409</t>
  </si>
  <si>
    <t>Al Atahat</t>
  </si>
  <si>
    <t>KYS1550</t>
  </si>
  <si>
    <t>Al-ikhwah</t>
  </si>
  <si>
    <t>مخيم الاخوة</t>
  </si>
  <si>
    <t>KYS1281</t>
  </si>
  <si>
    <t>Al nahr albarid</t>
  </si>
  <si>
    <t>موقع النهر البارد</t>
  </si>
  <si>
    <t>KYS2683</t>
  </si>
  <si>
    <t>South of Lisn Al Mina</t>
  </si>
  <si>
    <t>جنوب لسان المينا</t>
  </si>
  <si>
    <t>KYS3851</t>
  </si>
  <si>
    <t>Hittin</t>
  </si>
  <si>
    <t>موقع حطين</t>
  </si>
  <si>
    <t>KYS3750</t>
  </si>
  <si>
    <t>aljzera</t>
  </si>
  <si>
    <t>مخيم الجزيرة</t>
  </si>
  <si>
    <t>KYS1916</t>
  </si>
  <si>
    <t>Al Shuhada camp</t>
  </si>
  <si>
    <t>KYS3779</t>
  </si>
  <si>
    <t>Al'abria</t>
  </si>
  <si>
    <t>موقع الابرياء</t>
  </si>
  <si>
    <t>KYS1860</t>
  </si>
  <si>
    <t>Basem Hammad camp</t>
  </si>
  <si>
    <t>مخيم باسم حماد</t>
  </si>
  <si>
    <t>KYS1557</t>
  </si>
  <si>
    <t>Alamalcamp</t>
  </si>
  <si>
    <t>KYS4098</t>
  </si>
  <si>
    <t>Alaisiqama mairna</t>
  </si>
  <si>
    <t>KYS2037</t>
  </si>
  <si>
    <t>Zenah Camp</t>
  </si>
  <si>
    <t>موقع زينه</t>
  </si>
  <si>
    <t>KYS1791</t>
  </si>
  <si>
    <t>al mawada</t>
  </si>
  <si>
    <t>مخيم المودة</t>
  </si>
  <si>
    <t>KYS3930</t>
  </si>
  <si>
    <t>Al Astal</t>
  </si>
  <si>
    <t>ارض الاسطل</t>
  </si>
  <si>
    <t>KYS3260</t>
  </si>
  <si>
    <t>Kazan Abu Rishwan - Al-Biri Wa Al-Taqwaa</t>
  </si>
  <si>
    <t>موقع البر والتقوى</t>
  </si>
  <si>
    <t>DEB2112</t>
  </si>
  <si>
    <t>lamen mohamed</t>
  </si>
  <si>
    <t>الأمين محمد</t>
  </si>
  <si>
    <t>KYS3818</t>
  </si>
  <si>
    <t>Al-Hayat</t>
  </si>
  <si>
    <t>الحياة</t>
  </si>
  <si>
    <t>KYS1476</t>
  </si>
  <si>
    <t>Barakt AL-Khair</t>
  </si>
  <si>
    <t>بركات الخير</t>
  </si>
  <si>
    <t>KYS0505</t>
  </si>
  <si>
    <t>Al-Beko Chalet</t>
  </si>
  <si>
    <t>Al-Amal</t>
  </si>
  <si>
    <t>الأمل</t>
  </si>
  <si>
    <t>موقع جعفر</t>
  </si>
  <si>
    <t>KYS4413</t>
  </si>
  <si>
    <t>Abu Toima Camp</t>
  </si>
  <si>
    <t>مخيم ابو طعيمة وسهمود وقهوجي</t>
  </si>
  <si>
    <t>KYS1147</t>
  </si>
  <si>
    <t>Al-Essraa cam</t>
  </si>
  <si>
    <t>KYS1771</t>
  </si>
  <si>
    <t>albiyari</t>
  </si>
  <si>
    <t>مخيمات البياري</t>
  </si>
  <si>
    <t>KYS1858</t>
  </si>
  <si>
    <t>Camp Life 3</t>
  </si>
  <si>
    <t>مخيم حياة 3</t>
  </si>
  <si>
    <t>KYS3840</t>
  </si>
  <si>
    <t>Heteen</t>
  </si>
  <si>
    <t>مخيم حطين</t>
  </si>
  <si>
    <t>KYS1318</t>
  </si>
  <si>
    <t>Karama</t>
  </si>
  <si>
    <t>مخيم الكرامة 1</t>
  </si>
  <si>
    <t>KYS3883</t>
  </si>
  <si>
    <t>Rawad Al-Amal</t>
  </si>
  <si>
    <t>رواد الامل</t>
  </si>
  <si>
    <t>DEB3489</t>
  </si>
  <si>
    <t>Abu Shmeis</t>
  </si>
  <si>
    <t>أبو شميس</t>
  </si>
  <si>
    <t>KYS1321</t>
  </si>
  <si>
    <t>Al Nasr</t>
  </si>
  <si>
    <t>مخيم النصر</t>
  </si>
  <si>
    <t>KYS1333</t>
  </si>
  <si>
    <t>Al Jazayir camp</t>
  </si>
  <si>
    <t>مخيم الجزائر</t>
  </si>
  <si>
    <t>KYS0468</t>
  </si>
  <si>
    <t>Al-Quds Open University - Khan Younis branch</t>
  </si>
  <si>
    <t>جامعة القدس المفتوحة</t>
  </si>
  <si>
    <t>KYS1684</t>
  </si>
  <si>
    <t>Al-Taqwa Camp 3</t>
  </si>
  <si>
    <t>مخيم التقوى 3</t>
  </si>
  <si>
    <t>KYS1414</t>
  </si>
  <si>
    <t>Al Amal Bel Awdah</t>
  </si>
  <si>
    <t>الامل بالعودة</t>
  </si>
  <si>
    <t>KYS3266</t>
  </si>
  <si>
    <t>Al Ziton</t>
  </si>
  <si>
    <t>مخيم الزيتون</t>
  </si>
  <si>
    <t>KYS3899</t>
  </si>
  <si>
    <t>Al-ihsan</t>
  </si>
  <si>
    <t>مخيم الاحسان</t>
  </si>
  <si>
    <t>KYS1882</t>
  </si>
  <si>
    <t>Al Shuwka shelter</t>
  </si>
  <si>
    <t>ايواء الشوكة</t>
  </si>
  <si>
    <t>KYS1537</t>
  </si>
  <si>
    <t>Hamad Al Salam Camp</t>
  </si>
  <si>
    <t>حمد. مخيم السلام جنوب حمد</t>
  </si>
  <si>
    <t>KYS3265</t>
  </si>
  <si>
    <t>Al-Ryan camp</t>
  </si>
  <si>
    <t>KYS1920</t>
  </si>
  <si>
    <t>Alzohor</t>
  </si>
  <si>
    <t>مخيم الزهور</t>
  </si>
  <si>
    <t>KYS3784</t>
  </si>
  <si>
    <t>Salam Camp</t>
  </si>
  <si>
    <t>مخيم سلام</t>
  </si>
  <si>
    <t>KYS1697</t>
  </si>
  <si>
    <t>Al-Taqwa Camp 2</t>
  </si>
  <si>
    <t>مخيم التقوى 2</t>
  </si>
  <si>
    <t>DEB2738</t>
  </si>
  <si>
    <t>Abu Hajir</t>
  </si>
  <si>
    <t>أبوحجير</t>
  </si>
  <si>
    <t>KYS1681</t>
  </si>
  <si>
    <t>Al-Majaida Mosque camp</t>
  </si>
  <si>
    <t>مخيم مسجد المجايدة</t>
  </si>
  <si>
    <t>Al Wafa</t>
  </si>
  <si>
    <t>KYS2043</t>
  </si>
  <si>
    <t>Al-Qurban Camp</t>
  </si>
  <si>
    <t>ايواء القربان</t>
  </si>
  <si>
    <t>مخيم وصلة امل</t>
  </si>
  <si>
    <t>DEB3522</t>
  </si>
  <si>
    <t>Al Fares</t>
  </si>
  <si>
    <t>الفارس</t>
  </si>
  <si>
    <t>Qa' al Qurein</t>
  </si>
  <si>
    <t>KYS0937</t>
  </si>
  <si>
    <t>Abu Jayab</t>
  </si>
  <si>
    <t>Ma'in</t>
  </si>
  <si>
    <t>KYS3309</t>
  </si>
  <si>
    <t>Al sumod</t>
  </si>
  <si>
    <t>الصمود</t>
  </si>
  <si>
    <t>KYS3950</t>
  </si>
  <si>
    <t>Al-Turki, East Hamad</t>
  </si>
  <si>
    <t>التركي شرق حمد</t>
  </si>
  <si>
    <t>مخيم البلدية</t>
  </si>
  <si>
    <t>DEB2613</t>
  </si>
  <si>
    <t>Layan Faisal</t>
  </si>
  <si>
    <t>ليان فيصل</t>
  </si>
  <si>
    <t>DEB2640</t>
  </si>
  <si>
    <t>Zeina Shelter</t>
  </si>
  <si>
    <t>مخيم زينة</t>
  </si>
  <si>
    <t>GZA4352</t>
  </si>
  <si>
    <t>Al-Karim Site</t>
  </si>
  <si>
    <t>GZA4389</t>
  </si>
  <si>
    <t>Musa bin Nusayr School Shelter Center</t>
  </si>
  <si>
    <t>مركز إيواء مدرسة موسى بن نصير</t>
  </si>
  <si>
    <t>GZA4541</t>
  </si>
  <si>
    <t>Em Al Qura</t>
  </si>
  <si>
    <t>أم القرى</t>
  </si>
  <si>
    <t>KYS3920</t>
  </si>
  <si>
    <t>Al-Ard Al-Tayyiba</t>
  </si>
  <si>
    <t>الارض الطيبة</t>
  </si>
  <si>
    <t>KYS1880</t>
  </si>
  <si>
    <t>DEB3232</t>
  </si>
  <si>
    <t>Ard al-Tal 1</t>
  </si>
  <si>
    <t>أرض التل 1</t>
  </si>
  <si>
    <t>DEB2646</t>
  </si>
  <si>
    <t>Tahlia camp</t>
  </si>
  <si>
    <t>مخيم التحلية</t>
  </si>
  <si>
    <t>DEB2142</t>
  </si>
  <si>
    <t>Al awda shelter</t>
  </si>
  <si>
    <t>العودة ارض القدوة</t>
  </si>
  <si>
    <t>KYS1717</t>
  </si>
  <si>
    <t>Al-Shaer camp</t>
  </si>
  <si>
    <t>مخيم الشاعر</t>
  </si>
  <si>
    <t>KYS1143</t>
  </si>
  <si>
    <t>Abu Munir Salem camp</t>
  </si>
  <si>
    <t>مخيم ابو منير سالم</t>
  </si>
  <si>
    <t>KYS0316</t>
  </si>
  <si>
    <t>Hamad Basic School</t>
  </si>
  <si>
    <t xml:space="preserve">مدرسة حمد </t>
  </si>
  <si>
    <t>KYS0951</t>
  </si>
  <si>
    <t>Noman Baraka Camp</t>
  </si>
  <si>
    <t>موقع نعمان بركة</t>
  </si>
  <si>
    <t>KYS0961</t>
  </si>
  <si>
    <t>Zhrat Almdaen</t>
  </si>
  <si>
    <t>موقع زهرة المدائن</t>
  </si>
  <si>
    <t>KYS1897</t>
  </si>
  <si>
    <t>Aibna' Rafah Alsumud</t>
  </si>
  <si>
    <t>KYS4097</t>
  </si>
  <si>
    <t>Al-amal</t>
  </si>
  <si>
    <t>مخيم الأمل</t>
  </si>
  <si>
    <t>KYS3753</t>
  </si>
  <si>
    <t>Shurrab Site</t>
  </si>
  <si>
    <t>موقع شراب</t>
  </si>
  <si>
    <t>KYS3319</t>
  </si>
  <si>
    <t>Nadi al-Wakala Camp / Agency Club</t>
  </si>
  <si>
    <t>نادي الوكالة</t>
  </si>
  <si>
    <t>KYS1415</t>
  </si>
  <si>
    <t>Al Baraka 4</t>
  </si>
  <si>
    <t>مخيم البركة 4 والابتسامة</t>
  </si>
  <si>
    <t>KYS0995</t>
  </si>
  <si>
    <t>Guava Land Camp "Al-Najjar"</t>
  </si>
  <si>
    <t>مخيم ارض الجوافة "النجار"</t>
  </si>
  <si>
    <t>KYS1122</t>
  </si>
  <si>
    <t>Al Qarra</t>
  </si>
  <si>
    <t>القرا</t>
  </si>
  <si>
    <t>Ahel Al khair</t>
  </si>
  <si>
    <t>GZA4415</t>
  </si>
  <si>
    <t>Al-Amreki Site</t>
  </si>
  <si>
    <t>موقع الامريكي</t>
  </si>
  <si>
    <t>KYS0586</t>
  </si>
  <si>
    <t>AlJanoub 2</t>
  </si>
  <si>
    <t>الجنوب 2</t>
  </si>
  <si>
    <t>KYS1720</t>
  </si>
  <si>
    <t>Basma Amal Block K</t>
  </si>
  <si>
    <t>بسمة امل بلوك k</t>
  </si>
  <si>
    <t>DEB3275</t>
  </si>
  <si>
    <t>Ard al filit shelter</t>
  </si>
  <si>
    <t>ارض الفليت وابو دلال</t>
  </si>
  <si>
    <t>KYS1921</t>
  </si>
  <si>
    <t>Abu Rami Al-Shaer camp</t>
  </si>
  <si>
    <t>مخيم ابو رامي الشاعر</t>
  </si>
  <si>
    <t>KYS1925</t>
  </si>
  <si>
    <t>Al-Izza Camp</t>
  </si>
  <si>
    <t>DEB2772</t>
  </si>
  <si>
    <t>College towers</t>
  </si>
  <si>
    <t>مركز ايواء ابراج الكلية ومحيطها</t>
  </si>
  <si>
    <t>KYS0670</t>
  </si>
  <si>
    <t>KYS0756</t>
  </si>
  <si>
    <t>KYS0925</t>
  </si>
  <si>
    <t>Red Crescent</t>
  </si>
  <si>
    <t>الهلال الاحمر المصري (الاقصى2)</t>
  </si>
  <si>
    <t>KYS1792</t>
  </si>
  <si>
    <t>Beitna Camp</t>
  </si>
  <si>
    <t>KYS0692</t>
  </si>
  <si>
    <t>Al-Wefaq</t>
  </si>
  <si>
    <t>مخيم الوفاق</t>
  </si>
  <si>
    <t>KYS1706</t>
  </si>
  <si>
    <t>Al-Najjar camp</t>
  </si>
  <si>
    <t>مخيم النجار</t>
  </si>
  <si>
    <t>KYS1001</t>
  </si>
  <si>
    <t>AItaawoun</t>
  </si>
  <si>
    <t>مخيم التعاون</t>
  </si>
  <si>
    <t>KYS3857</t>
  </si>
  <si>
    <t>Al Sabereen</t>
  </si>
  <si>
    <t>مخيم الصابرين</t>
  </si>
  <si>
    <t>GZA2136</t>
  </si>
  <si>
    <t>Al-Mu'tasim Billah Shelter Center</t>
  </si>
  <si>
    <t>مركز المعتصم بالله للإيواء</t>
  </si>
  <si>
    <t>KYS3296</t>
  </si>
  <si>
    <t>Al-Mashtal Camp</t>
  </si>
  <si>
    <t>مخيم المشتل</t>
  </si>
  <si>
    <t>GZA4155</t>
  </si>
  <si>
    <t>Aljazeera camp</t>
  </si>
  <si>
    <t>GZA4345</t>
  </si>
  <si>
    <t>Al Farabi School Shelter Center</t>
  </si>
  <si>
    <t>مركز ايواء مدرسة الفرابي</t>
  </si>
  <si>
    <t>KYS1931</t>
  </si>
  <si>
    <t>Al-Rimal al-Dhahabiat</t>
  </si>
  <si>
    <t>KYS1053</t>
  </si>
  <si>
    <t>Marine people</t>
  </si>
  <si>
    <t>مخيم النص البحرية</t>
  </si>
  <si>
    <t>KYS0911</t>
  </si>
  <si>
    <t>AlSalam</t>
  </si>
  <si>
    <t>KYS1924</t>
  </si>
  <si>
    <t>Abu Ismail al-Laham camp</t>
  </si>
  <si>
    <t>مخيم ابو اسماعيل اللحام</t>
  </si>
  <si>
    <t>KYS1458</t>
  </si>
  <si>
    <t>Ard alkher</t>
  </si>
  <si>
    <t>ارض الخير</t>
  </si>
  <si>
    <t>KYS4029</t>
  </si>
  <si>
    <t>Ajyal  Camp</t>
  </si>
  <si>
    <t>مخيم اجيال</t>
  </si>
  <si>
    <t>DEB4021</t>
  </si>
  <si>
    <t>Al-Masdar Camp, Faisal Tower</t>
  </si>
  <si>
    <t>موقع أرض المصدر</t>
  </si>
  <si>
    <t>KYS1890</t>
  </si>
  <si>
    <t>Ayash Camp</t>
  </si>
  <si>
    <t>الاقصى</t>
  </si>
  <si>
    <t>KYS1403</t>
  </si>
  <si>
    <t>Abu Sitta</t>
  </si>
  <si>
    <t>KYS0689</t>
  </si>
  <si>
    <t>Al-Sabreen</t>
  </si>
  <si>
    <t>KYS0506</t>
  </si>
  <si>
    <t>Jihad Al Najjar Camp</t>
  </si>
  <si>
    <t>KYS4081</t>
  </si>
  <si>
    <t>Salam</t>
  </si>
  <si>
    <t>حي السلام</t>
  </si>
  <si>
    <t>KYS3165</t>
  </si>
  <si>
    <t>Al-Dawha Camp</t>
  </si>
  <si>
    <t>KYS1324</t>
  </si>
  <si>
    <t>KYS3978</t>
  </si>
  <si>
    <t>موقع جنى</t>
  </si>
  <si>
    <t>DEB0293</t>
  </si>
  <si>
    <t>Amoria School</t>
  </si>
  <si>
    <t>مدرسة عمورية</t>
  </si>
  <si>
    <t>KYS1728</t>
  </si>
  <si>
    <t>Al-Rayyan</t>
  </si>
  <si>
    <t>الريان</t>
  </si>
  <si>
    <t>KYS2031</t>
  </si>
  <si>
    <t>Rahma Site</t>
  </si>
  <si>
    <t>موقع الرحمة</t>
  </si>
  <si>
    <t>KYS4079</t>
  </si>
  <si>
    <t>Al-Radwan</t>
  </si>
  <si>
    <t>الرضوان</t>
  </si>
  <si>
    <t>GZA4124</t>
  </si>
  <si>
    <t>Housing the building of the Insurance and Pensions Authority</t>
  </si>
  <si>
    <t>ايواء مبنى هيئة التامين والمعاشات</t>
  </si>
  <si>
    <t>GZA4359</t>
  </si>
  <si>
    <t>Al Malyia</t>
  </si>
  <si>
    <t>المالية</t>
  </si>
  <si>
    <t>DEB2638</t>
  </si>
  <si>
    <t>Al-Naser</t>
  </si>
  <si>
    <t>النصر</t>
  </si>
  <si>
    <t>DEB2701</t>
  </si>
  <si>
    <t>Nakheel Al-Birkah</t>
  </si>
  <si>
    <t>نخيل البركة</t>
  </si>
  <si>
    <t>Ash Shuja'iyeh - Ijdeedeh</t>
  </si>
  <si>
    <t>As-Salam</t>
  </si>
  <si>
    <t>DEB2231</t>
  </si>
  <si>
    <t>Al-Eila Shelter</t>
  </si>
  <si>
    <t>KYS3959</t>
  </si>
  <si>
    <t>KYS3959-Basmet Amal</t>
  </si>
  <si>
    <t>موقع بسمة امل</t>
  </si>
  <si>
    <t>DEB3340</t>
  </si>
  <si>
    <t>يافا العزة</t>
  </si>
  <si>
    <t>As Siddeq</t>
  </si>
  <si>
    <t>DEB2698</t>
  </si>
  <si>
    <t>East Salah Al-Deen</t>
  </si>
  <si>
    <t>شرق صلاح الدين</t>
  </si>
  <si>
    <t>Ja'afarawi</t>
  </si>
  <si>
    <t>GZA4117</t>
  </si>
  <si>
    <t>Asaad Al-Saftawi Shelte</t>
  </si>
  <si>
    <t>مدرسة اسعد الصفطاوي</t>
  </si>
  <si>
    <t>DEB3558</t>
  </si>
  <si>
    <t>Markaz Al-Birkah Al-Janoubi</t>
  </si>
  <si>
    <t>مركز البركة الجنوبي</t>
  </si>
  <si>
    <t>KYS1705</t>
  </si>
  <si>
    <t>Othman camp</t>
  </si>
  <si>
    <t>موقع عثمان</t>
  </si>
  <si>
    <t>Ar Rawdah</t>
  </si>
  <si>
    <t>KYS2041</t>
  </si>
  <si>
    <t>Safad Camp</t>
  </si>
  <si>
    <t>مخيم صفد</t>
  </si>
  <si>
    <t>DEB2615</t>
  </si>
  <si>
    <t>Al-Safa Camp, (Al-Ayyubi)</t>
  </si>
  <si>
    <t>ايواء الصفا</t>
  </si>
  <si>
    <t>DEB2368</t>
  </si>
  <si>
    <t>Al-Fajr</t>
  </si>
  <si>
    <t>DEB2441</t>
  </si>
  <si>
    <t>DEB2607</t>
  </si>
  <si>
    <t>Abu Areef B Shelter</t>
  </si>
  <si>
    <t>Deir Al Balah (east)</t>
  </si>
  <si>
    <t>DEB2647</t>
  </si>
  <si>
    <t>Al-Takafol</t>
  </si>
  <si>
    <t>DEB2365</t>
  </si>
  <si>
    <t>Mecca camp</t>
  </si>
  <si>
    <t>السلطان</t>
  </si>
  <si>
    <t>DEB3250</t>
  </si>
  <si>
    <t>Ard Harb Abu Baraka</t>
  </si>
  <si>
    <t>ابو حرب ابو بركة</t>
  </si>
  <si>
    <t>DEB2513</t>
  </si>
  <si>
    <t>Al-Salah</t>
  </si>
  <si>
    <t>الصلاح</t>
  </si>
  <si>
    <t>DEB3238</t>
  </si>
  <si>
    <t>Al-Fayez Shelter</t>
  </si>
  <si>
    <t>GZA4410</t>
  </si>
  <si>
    <t>Yaffa and Abdel Fattah Hamouda Shelters</t>
  </si>
  <si>
    <t>إيواء يافا</t>
  </si>
  <si>
    <t>DEB2423</t>
  </si>
  <si>
    <t>Al-Qudwa</t>
  </si>
  <si>
    <t>القدوة</t>
  </si>
  <si>
    <t>DEB2356</t>
  </si>
  <si>
    <t>Ab zead</t>
  </si>
  <si>
    <t>أبو زياد</t>
  </si>
  <si>
    <t>DEB4056</t>
  </si>
  <si>
    <t>Al- Ekhwa shelter</t>
  </si>
  <si>
    <t>KYS0338</t>
  </si>
  <si>
    <t>Haroun Al-Rashid School</t>
  </si>
  <si>
    <t>مخيم هارون الرشيد</t>
  </si>
  <si>
    <t>DEB3150</t>
  </si>
  <si>
    <t>Dawi Al-Himam (Lale'aka Al-Basariya)</t>
  </si>
  <si>
    <t>موقع ذوي الهمم للأشخاص ذوي الإعاقة البصرية</t>
  </si>
  <si>
    <t>DEB3473</t>
  </si>
  <si>
    <t>Al-Mustafa 1</t>
  </si>
  <si>
    <t>المصطفى 1</t>
  </si>
  <si>
    <t xml:space="preserve">المصطفى </t>
  </si>
  <si>
    <t>GZA0381</t>
  </si>
  <si>
    <t>Yafa secondary School</t>
  </si>
  <si>
    <t>GZA4077</t>
  </si>
  <si>
    <t>Al Zahraa School Collective Center</t>
  </si>
  <si>
    <t>مركز جماعي لمدرسة الزهراء</t>
  </si>
  <si>
    <t>DEB2222</t>
  </si>
  <si>
    <t>Almanara</t>
  </si>
  <si>
    <t>المنارة</t>
  </si>
  <si>
    <t>KYS1490</t>
  </si>
  <si>
    <t>Northern Borak</t>
  </si>
  <si>
    <t>البراق الشمالي</t>
  </si>
  <si>
    <t>DEB2623</t>
  </si>
  <si>
    <t>Rivera</t>
  </si>
  <si>
    <t>ريفيرا</t>
  </si>
  <si>
    <t>DEB4062</t>
  </si>
  <si>
    <t>Al-Israa Shelter Center</t>
  </si>
  <si>
    <t>DEB2708</t>
  </si>
  <si>
    <t>Al-Quds Hurra</t>
  </si>
  <si>
    <t>القدس حرة</t>
  </si>
  <si>
    <t>KYS0690</t>
  </si>
  <si>
    <t>AIjazeera</t>
  </si>
  <si>
    <t>DEB2289</t>
  </si>
  <si>
    <t>Al-Salam Al-Bahr Camp</t>
  </si>
  <si>
    <t>DEB4055</t>
  </si>
  <si>
    <t>Al- Rebat shelter</t>
  </si>
  <si>
    <t>مخيم الرباط</t>
  </si>
  <si>
    <t>KYS3298</t>
  </si>
  <si>
    <t>Salam Camp 2</t>
  </si>
  <si>
    <t>DEB3237</t>
  </si>
  <si>
    <t>Al-Mahatta</t>
  </si>
  <si>
    <t>Al-Louh</t>
  </si>
  <si>
    <t>DEB2375</t>
  </si>
  <si>
    <t>Ard Abnu-Ma'eleq</t>
  </si>
  <si>
    <t>أرض ابن معليق</t>
  </si>
  <si>
    <t>DEB2791</t>
  </si>
  <si>
    <t>Zahrat Falastin</t>
  </si>
  <si>
    <t>زهرة فلسطين</t>
  </si>
  <si>
    <t>DEB2424</t>
  </si>
  <si>
    <t>Al-Furkan</t>
  </si>
  <si>
    <t>الفرقان</t>
  </si>
  <si>
    <t>DEB2102</t>
  </si>
  <si>
    <t>Al-Awda Ard Al-Gidwa</t>
  </si>
  <si>
    <t>العودة ارض الغيدوة</t>
  </si>
  <si>
    <t>DEB0355</t>
  </si>
  <si>
    <t>Deir Al-Balah School for boys</t>
  </si>
  <si>
    <t>مدرسة دير البلح الاساسية للبنين</t>
  </si>
  <si>
    <t>KYS3921</t>
  </si>
  <si>
    <t>Emaraty -First Block</t>
  </si>
  <si>
    <t>الاماراتي - المربع الاول</t>
  </si>
  <si>
    <t>GZA3491</t>
  </si>
  <si>
    <t xml:space="preserve">Sumood 5 </t>
  </si>
  <si>
    <t>مدرسة بشير الريس</t>
  </si>
  <si>
    <t>GZA2126</t>
  </si>
  <si>
    <t>Ahmed Shawky School</t>
  </si>
  <si>
    <t>مدرسة احمد شوقي</t>
  </si>
  <si>
    <t>DEB2169</t>
  </si>
  <si>
    <t>Bet Lahia</t>
  </si>
  <si>
    <t>بيت لاهيا</t>
  </si>
  <si>
    <t>DEB2796</t>
  </si>
  <si>
    <t>Al Ahliya</t>
  </si>
  <si>
    <t>أرض أبو شعبان</t>
  </si>
  <si>
    <t>DEB2468</t>
  </si>
  <si>
    <t>Al Mawda( Raba'i)</t>
  </si>
  <si>
    <t>المودة ( الربايعة)</t>
  </si>
  <si>
    <t>DEB4006</t>
  </si>
  <si>
    <t>Al-Masmiya Camp</t>
  </si>
  <si>
    <t>موقع المسمية</t>
  </si>
  <si>
    <t>DEB3532</t>
  </si>
  <si>
    <t>Muntazah Baladiet Der Al-Balah</t>
  </si>
  <si>
    <t xml:space="preserve">منتزه بلدية دير البلح  </t>
  </si>
  <si>
    <t>DEB2328</t>
  </si>
  <si>
    <t>Abo breas</t>
  </si>
  <si>
    <t>مخيم أبو بريص</t>
  </si>
  <si>
    <t>GZA4382</t>
  </si>
  <si>
    <t>Lulua Abdulwahab Al Qutami</t>
  </si>
  <si>
    <t>لولوة عبد الوهاب القطامي</t>
  </si>
  <si>
    <t>GZA4373</t>
  </si>
  <si>
    <t>Anas Ben Malik School</t>
  </si>
  <si>
    <t>مدرسة انس بن مالك</t>
  </si>
  <si>
    <t>KYS1136</t>
  </si>
  <si>
    <t>Al Mukhtar</t>
  </si>
  <si>
    <t>المختار</t>
  </si>
  <si>
    <t>GZA4122</t>
  </si>
  <si>
    <t>Al Buraq School and Camp</t>
  </si>
  <si>
    <t>ايواء مدرسة البراق الاساسية بحي النصر</t>
  </si>
  <si>
    <t>GZA4115</t>
  </si>
  <si>
    <t>Ard Insan</t>
  </si>
  <si>
    <t>مركز إيواء ارض الانسان</t>
  </si>
  <si>
    <t>GZA4195</t>
  </si>
  <si>
    <t>DEB2543</t>
  </si>
  <si>
    <t>Al-Almania</t>
  </si>
  <si>
    <t>الالمانية</t>
  </si>
  <si>
    <t>GZA4315</t>
  </si>
  <si>
    <t>Tal Al-Zahour Elementary School</t>
  </si>
  <si>
    <t>مدرسة تل الزهور الابتدائية / تل الهوا</t>
  </si>
  <si>
    <t>DEB2144</t>
  </si>
  <si>
    <t>Banna Site</t>
  </si>
  <si>
    <t>بانا</t>
  </si>
  <si>
    <t>DEB3301</t>
  </si>
  <si>
    <t>Al Sabreen camp</t>
  </si>
  <si>
    <t>GZA4061</t>
  </si>
  <si>
    <t>Soltit Al-Taqa - Dewan Almazalm</t>
  </si>
  <si>
    <t>سلطة الطاقة وديوان المظالم</t>
  </si>
  <si>
    <t>Al Karameh</t>
  </si>
  <si>
    <t>GZA4235</t>
  </si>
  <si>
    <t>Al Huda Kindergarten</t>
  </si>
  <si>
    <t>ايواء روضة الهدى</t>
  </si>
  <si>
    <t>GZA4236</t>
  </si>
  <si>
    <t>Ali bin Abi Talib School</t>
  </si>
  <si>
    <t>مدرسة على بن ابي طالب</t>
  </si>
  <si>
    <t>GZA4284</t>
  </si>
  <si>
    <t>Disabled Association Street 8</t>
  </si>
  <si>
    <t xml:space="preserve">ايواء جمعية المعاقين </t>
  </si>
  <si>
    <t>GZA4287</t>
  </si>
  <si>
    <t>Gaza University</t>
  </si>
  <si>
    <t>جامعة غزة الزيتون</t>
  </si>
  <si>
    <t>Al Amal Site</t>
  </si>
  <si>
    <t>KYS0323</t>
  </si>
  <si>
    <t>Tiberias School</t>
  </si>
  <si>
    <t>مدرسة طبريا</t>
  </si>
  <si>
    <t>KYS3871</t>
  </si>
  <si>
    <t>Montada Al Amal</t>
  </si>
  <si>
    <t>منتدى الأمل</t>
  </si>
  <si>
    <t>KYS3929</t>
  </si>
  <si>
    <t>Abu Dharr al-Ghifari</t>
  </si>
  <si>
    <t>ابو ذر الغفارى</t>
  </si>
  <si>
    <t>NGZ0309</t>
  </si>
  <si>
    <t>Awni Secondary School</t>
  </si>
  <si>
    <t>مدرسة عوني الحرثاني الكرامة</t>
  </si>
  <si>
    <t>NGZ4411</t>
  </si>
  <si>
    <t>Al Manayaa site</t>
  </si>
  <si>
    <t>موقع المنايعة</t>
  </si>
  <si>
    <t>NGZ4473</t>
  </si>
  <si>
    <t>Zat Al-Sawari School</t>
  </si>
  <si>
    <t>مدرسة ذات الصواري</t>
  </si>
  <si>
    <t>NGZ4509</t>
  </si>
  <si>
    <t>Al bawwab site</t>
  </si>
  <si>
    <t>موقع البواب</t>
  </si>
  <si>
    <t>NGZ4518</t>
  </si>
  <si>
    <t>Al Salam Site</t>
  </si>
  <si>
    <t>موقع السلام حي الكرامة</t>
  </si>
  <si>
    <t>NGZ4519</t>
  </si>
  <si>
    <t>Al Qustantinia</t>
  </si>
  <si>
    <t>موقع القسطينية</t>
  </si>
  <si>
    <t>NGZ4524</t>
  </si>
  <si>
    <t>موقع الوفاق حي الكرامة</t>
  </si>
  <si>
    <t>موقع بيسان</t>
  </si>
  <si>
    <t>NGZ4527</t>
  </si>
  <si>
    <t>Dar Al-Arqam Shelter Center</t>
  </si>
  <si>
    <t>ايواء مدرسة الارقم</t>
  </si>
  <si>
    <t>NGZ4528</t>
  </si>
  <si>
    <t>Aslan Site</t>
  </si>
  <si>
    <t>موقع ايواء اصلان</t>
  </si>
  <si>
    <t>NGZ4529</t>
  </si>
  <si>
    <t>Isa Murad Site</t>
  </si>
  <si>
    <t>موقع عيسى مراد</t>
  </si>
  <si>
    <t>NGZ4532</t>
  </si>
  <si>
    <t>Olympic camp</t>
  </si>
  <si>
    <t>مخيم الاولمبية</t>
  </si>
  <si>
    <t>NGZ4533</t>
  </si>
  <si>
    <t>Saja site</t>
  </si>
  <si>
    <t>مركز ايواء سجى</t>
  </si>
  <si>
    <t>KYS0324</t>
  </si>
  <si>
    <t>Al-Jinan School</t>
  </si>
  <si>
    <t>KYS3775</t>
  </si>
  <si>
    <t>Al Amal old Eskan</t>
  </si>
  <si>
    <t>الأمل الإسكان القديم</t>
  </si>
  <si>
    <t>KYS0325</t>
  </si>
  <si>
    <t>Abdullah Siam School</t>
  </si>
  <si>
    <t>مدرسة عبد الله صيام</t>
  </si>
  <si>
    <t>DEB2601</t>
  </si>
  <si>
    <t>Deir El Balah Services Club site</t>
  </si>
  <si>
    <t>موقع نادي خدمات دير البلح</t>
  </si>
  <si>
    <t>GZA0379</t>
  </si>
  <si>
    <t>Abd Almalik Bin Marwan</t>
  </si>
  <si>
    <t>عبد الملك بين مروان</t>
  </si>
  <si>
    <t>GZA4151</t>
  </si>
  <si>
    <t>Abdul Rahman Bin Awf</t>
  </si>
  <si>
    <t>عبد الرحمن بين أوف</t>
  </si>
  <si>
    <t>NGZ4522</t>
  </si>
  <si>
    <t>Al-Shandaghli Camp</t>
  </si>
  <si>
    <t>موقع ارض الشندغلي</t>
  </si>
  <si>
    <t>KYS4419</t>
  </si>
  <si>
    <t>Bilal Site</t>
  </si>
  <si>
    <t>إيواء بلال</t>
  </si>
  <si>
    <t>GZA4369</t>
  </si>
  <si>
    <t>Al Taqwa</t>
  </si>
  <si>
    <t>التقوى</t>
  </si>
  <si>
    <t>KYS4479</t>
  </si>
  <si>
    <t>GZA0460</t>
  </si>
  <si>
    <t>Beach Prep Girls "B" &amp; "C" &amp; Beach Coed Elem "A"</t>
  </si>
  <si>
    <t>GZA3663</t>
  </si>
  <si>
    <t>Beach Elem. Co-ed "C" &amp; "F"</t>
  </si>
  <si>
    <t>مدرسة الشاطئ الابتدائية المشتركة ج،و</t>
  </si>
  <si>
    <t>DEB0052</t>
  </si>
  <si>
    <t>Nuseirat Elem. Co-ed "F" &amp; "A"</t>
  </si>
  <si>
    <t>مركز إيواء مدرسة النصيرات الابتدائية المشتركة أ ،و</t>
  </si>
  <si>
    <t>DEB0060</t>
  </si>
  <si>
    <t>Nuseirat Elem. Co-ed "B" &amp; "D"</t>
  </si>
  <si>
    <t>مدرسة النصيرات الابتدائية المشتركة (ب&amp;د)</t>
  </si>
  <si>
    <t>DEB0064</t>
  </si>
  <si>
    <t>Bureij Prep. Boys "C" &amp; "B"</t>
  </si>
  <si>
    <t>مدرسة ذكور البريج الإعدادية ب و ج</t>
  </si>
  <si>
    <t>DEB0059</t>
  </si>
  <si>
    <t>Nuseirat Prep. Boys "B" &amp; Elem. Boys "E"</t>
  </si>
  <si>
    <t>مدرسة ذكور النصيرات الاعدادية ب</t>
  </si>
  <si>
    <t>DEB0061</t>
  </si>
  <si>
    <t>Nuseirat Prep. Girls  "E" &amp; El Mofte Elem. Co-ed</t>
  </si>
  <si>
    <t>DEB0058</t>
  </si>
  <si>
    <t>Nuseirat Prep. Girls "B"</t>
  </si>
  <si>
    <t>DEB0508</t>
  </si>
  <si>
    <t>Shams al-Nahar Camp</t>
  </si>
  <si>
    <t>مخيم شمس النهار</t>
  </si>
  <si>
    <t>GZA4441</t>
  </si>
  <si>
    <t>Ayam Almassrah Site</t>
  </si>
  <si>
    <t>موقع ايام المسرح</t>
  </si>
  <si>
    <t>GZA4434</t>
  </si>
  <si>
    <t>Al Salam</t>
  </si>
  <si>
    <t>GZA4445</t>
  </si>
  <si>
    <t>Dabeet site</t>
  </si>
  <si>
    <t>موقع ضبيط</t>
  </si>
  <si>
    <t>DEB3308</t>
  </si>
  <si>
    <t>Al Nakheel Al Zuwaida shelter</t>
  </si>
  <si>
    <t>ارض النخيل</t>
  </si>
  <si>
    <t>Ansar</t>
  </si>
  <si>
    <t>KYS1508</t>
  </si>
  <si>
    <t>Almalalha camp</t>
  </si>
  <si>
    <t>الملالحة</t>
  </si>
  <si>
    <t>DEB4255</t>
  </si>
  <si>
    <t>Alsalam</t>
  </si>
  <si>
    <t>DEB0167</t>
  </si>
  <si>
    <t>Mariam Bint Omran Secondary School for Girls</t>
  </si>
  <si>
    <t>مدرسة مريم بنت عمران الثانوية للبنات</t>
  </si>
  <si>
    <t>Al Maghazi</t>
  </si>
  <si>
    <t>DEB0118</t>
  </si>
  <si>
    <t>منتزه بلدية المغازي</t>
  </si>
  <si>
    <t>قصر الميناء 1</t>
  </si>
  <si>
    <t>Ansar 3</t>
  </si>
  <si>
    <t>أنصار3</t>
  </si>
  <si>
    <t>GZA6033</t>
  </si>
  <si>
    <t>Nadi Al-Horia Site</t>
  </si>
  <si>
    <t>موقع نادي الحرية</t>
  </si>
  <si>
    <t>GZA4428</t>
  </si>
  <si>
    <t>Mina Gaza</t>
  </si>
  <si>
    <t xml:space="preserve">موقع ميناء غزة </t>
  </si>
  <si>
    <t>GZA6010</t>
  </si>
  <si>
    <t>Tebaa site</t>
  </si>
  <si>
    <t>موقع طيبة</t>
  </si>
  <si>
    <t>KYS0806</t>
  </si>
  <si>
    <t>Nour Shams camp</t>
  </si>
  <si>
    <t>مخيم نور شمس</t>
  </si>
  <si>
    <t>الصباح</t>
  </si>
  <si>
    <t>GZA0380</t>
  </si>
  <si>
    <t>Amro ben al as</t>
  </si>
  <si>
    <t>NGZ4007</t>
  </si>
  <si>
    <t>Sheltering Yemen Happy Hospital</t>
  </si>
  <si>
    <t>إيواء مستشفي اليمن السعيد</t>
  </si>
  <si>
    <t>GZA4408</t>
  </si>
  <si>
    <t>Halawa site</t>
  </si>
  <si>
    <t>إيواء حلاوة</t>
  </si>
  <si>
    <t>GZA4451</t>
  </si>
  <si>
    <t>موقع الشيخ عجلين</t>
  </si>
  <si>
    <t>GZA3027</t>
  </si>
  <si>
    <t>Almohoben school</t>
  </si>
  <si>
    <t>مدرسة الموهوبين</t>
  </si>
  <si>
    <t>GZA4353</t>
  </si>
  <si>
    <t>Al-Majida School Wasila Bani Ammar</t>
  </si>
  <si>
    <t>مدرسة الماجدة وسيلة بني عمار</t>
  </si>
  <si>
    <t>KYS1456</t>
  </si>
  <si>
    <t>Mashroo Park</t>
  </si>
  <si>
    <t>منتزه المشروع</t>
  </si>
  <si>
    <t>An Nuzhah</t>
  </si>
  <si>
    <t>DEB4084</t>
  </si>
  <si>
    <t>Al Tarazi</t>
  </si>
  <si>
    <t>إيواء الترزي</t>
  </si>
  <si>
    <t>DEB3440</t>
  </si>
  <si>
    <t>DEB3440 - Watan Bshara</t>
  </si>
  <si>
    <t>وطن بشارة</t>
  </si>
  <si>
    <t>GZA4387</t>
  </si>
  <si>
    <t>Mercedes Site</t>
  </si>
  <si>
    <t>إيواء مرسيدس</t>
  </si>
  <si>
    <t>KYS1849</t>
  </si>
  <si>
    <t>Alnaser camps</t>
  </si>
  <si>
    <t>مخيمات النصر</t>
  </si>
  <si>
    <t>KYS3890</t>
  </si>
  <si>
    <t>Al-hayat wal-horria</t>
  </si>
  <si>
    <t>DEB2499</t>
  </si>
  <si>
    <t>Al-Misbah Site</t>
  </si>
  <si>
    <t>موقع المصباح</t>
  </si>
  <si>
    <t>GZA4392</t>
  </si>
  <si>
    <t>Qurtoba</t>
  </si>
  <si>
    <t>مخيم قرطبة</t>
  </si>
  <si>
    <t>GZA4150</t>
  </si>
  <si>
    <t>Sheikh Abdullah Al-Dahyan School - Sheikh Radwan</t>
  </si>
  <si>
    <t>ايواء مدرسة الشيخ عبد الله الدحيان - الشيخ رضوان</t>
  </si>
  <si>
    <t>Tal Az-Za'atar</t>
  </si>
  <si>
    <t>GZA4154</t>
  </si>
  <si>
    <t>Al Wahidi Land Camp</t>
  </si>
  <si>
    <t>مخيم ارض الوحيدي</t>
  </si>
  <si>
    <t>GZA3020</t>
  </si>
  <si>
    <t>Mustafa Hafez School</t>
  </si>
  <si>
    <t>مدرسة مصطفى حافظ</t>
  </si>
  <si>
    <t>GZA4158</t>
  </si>
  <si>
    <t>Asma Bint Abi Bakr School</t>
  </si>
  <si>
    <t>مدرسة اسماء بنت ابي بكر</t>
  </si>
  <si>
    <t>GZA4135</t>
  </si>
  <si>
    <t>Itali</t>
  </si>
  <si>
    <t>KYS1472</t>
  </si>
  <si>
    <t>Almohajereen</t>
  </si>
  <si>
    <t>المهاجرين</t>
  </si>
  <si>
    <t>KYS3286</t>
  </si>
  <si>
    <t>Altoyor almohajera</t>
  </si>
  <si>
    <t>الطيور المهاجرة</t>
  </si>
  <si>
    <t>KYS4342</t>
  </si>
  <si>
    <t>Al Awda Camp 2</t>
  </si>
  <si>
    <t>موقع العودة</t>
  </si>
  <si>
    <t>DEB2199</t>
  </si>
  <si>
    <t>ايواء حسونة</t>
  </si>
  <si>
    <t>DEB3231</t>
  </si>
  <si>
    <t>Al-Somoud Camp (Ard Abu Musabah)</t>
  </si>
  <si>
    <t>DEB2201</t>
  </si>
  <si>
    <t>Tabaria</t>
  </si>
  <si>
    <t>KYS3303</t>
  </si>
  <si>
    <t>KYS3303 - elfaloga Camp</t>
  </si>
  <si>
    <t>الفالوجة</t>
  </si>
  <si>
    <t>KYS1473</t>
  </si>
  <si>
    <t>DEB3441</t>
  </si>
  <si>
    <t>Emaret-Al bladia Site</t>
  </si>
  <si>
    <t>عمارة البلدية</t>
  </si>
  <si>
    <t>KYS1691</t>
  </si>
  <si>
    <t>teeba altarbawi</t>
  </si>
  <si>
    <t>مخيم طيبة التربوي</t>
  </si>
  <si>
    <t>KYS1405</t>
  </si>
  <si>
    <t>Al-Zohour</t>
  </si>
  <si>
    <t>الزهور</t>
  </si>
  <si>
    <t>KYS3891</t>
  </si>
  <si>
    <t>Al-hayah</t>
  </si>
  <si>
    <t>KYS3803</t>
  </si>
  <si>
    <t>Shafie</t>
  </si>
  <si>
    <t>مخيم الشافعي</t>
  </si>
  <si>
    <t>NGZ3016</t>
  </si>
  <si>
    <t>Faloja School</t>
  </si>
  <si>
    <t>DEB4092</t>
  </si>
  <si>
    <t>Sheltering Abu Hosni</t>
  </si>
  <si>
    <t>إيواء أبو حسني</t>
  </si>
  <si>
    <t>KYS0799</t>
  </si>
  <si>
    <t>Al-Taqwa Camp 1</t>
  </si>
  <si>
    <t>مخيم التقوى 1</t>
  </si>
  <si>
    <t>KYS1721</t>
  </si>
  <si>
    <t>Al-Najjar area</t>
  </si>
  <si>
    <t>منطقة النجار</t>
  </si>
  <si>
    <t>GZA4455</t>
  </si>
  <si>
    <t>Al Kadheen site</t>
  </si>
  <si>
    <t>موقع الكادحين</t>
  </si>
  <si>
    <t>KYS3763</t>
  </si>
  <si>
    <t>NGZ3819</t>
  </si>
  <si>
    <t>Halima al sadeea school</t>
  </si>
  <si>
    <t>مدرسة حليمة السعدين</t>
  </si>
  <si>
    <t>KYS1836</t>
  </si>
  <si>
    <t>lamal</t>
  </si>
  <si>
    <t>الامل في اصداء</t>
  </si>
  <si>
    <t>KYS1874</t>
  </si>
  <si>
    <t>Safe aldeen camp</t>
  </si>
  <si>
    <t>سيف الدين</t>
  </si>
  <si>
    <t>NGZ4433</t>
  </si>
  <si>
    <t>Al Sahel</t>
  </si>
  <si>
    <t>موقع الساحل</t>
  </si>
  <si>
    <t>Mashroo Amer wal Isra'a</t>
  </si>
  <si>
    <t>KYS3874</t>
  </si>
  <si>
    <t>Alensanyia 1 camp</t>
  </si>
  <si>
    <t>الانسانية 1</t>
  </si>
  <si>
    <t>KYS0691</t>
  </si>
  <si>
    <t>مخيم الجنوب خلف مسجد مطر</t>
  </si>
  <si>
    <t>DEB3642</t>
  </si>
  <si>
    <t>Naba'a aleman</t>
  </si>
  <si>
    <t>نبع الايمان</t>
  </si>
  <si>
    <t>GZA4425</t>
  </si>
  <si>
    <t>Al jondi Al mjhool Site</t>
  </si>
  <si>
    <t>موقع الجندي المجهول</t>
  </si>
  <si>
    <t>GZA4444</t>
  </si>
  <si>
    <t>Beirut  Site</t>
  </si>
  <si>
    <t xml:space="preserve">موقع ايواء بيروت </t>
  </si>
  <si>
    <t>GZA4437</t>
  </si>
  <si>
    <t>Al-Zaharna site</t>
  </si>
  <si>
    <t>موقع الزهارنة</t>
  </si>
  <si>
    <t>DEB2080</t>
  </si>
  <si>
    <t>KYS1506</t>
  </si>
  <si>
    <t>Sonaa Al Amal</t>
  </si>
  <si>
    <t>صناع الأمل</t>
  </si>
  <si>
    <t>DEB0143</t>
  </si>
  <si>
    <t>Sweed camp</t>
  </si>
  <si>
    <t>موقع إيواء السويد</t>
  </si>
  <si>
    <t>KYS1937</t>
  </si>
  <si>
    <t>Al-Shafa'i</t>
  </si>
  <si>
    <t>الشافعي</t>
  </si>
  <si>
    <t>DEB2774</t>
  </si>
  <si>
    <t>Al Aqsa martyrs hospital shelter</t>
  </si>
  <si>
    <t>DEB2775</t>
  </si>
  <si>
    <t>AL-Manasra</t>
  </si>
  <si>
    <t>GZA3673</t>
  </si>
  <si>
    <t>AL sharega</t>
  </si>
  <si>
    <t>DEB4087</t>
  </si>
  <si>
    <t>Al Karama Shelter</t>
  </si>
  <si>
    <t>مركز إيواء الكرامة</t>
  </si>
  <si>
    <t>GZA3022</t>
  </si>
  <si>
    <t>Holy Family church in Gaza</t>
  </si>
  <si>
    <t>كنيسة دار اللتين</t>
  </si>
  <si>
    <t>GZA4031</t>
  </si>
  <si>
    <t>GZA4031 - Adnan Al-Ilmi Shelter Center</t>
  </si>
  <si>
    <t>مركز عدنان العلمي للإيواء</t>
  </si>
  <si>
    <t>GZA4414</t>
  </si>
  <si>
    <t>Al Abrar</t>
  </si>
  <si>
    <t>موقع الابرار</t>
  </si>
  <si>
    <t>DEB3448</t>
  </si>
  <si>
    <t>Fatima alzhra'a</t>
  </si>
  <si>
    <t>فاطمة الزهراء</t>
  </si>
  <si>
    <t>DEB0292</t>
  </si>
  <si>
    <t>Rafaida Islamic School</t>
  </si>
  <si>
    <t xml:space="preserve">موقع مدرسة رفيدة الأسلمية </t>
  </si>
  <si>
    <t>DEB2217</t>
  </si>
  <si>
    <t>Al Baraka Camp 17</t>
  </si>
  <si>
    <t>مخيم البركة 17</t>
  </si>
  <si>
    <t>DEB4099</t>
  </si>
  <si>
    <t>Ard Elostaz</t>
  </si>
  <si>
    <t>أرض الأستاذ</t>
  </si>
  <si>
    <t>KYS1852</t>
  </si>
  <si>
    <t>Al Amal al awda camp</t>
  </si>
  <si>
    <t>مخيم الامل بالعودة</t>
  </si>
  <si>
    <t>GZA3492</t>
  </si>
  <si>
    <t>Aywa Shuhada Al-shaati</t>
  </si>
  <si>
    <t>ايواء شهداء الشاطئ</t>
  </si>
  <si>
    <t>DEB3392</t>
  </si>
  <si>
    <t>Al Khaer</t>
  </si>
  <si>
    <t>DEB4082</t>
  </si>
  <si>
    <t>Ghaith camp</t>
  </si>
  <si>
    <t>مخيم الغيث</t>
  </si>
  <si>
    <t>KYS1688</t>
  </si>
  <si>
    <t>Al Yabani camp (Al Majd)</t>
  </si>
  <si>
    <t>مخيم الياباني(مخيم المجد)</t>
  </si>
  <si>
    <t>KYS3166</t>
  </si>
  <si>
    <t>Al Ikhwah camp</t>
  </si>
  <si>
    <t>الاخوة</t>
  </si>
  <si>
    <t>KYS4391</t>
  </si>
  <si>
    <t>Ouyoun Site</t>
  </si>
  <si>
    <t>موقع عيون</t>
  </si>
  <si>
    <t>DEB4100</t>
  </si>
  <si>
    <t>DEB4100 - Al-Baraka Shelter</t>
  </si>
  <si>
    <t>إيواء البركة</t>
  </si>
  <si>
    <t>Al Bureij</t>
  </si>
  <si>
    <t>DEB3245</t>
  </si>
  <si>
    <t>Insan L'il-Mardi al-Munasara</t>
  </si>
  <si>
    <t>KYS1134</t>
  </si>
  <si>
    <t>masnaa almawasi</t>
  </si>
  <si>
    <t>مخيم مصنع المواصي</t>
  </si>
  <si>
    <t>Bani Suheila (north)</t>
  </si>
  <si>
    <t>KYS3721</t>
  </si>
  <si>
    <t>Hesham Abu oda camp</t>
  </si>
  <si>
    <t>مربع هشام أبوعودة</t>
  </si>
  <si>
    <t>KYS4248</t>
  </si>
  <si>
    <t>Al-Muhsinin - Al-Awda Site</t>
  </si>
  <si>
    <t>موقع المحسنين العودة</t>
  </si>
  <si>
    <t>KYS0963</t>
  </si>
  <si>
    <t>Hai Alsalam Site</t>
  </si>
  <si>
    <t>موقع حي السلام</t>
  </si>
  <si>
    <t>KYS4223</t>
  </si>
  <si>
    <t>KYS4348</t>
  </si>
  <si>
    <t>Al-Hamd 1</t>
  </si>
  <si>
    <t>1الحمد</t>
  </si>
  <si>
    <t>DEB3351</t>
  </si>
  <si>
    <t>Saned Al-Ighathi</t>
  </si>
  <si>
    <t>ساند الاغاثي</t>
  </si>
  <si>
    <t>DEB4011</t>
  </si>
  <si>
    <t>Al-Shate Al-Janoubi</t>
  </si>
  <si>
    <t>الشاطئ الجنوبي</t>
  </si>
  <si>
    <t>NGZ3007</t>
  </si>
  <si>
    <t>Shadia Abu Ghazala School</t>
  </si>
  <si>
    <t>Az Zohour</t>
  </si>
  <si>
    <t>GZA3342</t>
  </si>
  <si>
    <t>Dalal Al Mughrabi Schools</t>
  </si>
  <si>
    <t xml:space="preserve">تجمع مدارس دلال المغربي </t>
  </si>
  <si>
    <t>GZA3671</t>
  </si>
  <si>
    <t>DEB0055</t>
  </si>
  <si>
    <t>Nusierat Prep. Girls D &amp; F</t>
  </si>
  <si>
    <t>DEB0065</t>
  </si>
  <si>
    <t>Bureij Prep. Girls "A"</t>
  </si>
  <si>
    <t>مدرسة بنات البريج الإعدادية أ</t>
  </si>
  <si>
    <t>DEB0053</t>
  </si>
  <si>
    <t>Nuseirat Prep. Boys "A" &amp; Elem. Boys "A"</t>
  </si>
  <si>
    <t>DEB0040</t>
  </si>
  <si>
    <t>D/Balah Prep. Girls "A" &amp; "B"</t>
  </si>
  <si>
    <t>مدرسة بنات دير البلح الاعدادية أ+ب</t>
  </si>
  <si>
    <t>KYS4375</t>
  </si>
  <si>
    <t>Ayn Shams</t>
  </si>
  <si>
    <t>عين شمس</t>
  </si>
  <si>
    <t>KYS1738</t>
  </si>
  <si>
    <t>Shaer</t>
  </si>
  <si>
    <t>موقع الشاعر1</t>
  </si>
  <si>
    <t>KYS3082</t>
  </si>
  <si>
    <t>Kh/Younis Elem. Co-ed E</t>
  </si>
  <si>
    <t>خان يونس الابتدائية المشتركة هـ</t>
  </si>
  <si>
    <t>DEB0051</t>
  </si>
  <si>
    <t>New Nuseirat Elem. Coed &amp; Nuseirat Prep. Girls "A" - Official AOR</t>
  </si>
  <si>
    <t>DEB3339</t>
  </si>
  <si>
    <t>Al-Aedoon Site</t>
  </si>
  <si>
    <t>موقع العائدون</t>
  </si>
  <si>
    <t>KYS3072</t>
  </si>
  <si>
    <t>B/Suhaila Prep. Boys "A" &amp; "B"</t>
  </si>
  <si>
    <t>Bani Suheila (east)</t>
  </si>
  <si>
    <t>KYS3069</t>
  </si>
  <si>
    <t>Kh/Younis Prep. Girls "B"</t>
  </si>
  <si>
    <t>مدرسة خان يونس الإعدادية للبنات "ب"</t>
  </si>
  <si>
    <t>KYS3067</t>
  </si>
  <si>
    <t>Kh/Younis Prep. Boys "C"</t>
  </si>
  <si>
    <t>مدرسة خان يونس الإعدادية للبنين "ج"</t>
  </si>
  <si>
    <t>KYS3087</t>
  </si>
  <si>
    <t>Al-Amal Prep. Girls</t>
  </si>
  <si>
    <t>مدرسة الأمل الإعدادية للبنات</t>
  </si>
  <si>
    <t>KYS3086</t>
  </si>
  <si>
    <t>Kh/Younis Elem. Boys B</t>
  </si>
  <si>
    <t>ذكور خان يونس الابتدائية ب</t>
  </si>
  <si>
    <t>KYS3088</t>
  </si>
  <si>
    <t>Al-Amal Elem. Girls</t>
  </si>
  <si>
    <t>بنات الأمل الابتدائية</t>
  </si>
  <si>
    <t>KYS3064</t>
  </si>
  <si>
    <t>Kh/Younis Elem. Boys "A" &amp; "C"</t>
  </si>
  <si>
    <t>مدرسة خان يونس الابتدائية للبنين "أ" و"ج"</t>
  </si>
  <si>
    <t>DEB0042</t>
  </si>
  <si>
    <t>D/Balah Prep. Boys "C"</t>
  </si>
  <si>
    <t>مركز ايواء ذكور دير البلح الاعدادية -ج-</t>
  </si>
  <si>
    <t>DEB2218</t>
  </si>
  <si>
    <t>Ard Zaytoon</t>
  </si>
  <si>
    <t>ارض الزيتون</t>
  </si>
  <si>
    <t>KYS3083</t>
  </si>
  <si>
    <t>Kh/Younis Elem. Co-ed A</t>
  </si>
  <si>
    <t>خان يونس الابتدائية المشتركة أ</t>
  </si>
  <si>
    <t>KYS3085</t>
  </si>
  <si>
    <t>Kh/Younis Elem. Co-ed D</t>
  </si>
  <si>
    <t>مدرسة خان يونس الابتدائية المشتركة</t>
  </si>
  <si>
    <t>KYS3071</t>
  </si>
  <si>
    <t>Al Amal Elem. Boys</t>
  </si>
  <si>
    <t>مدرسة الأمل الابتدائية للبنين</t>
  </si>
  <si>
    <t>KYS3089</t>
  </si>
  <si>
    <t>Mustafa Hafez Elem Boys "A&amp;B"</t>
  </si>
  <si>
    <t>ذكور مصطفى حافظ الابتدائية أ و ب</t>
  </si>
  <si>
    <t>KYS3063</t>
  </si>
  <si>
    <t>Kh/Younis Elem. Co-ed "B"</t>
  </si>
  <si>
    <t>ابتدائية خانيونس المختلطة (ب)</t>
  </si>
  <si>
    <t>KYS3062</t>
  </si>
  <si>
    <t>Kh/Younis Prep. Girls "C"</t>
  </si>
  <si>
    <t>بنات خان يونس الإعدادية ج</t>
  </si>
  <si>
    <t>KYS4112</t>
  </si>
  <si>
    <t>Khan Yunis Elementary School for Boys "H"</t>
  </si>
  <si>
    <t>ابتدائية خان يونس للبنين "هـ"</t>
  </si>
  <si>
    <t>Al Qarara</t>
  </si>
  <si>
    <t>DEB0041</t>
  </si>
  <si>
    <t>D/Balah Elem. Boys A &amp; B</t>
  </si>
  <si>
    <t>مدرسه ذكور ديرالبلح الابتدائيه أ .ب المعسكر</t>
  </si>
  <si>
    <t>KYS3084</t>
  </si>
  <si>
    <t>New Kh/Younis Prep. Girls</t>
  </si>
  <si>
    <t>بنات خان يونس الإعدادية الجديدة</t>
  </si>
  <si>
    <t>DEB2263</t>
  </si>
  <si>
    <t>Akka</t>
  </si>
  <si>
    <t>عكا</t>
  </si>
  <si>
    <t>NGZ4346</t>
  </si>
  <si>
    <t>Al Firdaws neighborhood camp</t>
  </si>
  <si>
    <t>مخيم حي الفردوس</t>
  </si>
  <si>
    <t>GZA4137</t>
  </si>
  <si>
    <t>Al-tufah al-abtadaiyeh School for Girls</t>
  </si>
  <si>
    <t>مدرسة التفاح الابتدائية بنات</t>
  </si>
  <si>
    <t>DEB2464</t>
  </si>
  <si>
    <t xml:space="preserve">Salah Al Din </t>
  </si>
  <si>
    <t>صلاح الدين</t>
  </si>
  <si>
    <t>KYS0269</t>
  </si>
  <si>
    <t>Al Aqsa University Campus</t>
  </si>
  <si>
    <t>DEB3572</t>
  </si>
  <si>
    <t>Doyouf  Al-Nuseirat Site</t>
  </si>
  <si>
    <t xml:space="preserve">موقع ضيوف النصيرات </t>
  </si>
  <si>
    <t>KYS3552</t>
  </si>
  <si>
    <t>Alfajer</t>
  </si>
  <si>
    <t>DEB2539</t>
  </si>
  <si>
    <t>Al-Hayaa Site</t>
  </si>
  <si>
    <t>DEB3356</t>
  </si>
  <si>
    <t>Al-Zahar site</t>
  </si>
  <si>
    <t>موقع الزهار</t>
  </si>
  <si>
    <t>KYS3551</t>
  </si>
  <si>
    <t>Israa Camp</t>
  </si>
  <si>
    <t>مخيم الإسراء</t>
  </si>
  <si>
    <t>DEB2516</t>
  </si>
  <si>
    <t>Al-Hoor site</t>
  </si>
  <si>
    <t>موقع الهور</t>
  </si>
  <si>
    <t>GZA2119</t>
  </si>
  <si>
    <t>Al Huda Elementary School</t>
  </si>
  <si>
    <t>GZA4365</t>
  </si>
  <si>
    <t>Al Sabah</t>
  </si>
  <si>
    <t>DEB2131</t>
  </si>
  <si>
    <t>Ebn Roshd School</t>
  </si>
  <si>
    <t>مدرسة ابن رشد</t>
  </si>
  <si>
    <t>DEB2503</t>
  </si>
  <si>
    <t>Al-Noor Site</t>
  </si>
  <si>
    <t>DEB2742</t>
  </si>
  <si>
    <t>Al-Akhwa Site</t>
  </si>
  <si>
    <t>موقع الاخوة</t>
  </si>
  <si>
    <t>DEB3470</t>
  </si>
  <si>
    <t>Farajallah Site</t>
  </si>
  <si>
    <t>موقع فرج الله</t>
  </si>
  <si>
    <t>DEB2109</t>
  </si>
  <si>
    <t>Ard Abo Setta Site</t>
  </si>
  <si>
    <t>موقع ارض ابو ستة</t>
  </si>
  <si>
    <t>KYS3550</t>
  </si>
  <si>
    <t>مجهول</t>
  </si>
  <si>
    <t>KYS3680</t>
  </si>
  <si>
    <t>DEB2832</t>
  </si>
  <si>
    <t>DEB2084</t>
  </si>
  <si>
    <t>Al-Nasser Site</t>
  </si>
  <si>
    <t>موقع الناصر</t>
  </si>
  <si>
    <t>DEB2529</t>
  </si>
  <si>
    <t>DEB3373</t>
  </si>
  <si>
    <t>Assem 4 Site</t>
  </si>
  <si>
    <t xml:space="preserve">موقع عاصم </t>
  </si>
  <si>
    <t>DEB2479</t>
  </si>
  <si>
    <t>Al-Qasim Site</t>
  </si>
  <si>
    <t>موقع القاسم</t>
  </si>
  <si>
    <t>DEB3343</t>
  </si>
  <si>
    <t>Al-Amin Site</t>
  </si>
  <si>
    <t>موقع الامين</t>
  </si>
  <si>
    <t>موقع الصمود</t>
  </si>
  <si>
    <t>DEB3658</t>
  </si>
  <si>
    <t>Al-Baraa</t>
  </si>
  <si>
    <t>موقع البراء</t>
  </si>
  <si>
    <t>DEB2495</t>
  </si>
  <si>
    <t>Al-Sadaqa Site</t>
  </si>
  <si>
    <t>موقع الصداقة</t>
  </si>
  <si>
    <t>DEB3485</t>
  </si>
  <si>
    <t>Ard Farajallah Site</t>
  </si>
  <si>
    <t>موقع ارض فرج الله</t>
  </si>
  <si>
    <t>DEB3466</t>
  </si>
  <si>
    <t>Al-Okhwa Site</t>
  </si>
  <si>
    <t>DEB2526</t>
  </si>
  <si>
    <t>Al-Majed Site</t>
  </si>
  <si>
    <t>موقع الياسمين</t>
  </si>
  <si>
    <t>DEB2524</t>
  </si>
  <si>
    <t>Al-Sadaka 3</t>
  </si>
  <si>
    <t>موقع الصداقة 3</t>
  </si>
  <si>
    <t>DEB2485</t>
  </si>
  <si>
    <t>NGZ343</t>
  </si>
  <si>
    <t>Al Bahrain Camp 3</t>
  </si>
  <si>
    <t>مخيم البحرين 3</t>
  </si>
  <si>
    <t>Al Jam'ia</t>
  </si>
  <si>
    <t>Madinat Ash Sheikh Zayed</t>
  </si>
  <si>
    <t>NGZ0428</t>
  </si>
  <si>
    <t>Jabalia Prep. Girls C</t>
  </si>
  <si>
    <t>جباليا الإعدادية للبنات ج</t>
  </si>
  <si>
    <t>DEB2390</t>
  </si>
  <si>
    <t>Al Baraka South camp</t>
  </si>
  <si>
    <t>مخيم البركة الجنوبي</t>
  </si>
  <si>
    <t>GZA4240</t>
  </si>
  <si>
    <t>ALJALEEL SCHOOL</t>
  </si>
  <si>
    <t xml:space="preserve">ايواء مدرسة الجليل </t>
  </si>
  <si>
    <t>مخيم الانسان</t>
  </si>
  <si>
    <t>NGZ3262</t>
  </si>
  <si>
    <t>Al-Saftawi health center</t>
  </si>
  <si>
    <t>عيادة الصفطاوي الصحية</t>
  </si>
  <si>
    <t>KYS0833</t>
  </si>
  <si>
    <t>Al-Shaaeir</t>
  </si>
  <si>
    <t>موقع الشاعر</t>
  </si>
  <si>
    <t>DEB2451</t>
  </si>
  <si>
    <t>Ard Fradais Camp</t>
  </si>
  <si>
    <t>مخيم أرض الفراديس</t>
  </si>
  <si>
    <t>DEB3302</t>
  </si>
  <si>
    <t>South of Technical College</t>
  </si>
  <si>
    <t>جنوب الكلية التقنية</t>
  </si>
  <si>
    <t>NGZ4045</t>
  </si>
  <si>
    <t>Jabalia Prep. Girls "B"</t>
  </si>
  <si>
    <t>جباليا الإعدادية للبنات "ب"</t>
  </si>
  <si>
    <t>DEB3240</t>
  </si>
  <si>
    <t>Al-Haya</t>
  </si>
  <si>
    <t>NGZ4047</t>
  </si>
  <si>
    <t>Jabalia Elem. Coed "B"</t>
  </si>
  <si>
    <t>جباليا الابتدائية المشتركة "ب"</t>
  </si>
  <si>
    <t>NGZ0426</t>
  </si>
  <si>
    <t>Jabalya Prep A Girls School</t>
  </si>
  <si>
    <t>DEB0291</t>
  </si>
  <si>
    <t>Deir el balah Martyrs girl school</t>
  </si>
  <si>
    <t>شهداء مدرسة دير البلح للبنات</t>
  </si>
  <si>
    <t>DEB0509</t>
  </si>
  <si>
    <t>Al-Majdal</t>
  </si>
  <si>
    <t>مركز ايواء المجدل</t>
  </si>
  <si>
    <t>DEB2093</t>
  </si>
  <si>
    <t>Al-Kurban</t>
  </si>
  <si>
    <t>الكربان</t>
  </si>
  <si>
    <t>DEB2777</t>
  </si>
  <si>
    <t>Endowment shelter</t>
  </si>
  <si>
    <t>إيواء الاوقاف</t>
  </si>
  <si>
    <t>NGZ0432</t>
  </si>
  <si>
    <t>Fakhoura Prep. Boys "A" &amp; "B"</t>
  </si>
  <si>
    <t>مدرسة الفاخورة الإعدادية للبنين "أ" و"ب</t>
  </si>
  <si>
    <t>DEB2284</t>
  </si>
  <si>
    <t>Abu Asad Shelter</t>
  </si>
  <si>
    <t>NGZ0414</t>
  </si>
  <si>
    <t>Palestine Elem. Boys A &amp; B</t>
  </si>
  <si>
    <t>فلسطين الابتدائية للبنين أ و ب</t>
  </si>
  <si>
    <t>DEB2830</t>
  </si>
  <si>
    <t>DEB3618</t>
  </si>
  <si>
    <t>Al-Sadaqa Al-Swissri</t>
  </si>
  <si>
    <t xml:space="preserve">الصدقة السويسري </t>
  </si>
  <si>
    <t>DEB0352</t>
  </si>
  <si>
    <t>Abdullah Bin Rawaha</t>
  </si>
  <si>
    <t>دير البلح الثاناوية الصناعي</t>
  </si>
  <si>
    <t>DEB4083</t>
  </si>
  <si>
    <t>Fajr</t>
  </si>
  <si>
    <t>فجر</t>
  </si>
  <si>
    <t>DEB3152</t>
  </si>
  <si>
    <t>Abu Tawahineh Camp</t>
  </si>
  <si>
    <t>مخيم ابو طواحين</t>
  </si>
  <si>
    <t>DEB4015</t>
  </si>
  <si>
    <t>Akila Camp</t>
  </si>
  <si>
    <t>مخيم عكيله</t>
  </si>
  <si>
    <t>DEB4108</t>
  </si>
  <si>
    <t>Al-Nawal</t>
  </si>
  <si>
    <t>موقع النوال</t>
  </si>
  <si>
    <t>DEB3457</t>
  </si>
  <si>
    <t>Abu Aref G</t>
  </si>
  <si>
    <t>ابو عارف</t>
  </si>
  <si>
    <t>DEB4086</t>
  </si>
  <si>
    <t>Al Waha Center</t>
  </si>
  <si>
    <t>مركز إيواء الواحة</t>
  </si>
  <si>
    <t>NGZ4294</t>
  </si>
  <si>
    <t>Jabalia Elem Co-ed "A" &amp; Hafsa Elem. Coed</t>
  </si>
  <si>
    <t xml:space="preserve">مدرسة حفصة المشتركة والمدرسة  الابتدائية المشتركة"أ" </t>
  </si>
  <si>
    <t>DEB3537</t>
  </si>
  <si>
    <t>DEB0273</t>
  </si>
  <si>
    <t>Al Sitt Amera</t>
  </si>
  <si>
    <t>DEB3330</t>
  </si>
  <si>
    <t>Ahel Al-Sunah</t>
  </si>
  <si>
    <t>اهل السنة</t>
  </si>
  <si>
    <t>DEB2285</t>
  </si>
  <si>
    <t>Ard Okasha camp</t>
  </si>
  <si>
    <t xml:space="preserve">ارض اكاشا </t>
  </si>
  <si>
    <t>DEB2719</t>
  </si>
  <si>
    <t>Maqased Al-Kheir</t>
  </si>
  <si>
    <t>مقاصد الخير</t>
  </si>
  <si>
    <t>DEB3310</t>
  </si>
  <si>
    <t>Bahriya camp</t>
  </si>
  <si>
    <t>مخيم البحرية</t>
  </si>
  <si>
    <t>DEB3424</t>
  </si>
  <si>
    <t>Al-Amanah</t>
  </si>
  <si>
    <t>الأمانة</t>
  </si>
  <si>
    <t>DEB3313</t>
  </si>
  <si>
    <t>Abu Al-Husayn</t>
  </si>
  <si>
    <t>DEB0106</t>
  </si>
  <si>
    <t>Al-Sabaatash (Camp 17)</t>
  </si>
  <si>
    <t>موقع ال17</t>
  </si>
  <si>
    <t>DEB3251</t>
  </si>
  <si>
    <t>Al-LId Camp</t>
  </si>
  <si>
    <t>الليد</t>
  </si>
  <si>
    <t>DEB2609</t>
  </si>
  <si>
    <t>Mazreat al-Bashaireh Camp</t>
  </si>
  <si>
    <t>مخيم المزرعه</t>
  </si>
  <si>
    <t>KYS4156</t>
  </si>
  <si>
    <t>Ahl Al-Sarih camp</t>
  </si>
  <si>
    <t>مخيم اهل الصريح</t>
  </si>
  <si>
    <t>DEB4059</t>
  </si>
  <si>
    <t>Al- Wea’m</t>
  </si>
  <si>
    <t>الوئام</t>
  </si>
  <si>
    <t>DEB2827</t>
  </si>
  <si>
    <t>Al-Tahlia Camp South</t>
  </si>
  <si>
    <t>.</t>
  </si>
  <si>
    <t>DEB2608</t>
  </si>
  <si>
    <t>Hakar Al Jamea Shelter</t>
  </si>
  <si>
    <t>ايواء حكر الجامع</t>
  </si>
  <si>
    <t>DEB2288</t>
  </si>
  <si>
    <t>Al amal 3</t>
  </si>
  <si>
    <t>موقع الامل 3</t>
  </si>
  <si>
    <t>KYS3162</t>
  </si>
  <si>
    <t>Atyaf Camp</t>
  </si>
  <si>
    <t>مخيم أطياف</t>
  </si>
  <si>
    <t>DEB2147</t>
  </si>
  <si>
    <t>Al Bahri shelter</t>
  </si>
  <si>
    <t>إيواء النادي البحري</t>
  </si>
  <si>
    <t>DEB0483</t>
  </si>
  <si>
    <t>DEB2718</t>
  </si>
  <si>
    <t>NGZ0302</t>
  </si>
  <si>
    <t>Fatima Bint Asad School</t>
  </si>
  <si>
    <t>مدرسة فاطمة بنت أسد</t>
  </si>
  <si>
    <t>NGZ4036</t>
  </si>
  <si>
    <t>Omar Bin Al-Khattab School</t>
  </si>
  <si>
    <t>مدرسة عمر بن الخطاب</t>
  </si>
  <si>
    <t>KYS1855</t>
  </si>
  <si>
    <t>Return camp</t>
  </si>
  <si>
    <t>DEB2619</t>
  </si>
  <si>
    <t>Al-Athar Al-janoby</t>
  </si>
  <si>
    <t>موقع الآثار الجنوبي</t>
  </si>
  <si>
    <t>DEB3597</t>
  </si>
  <si>
    <t>DEB2215</t>
  </si>
  <si>
    <t>Abnaa Al-Mukhayam</t>
  </si>
  <si>
    <t>ابناء المخيم</t>
  </si>
  <si>
    <t>DEB0298</t>
  </si>
  <si>
    <t>Orouba School</t>
  </si>
  <si>
    <t>Salah Ad-Din</t>
  </si>
  <si>
    <t>DEB0492</t>
  </si>
  <si>
    <t>Abu Mezied</t>
  </si>
  <si>
    <t>مخيم ارض ابو مزيد</t>
  </si>
  <si>
    <t>DEB0493</t>
  </si>
  <si>
    <t>Ard Abu Dalal camp</t>
  </si>
  <si>
    <t>مخيم أرض ابو دلال</t>
  </si>
  <si>
    <t>DEB0495</t>
  </si>
  <si>
    <t>Ard Al-Ghusain</t>
  </si>
  <si>
    <t>موقع ارض ابو الغصين</t>
  </si>
  <si>
    <t>DEB0518</t>
  </si>
  <si>
    <t>Zawaida School (under construction)</t>
  </si>
  <si>
    <t>مدرسة الزوايدة قيد الانشاء مخيم المدهون</t>
  </si>
  <si>
    <t>DEB0520</t>
  </si>
  <si>
    <t>Amal 3</t>
  </si>
  <si>
    <t>الموقع مغلق</t>
  </si>
  <si>
    <t>DEB2030</t>
  </si>
  <si>
    <t>Sahel</t>
  </si>
  <si>
    <t>ساحل</t>
  </si>
  <si>
    <t>DEB2153</t>
  </si>
  <si>
    <t>AL Isra</t>
  </si>
  <si>
    <t>الأسراء</t>
  </si>
  <si>
    <t>DEB2155</t>
  </si>
  <si>
    <t>AL Awda -feald</t>
  </si>
  <si>
    <t>العودة فياض</t>
  </si>
  <si>
    <t>DEB2190</t>
  </si>
  <si>
    <t>Aghosh</t>
  </si>
  <si>
    <t>اغوش</t>
  </si>
  <si>
    <t>DEB2192</t>
  </si>
  <si>
    <t>Sanad</t>
  </si>
  <si>
    <t>ساند</t>
  </si>
  <si>
    <t>DEB2205</t>
  </si>
  <si>
    <t>Mustafa 2</t>
  </si>
  <si>
    <t>المصطفى٢</t>
  </si>
  <si>
    <t>DEB2208</t>
  </si>
  <si>
    <t>abo setta</t>
  </si>
  <si>
    <t>مخيم ابو سته</t>
  </si>
  <si>
    <t>DEB2209</t>
  </si>
  <si>
    <t>Tahlya Shamal</t>
  </si>
  <si>
    <t>التحليه الشمالي</t>
  </si>
  <si>
    <t>DEB2258</t>
  </si>
  <si>
    <t>Zaitoon Land</t>
  </si>
  <si>
    <t>DEB2261</t>
  </si>
  <si>
    <t>al karam 2</t>
  </si>
  <si>
    <t>الكرم 2</t>
  </si>
  <si>
    <t>DEB2303</t>
  </si>
  <si>
    <t>al trainy</t>
  </si>
  <si>
    <t>مخيم الطريني</t>
  </si>
  <si>
    <t>DEB2308</t>
  </si>
  <si>
    <t>Al-Khawaldeh Camp</t>
  </si>
  <si>
    <t>الخوالدة</t>
  </si>
  <si>
    <t>DEB2336</t>
  </si>
  <si>
    <t>bassa</t>
  </si>
  <si>
    <t>مخيم البصه</t>
  </si>
  <si>
    <t>DEB2355</t>
  </si>
  <si>
    <t>Aewaa alglees</t>
  </si>
  <si>
    <t>إيواء الجليس</t>
  </si>
  <si>
    <t>DEB2471</t>
  </si>
  <si>
    <t>Al Rahman</t>
  </si>
  <si>
    <t>الرحمن</t>
  </si>
  <si>
    <t>DEB2476</t>
  </si>
  <si>
    <t>Ard Abu Samah</t>
  </si>
  <si>
    <t>DEB2534</t>
  </si>
  <si>
    <t>The guidance</t>
  </si>
  <si>
    <t>DEB2548</t>
  </si>
  <si>
    <t>Ard Almughaniyi Shelter</t>
  </si>
  <si>
    <t>ايواء أرض المغني</t>
  </si>
  <si>
    <t>DEB2555</t>
  </si>
  <si>
    <t>Al-Eidat 1</t>
  </si>
  <si>
    <t>مخيم العيدات 1</t>
  </si>
  <si>
    <t>DEB2557</t>
  </si>
  <si>
    <t>Al-Eidat 2</t>
  </si>
  <si>
    <t>مخيم العيدات 2</t>
  </si>
  <si>
    <t>DEB2568</t>
  </si>
  <si>
    <t>DEB2570</t>
  </si>
  <si>
    <t>Tahliya</t>
  </si>
  <si>
    <t>DEB2594</t>
  </si>
  <si>
    <t>Al-Taawoun Shelter A</t>
  </si>
  <si>
    <t>DEB2704</t>
  </si>
  <si>
    <t>Fatima Al Zahra Shelter</t>
  </si>
  <si>
    <t>ايواء فاطمة الزهراء</t>
  </si>
  <si>
    <t>DEB2735</t>
  </si>
  <si>
    <t>Altalbani</t>
  </si>
  <si>
    <t>مخيم التلباني</t>
  </si>
  <si>
    <t>DEB2737</t>
  </si>
  <si>
    <t>Muhit Salat Al Thuraya Shelter</t>
  </si>
  <si>
    <t>إيواء محيط صالة الثريا</t>
  </si>
  <si>
    <t>DEB2751</t>
  </si>
  <si>
    <t>Balsam Camp</t>
  </si>
  <si>
    <t>DEB2760</t>
  </si>
  <si>
    <t>Ard Abu Zayed 24 Shelter</t>
  </si>
  <si>
    <t>إيواء ارض ابو زايد 24</t>
  </si>
  <si>
    <t>DEB2762</t>
  </si>
  <si>
    <t>Abu Samaha shelter</t>
  </si>
  <si>
    <t>مأوى أبو سماحة</t>
  </si>
  <si>
    <t>DEB2767</t>
  </si>
  <si>
    <t>Rashid al-Bahri Camp</t>
  </si>
  <si>
    <t>DEB3182</t>
  </si>
  <si>
    <t>Shelter Abuholi</t>
  </si>
  <si>
    <t>ايواء ابوهولي</t>
  </si>
  <si>
    <t>DEB3189</t>
  </si>
  <si>
    <t>Tariq Alhaya shelter</t>
  </si>
  <si>
    <t>ايواء طريق الحياة</t>
  </si>
  <si>
    <t>DEB3192</t>
  </si>
  <si>
    <t>Al Lamal</t>
  </si>
  <si>
    <t>DEB3196</t>
  </si>
  <si>
    <t>Salam shelter</t>
  </si>
  <si>
    <t>إيواء السلام</t>
  </si>
  <si>
    <t>Al Farouq</t>
  </si>
  <si>
    <t>DEB3271</t>
  </si>
  <si>
    <t>Al Quds Shelter</t>
  </si>
  <si>
    <t>DEB3361</t>
  </si>
  <si>
    <t>Amal</t>
  </si>
  <si>
    <t>DEB3388</t>
  </si>
  <si>
    <t>Al Bunyan 2</t>
  </si>
  <si>
    <t>البنيان 2</t>
  </si>
  <si>
    <t>DEB3423</t>
  </si>
  <si>
    <t>Safa Almahmadi Land</t>
  </si>
  <si>
    <t>ارض الصفاء المحمدي</t>
  </si>
  <si>
    <t>DEB3454</t>
  </si>
  <si>
    <t>DEB3468</t>
  </si>
  <si>
    <t>عبد الرحمن بن عوف</t>
  </si>
  <si>
    <t>DEB3562</t>
  </si>
  <si>
    <t>Akal 3</t>
  </si>
  <si>
    <t>عكا 3</t>
  </si>
  <si>
    <t>DEB3619</t>
  </si>
  <si>
    <t>Al-Nuwairi</t>
  </si>
  <si>
    <t>DEB3643</t>
  </si>
  <si>
    <t>عشوائي</t>
  </si>
  <si>
    <t>أمان</t>
  </si>
  <si>
    <t>DEB4010</t>
  </si>
  <si>
    <t>Al-Joud Site</t>
  </si>
  <si>
    <t>DEB4013</t>
  </si>
  <si>
    <t>Al-Sawarahha Site</t>
  </si>
  <si>
    <t>DEB4429</t>
  </si>
  <si>
    <t>Al Qasem Site</t>
  </si>
  <si>
    <t>القاسم</t>
  </si>
  <si>
    <t>DEB4453</t>
  </si>
  <si>
    <t>Atta w Mahabab</t>
  </si>
  <si>
    <t>العطاء والمحبة</t>
  </si>
  <si>
    <t>DEB4500</t>
  </si>
  <si>
    <t>Aaedoun Site</t>
  </si>
  <si>
    <t>مخيم عائدون</t>
  </si>
  <si>
    <t>Al Ekhawa Site</t>
  </si>
  <si>
    <t>DEB4511</t>
  </si>
  <si>
    <t>Alhawooz Site</t>
  </si>
  <si>
    <t>مخيم الحاووز</t>
  </si>
  <si>
    <t>DEB4536</t>
  </si>
  <si>
    <t>Altal Algharby Site</t>
  </si>
  <si>
    <t>مخيم التل الغربي</t>
  </si>
  <si>
    <t>DEB4537</t>
  </si>
  <si>
    <t>Al-Tal Jadid Site</t>
  </si>
  <si>
    <t>مخيم التل الجديد</t>
  </si>
  <si>
    <t>DEB4540</t>
  </si>
  <si>
    <t>Em Al Naser Site</t>
  </si>
  <si>
    <t>مخيم ام النصر</t>
  </si>
  <si>
    <t>DEB4542</t>
  </si>
  <si>
    <t>Enmaa Al khair Site</t>
  </si>
  <si>
    <t>مخيم انماء الخير</t>
  </si>
  <si>
    <t>DEB4545</t>
  </si>
  <si>
    <t>Nebras Al Amal Site</t>
  </si>
  <si>
    <t>مخيم نبراس الامل</t>
  </si>
  <si>
    <t>DEB4546</t>
  </si>
  <si>
    <t>Shat Al-Tal Site</t>
  </si>
  <si>
    <t>مخيم شاطئ التل</t>
  </si>
  <si>
    <t>DEB4548</t>
  </si>
  <si>
    <t>South Tahlia Site</t>
  </si>
  <si>
    <t>مخيم التحلية الجنوبي</t>
  </si>
  <si>
    <t>DEB4552</t>
  </si>
  <si>
    <t>Al-Azza camp</t>
  </si>
  <si>
    <t>مخيم العزة</t>
  </si>
  <si>
    <t>DEB4562</t>
  </si>
  <si>
    <t>Asia Camp</t>
  </si>
  <si>
    <t>مخيم آسيا</t>
  </si>
  <si>
    <t>DEB4601</t>
  </si>
  <si>
    <t>Abu Omar site</t>
  </si>
  <si>
    <t>موقع ابو عمر</t>
  </si>
  <si>
    <t>DEB4607</t>
  </si>
  <si>
    <t>Al_Eata'  Site</t>
  </si>
  <si>
    <t>DEB4609</t>
  </si>
  <si>
    <t>Al-Jasmine Site</t>
  </si>
  <si>
    <t>DEB4612</t>
  </si>
  <si>
    <t>DEB4615</t>
  </si>
  <si>
    <t>سunaae Al-hayaa Site</t>
  </si>
  <si>
    <t xml:space="preserve"> موقع صناع الحياة</t>
  </si>
  <si>
    <t>DEB4617</t>
  </si>
  <si>
    <t>AlـِِAthar Site</t>
  </si>
  <si>
    <t>موقع الاثار</t>
  </si>
  <si>
    <t>DEB4619</t>
  </si>
  <si>
    <t>Al-Karem Site</t>
  </si>
  <si>
    <t>موقع الكريم</t>
  </si>
  <si>
    <t>DEB4622</t>
  </si>
  <si>
    <t>Al-safa1 Al-Nuseirat Site</t>
  </si>
  <si>
    <t>موقع الصفا 1 النصيرات</t>
  </si>
  <si>
    <t>DEB4626</t>
  </si>
  <si>
    <t>Wady Alsalka Site</t>
  </si>
  <si>
    <t>موقع قرية وادى السلقا</t>
  </si>
  <si>
    <t>Sawarkeh</t>
  </si>
  <si>
    <t>DEB4629</t>
  </si>
  <si>
    <t>Al-Qulub Al-Rahima Site</t>
  </si>
  <si>
    <t>موقع القلوب الرحيمة</t>
  </si>
  <si>
    <t>DEB4632</t>
  </si>
  <si>
    <t>Al-Sawrani Site</t>
  </si>
  <si>
    <t>موقع الصوراني</t>
  </si>
  <si>
    <t>DEB4634</t>
  </si>
  <si>
    <t>DEB4635</t>
  </si>
  <si>
    <t>Ma'an Site</t>
  </si>
  <si>
    <t>موقع معا</t>
  </si>
  <si>
    <t>DEB4636</t>
  </si>
  <si>
    <t>Al-Nakhil Palestine Site</t>
  </si>
  <si>
    <t>موقع فلسطين النخيل</t>
  </si>
  <si>
    <t>DEB4639</t>
  </si>
  <si>
    <t>Al-Thuraya site</t>
  </si>
  <si>
    <t>موقع الثريا</t>
  </si>
  <si>
    <t>DEB4646</t>
  </si>
  <si>
    <t>Mitru Al_jawazat Site</t>
  </si>
  <si>
    <t>موقع مترو الجوزات</t>
  </si>
  <si>
    <t>DEB4653</t>
  </si>
  <si>
    <t>North Gaza for the displaced Site</t>
  </si>
  <si>
    <t>موقع شمال غزة للنازحين</t>
  </si>
  <si>
    <t>DEB4654</t>
  </si>
  <si>
    <t>Badir Site</t>
  </si>
  <si>
    <t>موقع بادر</t>
  </si>
  <si>
    <t>DEB4655</t>
  </si>
  <si>
    <t>Al-Sahwa Site</t>
  </si>
  <si>
    <t>DEB4679</t>
  </si>
  <si>
    <t>Al-awda Site</t>
  </si>
  <si>
    <t>DEB4682</t>
  </si>
  <si>
    <t>Al-Adnan Site</t>
  </si>
  <si>
    <t>موقع العدنان</t>
  </si>
  <si>
    <t>DEB4683</t>
  </si>
  <si>
    <t>Al-Diyra Site</t>
  </si>
  <si>
    <t xml:space="preserve">موقع الديرة </t>
  </si>
  <si>
    <t>DEB4684</t>
  </si>
  <si>
    <t>موقع الميدان</t>
  </si>
  <si>
    <t>DEB4685</t>
  </si>
  <si>
    <t>Bila Domoa</t>
  </si>
  <si>
    <t>موقع بلا دموع</t>
  </si>
  <si>
    <t>DEB4690</t>
  </si>
  <si>
    <t>DEB4705</t>
  </si>
  <si>
    <t>Altkafal</t>
  </si>
  <si>
    <t>مخيم التكافل</t>
  </si>
  <si>
    <t>DEB4727</t>
  </si>
  <si>
    <t>Amal Nazih Site</t>
  </si>
  <si>
    <t>ايواء أمل نازح</t>
  </si>
  <si>
    <t>DEB4734</t>
  </si>
  <si>
    <t>Noa' Alkheir</t>
  </si>
  <si>
    <t>سلسلة مخيمات نواة الخير (1,2,3,4,5,6)</t>
  </si>
  <si>
    <t>DEB4740</t>
  </si>
  <si>
    <t>Al-Noor</t>
  </si>
  <si>
    <t>DEB4759</t>
  </si>
  <si>
    <t>Mariam Site</t>
  </si>
  <si>
    <t>مخيم مريم</t>
  </si>
  <si>
    <t>DEB4765</t>
  </si>
  <si>
    <t>Shams Al-Deen</t>
  </si>
  <si>
    <t>موقع شمس الدين</t>
  </si>
  <si>
    <t>DEB4768</t>
  </si>
  <si>
    <t>Al-Haddad</t>
  </si>
  <si>
    <t>الحداد</t>
  </si>
  <si>
    <t>DEB4769</t>
  </si>
  <si>
    <t>Alsolwan</t>
  </si>
  <si>
    <t>DEB4770</t>
  </si>
  <si>
    <t>Al Somod</t>
  </si>
  <si>
    <t>DEB4771</t>
  </si>
  <si>
    <t>Al-Umara</t>
  </si>
  <si>
    <t>الأمراء</t>
  </si>
  <si>
    <t>DEB4772</t>
  </si>
  <si>
    <t>Tunis Al-Khadra</t>
  </si>
  <si>
    <t>تونس الخضراء</t>
  </si>
  <si>
    <t>DEB4773</t>
  </si>
  <si>
    <t>Zahret Al-Hanoon</t>
  </si>
  <si>
    <t xml:space="preserve">زهرة الحنون </t>
  </si>
  <si>
    <t>DEB4778</t>
  </si>
  <si>
    <t>Alsitu 'Amira ( alnasr)</t>
  </si>
  <si>
    <t>الست أميرة ( النصر)</t>
  </si>
  <si>
    <t>DEB4779</t>
  </si>
  <si>
    <t>Nazihi Alshamal</t>
  </si>
  <si>
    <t>موقع نازحي الشمال</t>
  </si>
  <si>
    <t>GZA3021</t>
  </si>
  <si>
    <t>Gaza Town Health Center - Scattered site</t>
  </si>
  <si>
    <t>مركز صحة مدينة غزة</t>
  </si>
  <si>
    <t>GZA3028</t>
  </si>
  <si>
    <t>GZA4126</t>
  </si>
  <si>
    <t>Shuja'iyya  Park</t>
  </si>
  <si>
    <t xml:space="preserve">منتزه الشجاعية </t>
  </si>
  <si>
    <t>GZA4197</t>
  </si>
  <si>
    <t>Al Qada’ Al Askari land</t>
  </si>
  <si>
    <t>ارض القضاء العسكري _اخر الشمالي</t>
  </si>
  <si>
    <t>GZA4200</t>
  </si>
  <si>
    <t>Islamia University Stadium</t>
  </si>
  <si>
    <t>ملعب الجامعة السالمية</t>
  </si>
  <si>
    <t>GZA4203</t>
  </si>
  <si>
    <t>Al Manasra Land</t>
  </si>
  <si>
    <t>ارض المناصرة</t>
  </si>
  <si>
    <t>GZA4301</t>
  </si>
  <si>
    <t>Mosaab Camp</t>
  </si>
  <si>
    <t>مخيم مصعب تل الهوا</t>
  </si>
  <si>
    <t>GZA4423</t>
  </si>
  <si>
    <t>Al-Amadi House</t>
  </si>
  <si>
    <t>منزل العمادي</t>
  </si>
  <si>
    <t>GZA4438</t>
  </si>
  <si>
    <t>Anssar</t>
  </si>
  <si>
    <t>أنصار</t>
  </si>
  <si>
    <t>GZA4449</t>
  </si>
  <si>
    <t>Qatari Committee Headquarters</t>
  </si>
  <si>
    <t>مقر اللجنة القطرية</t>
  </si>
  <si>
    <t>GZA4465</t>
  </si>
  <si>
    <t>Al-Sumud Site</t>
  </si>
  <si>
    <t>GZA4471</t>
  </si>
  <si>
    <t>Shataa Al-Mina site</t>
  </si>
  <si>
    <t xml:space="preserve">موقع شاطئ المينا </t>
  </si>
  <si>
    <t>Ansar 12</t>
  </si>
  <si>
    <t>GZA4574</t>
  </si>
  <si>
    <t>Al-Nada Site</t>
  </si>
  <si>
    <t>موقع الندى</t>
  </si>
  <si>
    <t>GZA4580</t>
  </si>
  <si>
    <t>Al-Thawra Site</t>
  </si>
  <si>
    <t>موقع الثورة</t>
  </si>
  <si>
    <t>GZA4586</t>
  </si>
  <si>
    <t>Duwwar Al-Mina</t>
  </si>
  <si>
    <t xml:space="preserve">موقع دوار المينا </t>
  </si>
  <si>
    <t>GZA4591</t>
  </si>
  <si>
    <t>Jabalya 4 Site</t>
  </si>
  <si>
    <t>موقع جباليا 4</t>
  </si>
  <si>
    <t>GZA4686</t>
  </si>
  <si>
    <t>Al Diwan Al-Moshtarak Camp</t>
  </si>
  <si>
    <t>مخيم الديوان المشترك</t>
  </si>
  <si>
    <t>GZA4689</t>
  </si>
  <si>
    <t>Al Amal Al Taawni 2</t>
  </si>
  <si>
    <t>مخيم الامل التعاوني 2</t>
  </si>
  <si>
    <t>Ana Insan</t>
  </si>
  <si>
    <t>GZA4726</t>
  </si>
  <si>
    <t>Sood altofola camp</t>
  </si>
  <si>
    <t>موقع اسعاد الطفولة</t>
  </si>
  <si>
    <t>GZA4739</t>
  </si>
  <si>
    <t>Abo Hasera</t>
  </si>
  <si>
    <t>موقع ابو حصيرة</t>
  </si>
  <si>
    <t>GZA4744</t>
  </si>
  <si>
    <t>Alrafedain</t>
  </si>
  <si>
    <t>مخيم الرافدين</t>
  </si>
  <si>
    <t>GZA4767</t>
  </si>
  <si>
    <t>Zayed Al Khair</t>
  </si>
  <si>
    <t>زايد الخير</t>
  </si>
  <si>
    <t>GZA6009</t>
  </si>
  <si>
    <t>Atfalouna</t>
  </si>
  <si>
    <t>موقع اطفالنا</t>
  </si>
  <si>
    <t>GZA6015</t>
  </si>
  <si>
    <t>Al-Taawon  Site</t>
  </si>
  <si>
    <t>GZA6020</t>
  </si>
  <si>
    <t>Aljundii Almajhul 2 Site</t>
  </si>
  <si>
    <t>موقع الجندي المجهول 2</t>
  </si>
  <si>
    <t>GZA6028</t>
  </si>
  <si>
    <t>Nour Al-Haq Site</t>
  </si>
  <si>
    <t>موقع نور الحق</t>
  </si>
  <si>
    <t>GZA6029</t>
  </si>
  <si>
    <t>GZA6042</t>
  </si>
  <si>
    <t>Al-Awfia Site</t>
  </si>
  <si>
    <t>موقع الاوفياء</t>
  </si>
  <si>
    <t>GZA6047</t>
  </si>
  <si>
    <t>Nadi Al-Deira Site</t>
  </si>
  <si>
    <t>موقع نادي الديرة</t>
  </si>
  <si>
    <t>KYS0318</t>
  </si>
  <si>
    <t>Haifa School</t>
  </si>
  <si>
    <t>KYS0320</t>
  </si>
  <si>
    <t>Abdul Qader School</t>
  </si>
  <si>
    <t>KYS0321</t>
  </si>
  <si>
    <t>Akka School</t>
  </si>
  <si>
    <t>KYS0322</t>
  </si>
  <si>
    <t>Jerusalem School</t>
  </si>
  <si>
    <t>Ash Sheih Naser</t>
  </si>
  <si>
    <t>KYS0335</t>
  </si>
  <si>
    <t>Tariq bin Ziyad School</t>
  </si>
  <si>
    <t>KYS0336</t>
  </si>
  <si>
    <t>Al-Israa School</t>
  </si>
  <si>
    <t>KYS0337</t>
  </si>
  <si>
    <t>Mahmoud Al-Mabhouh School</t>
  </si>
  <si>
    <t>Qa' al Qurein (south)</t>
  </si>
  <si>
    <t>KYS0983</t>
  </si>
  <si>
    <t>KYS0985</t>
  </si>
  <si>
    <t>KYS0986</t>
  </si>
  <si>
    <t>KYS1335</t>
  </si>
  <si>
    <t>Al Aqsa site 2 shelter</t>
  </si>
  <si>
    <t>ايواء حي الاقصى 2</t>
  </si>
  <si>
    <t>KYS1402</t>
  </si>
  <si>
    <t>Al Aqsa site</t>
  </si>
  <si>
    <t>ايواء حي الاقصى</t>
  </si>
  <si>
    <t>KYS1440</t>
  </si>
  <si>
    <t>Thimar Al-Kheir</t>
  </si>
  <si>
    <t>موقع ثمار الخير</t>
  </si>
  <si>
    <t>KYS1477</t>
  </si>
  <si>
    <t>Al Khalas (Tal Sultan)</t>
  </si>
  <si>
    <t>KYS1482</t>
  </si>
  <si>
    <t>خلف الشؤون</t>
  </si>
  <si>
    <t>KYS1493</t>
  </si>
  <si>
    <t>Amal Camp</t>
  </si>
  <si>
    <t>Al Kateebeh</t>
  </si>
  <si>
    <t>KYS1514</t>
  </si>
  <si>
    <t>Ard Al Majaida Camp</t>
  </si>
  <si>
    <t>KYS1774</t>
  </si>
  <si>
    <t>Al-Tall Camp</t>
  </si>
  <si>
    <t>موقع التل</t>
  </si>
  <si>
    <t>KYS1788</t>
  </si>
  <si>
    <t>Al Karama camp 1</t>
  </si>
  <si>
    <t>KYS1850</t>
  </si>
  <si>
    <t>Nasser</t>
  </si>
  <si>
    <t>KYS1851</t>
  </si>
  <si>
    <t>Alaibtisama camp</t>
  </si>
  <si>
    <t>مخيم الابتسامة</t>
  </si>
  <si>
    <t>KYS1873</t>
  </si>
  <si>
    <t>Lahiya Camp</t>
  </si>
  <si>
    <t>لاهيا</t>
  </si>
  <si>
    <t>KYS1883</t>
  </si>
  <si>
    <t>Yarmouk regional camp</t>
  </si>
  <si>
    <t>As Sahabeh</t>
  </si>
  <si>
    <t>KYS3223</t>
  </si>
  <si>
    <t>Al Khair camp</t>
  </si>
  <si>
    <t>KYS3268</t>
  </si>
  <si>
    <t>Alaistifamih camp</t>
  </si>
  <si>
    <t>KYS3279</t>
  </si>
  <si>
    <t>South Al Quds open university</t>
  </si>
  <si>
    <t>KYS3889</t>
  </si>
  <si>
    <t>Al Beesan</t>
  </si>
  <si>
    <t>KYS4043</t>
  </si>
  <si>
    <t>Al Hurriya Camp</t>
  </si>
  <si>
    <t>KYS4078</t>
  </si>
  <si>
    <t>Resilience</t>
  </si>
  <si>
    <t>KYS4242</t>
  </si>
  <si>
    <t>KYS4320</t>
  </si>
  <si>
    <t>Wadi Al-Rayan</t>
  </si>
  <si>
    <t>KYS4429</t>
  </si>
  <si>
    <t>Al-horia Site</t>
  </si>
  <si>
    <t>KYS4499</t>
  </si>
  <si>
    <t>Aaedoon</t>
  </si>
  <si>
    <t>KYS4568</t>
  </si>
  <si>
    <t>Al-Amal Makeshift</t>
  </si>
  <si>
    <t>KYS4570</t>
  </si>
  <si>
    <t>Al-Fajr Camp 2</t>
  </si>
  <si>
    <t>مخيم الفجر 2</t>
  </si>
  <si>
    <t>KYS4582</t>
  </si>
  <si>
    <t>Al-Zaytoun Camp</t>
  </si>
  <si>
    <t>KYS4588</t>
  </si>
  <si>
    <t>Humanitarian Response – Al Farra Camp</t>
  </si>
  <si>
    <t>مخيم الاستجابة الانسانية - الفرا</t>
  </si>
  <si>
    <t>KYS4602</t>
  </si>
  <si>
    <t>Ahel AlٍShamal Site</t>
  </si>
  <si>
    <t>موقع اهل الشمال</t>
  </si>
  <si>
    <t>KYS4605</t>
  </si>
  <si>
    <t>Al-Ataa Site</t>
  </si>
  <si>
    <t>KYS4611</t>
  </si>
  <si>
    <t>Al-Ehsan Site</t>
  </si>
  <si>
    <t>KYS4625</t>
  </si>
  <si>
    <t>Al-Hanaa Site</t>
  </si>
  <si>
    <t>مخيم الهناء</t>
  </si>
  <si>
    <t>KYS4637</t>
  </si>
  <si>
    <t>Al-Waha Site</t>
  </si>
  <si>
    <t>موقع الواحة</t>
  </si>
  <si>
    <t>KYS4648</t>
  </si>
  <si>
    <t>Sadrat Al-Amal Site</t>
  </si>
  <si>
    <t>موقع سدرة الأمل</t>
  </si>
  <si>
    <t>KYS4649</t>
  </si>
  <si>
    <t>Nebras Al-amal Site</t>
  </si>
  <si>
    <t>موقع نبراس الامل</t>
  </si>
  <si>
    <t>KYS4651</t>
  </si>
  <si>
    <t>Basmit Amal Site</t>
  </si>
  <si>
    <t>بسمة امل</t>
  </si>
  <si>
    <t>KYS4652</t>
  </si>
  <si>
    <t>Balsam Site</t>
  </si>
  <si>
    <t>موقع بلسم</t>
  </si>
  <si>
    <t>KYS4656</t>
  </si>
  <si>
    <t>موقع الأمل</t>
  </si>
  <si>
    <t>KYS4659</t>
  </si>
  <si>
    <t>Anwar Al-Fajr Site</t>
  </si>
  <si>
    <t>موقع أنوار الفجر</t>
  </si>
  <si>
    <t>KYS4663</t>
  </si>
  <si>
    <t>عائدون</t>
  </si>
  <si>
    <t>KYS4664</t>
  </si>
  <si>
    <t>Ahl Makka</t>
  </si>
  <si>
    <t>اهل مكة</t>
  </si>
  <si>
    <t>KYS4665</t>
  </si>
  <si>
    <t>Al Abadleh</t>
  </si>
  <si>
    <t>العبادلة</t>
  </si>
  <si>
    <t>KYS4667</t>
  </si>
  <si>
    <t>KYS4691</t>
  </si>
  <si>
    <t>Al-Anwar Camp</t>
  </si>
  <si>
    <t>مخيم الانوار</t>
  </si>
  <si>
    <t>KYS4693</t>
  </si>
  <si>
    <t>Al Ataa Site</t>
  </si>
  <si>
    <t>KYS4694</t>
  </si>
  <si>
    <t>Al-Awda camp</t>
  </si>
  <si>
    <t>KYS4695</t>
  </si>
  <si>
    <t>Al Ensan Site</t>
  </si>
  <si>
    <t>KYS4696</t>
  </si>
  <si>
    <t>Al-Ezz Camp</t>
  </si>
  <si>
    <t>مخيم العز</t>
  </si>
  <si>
    <t>KYS4697</t>
  </si>
  <si>
    <t>Al-Fajer Site</t>
  </si>
  <si>
    <t>موقع الفجر</t>
  </si>
  <si>
    <t>KYS4699</t>
  </si>
  <si>
    <t>Al Hawooz Site</t>
  </si>
  <si>
    <t>KYS4700</t>
  </si>
  <si>
    <t>Al-Huda Camp</t>
  </si>
  <si>
    <t>مخيم الهدى</t>
  </si>
  <si>
    <t>KYS4701</t>
  </si>
  <si>
    <t>Al Hureia</t>
  </si>
  <si>
    <t>الحريه</t>
  </si>
  <si>
    <t>KYS4703</t>
  </si>
  <si>
    <t>موقع ايواء النور</t>
  </si>
  <si>
    <t>KYS4711</t>
  </si>
  <si>
    <t>Al Joura</t>
  </si>
  <si>
    <t>KYS4712</t>
  </si>
  <si>
    <t>الكرامه</t>
  </si>
  <si>
    <t>KYS4713</t>
  </si>
  <si>
    <t>Al-Karamah camp</t>
  </si>
  <si>
    <t>KYS4714</t>
  </si>
  <si>
    <t>Al Kufeya Site</t>
  </si>
  <si>
    <t>مخيم الكوفية</t>
  </si>
  <si>
    <t>KYS4715</t>
  </si>
  <si>
    <t>Al Mahaba Site</t>
  </si>
  <si>
    <t>مخيم المحبة</t>
  </si>
  <si>
    <t>KYS4722</t>
  </si>
  <si>
    <t>Al-Nahda Camp</t>
  </si>
  <si>
    <t>KYS4723</t>
  </si>
  <si>
    <t>Al-Nawras Camp</t>
  </si>
  <si>
    <t>مخيم النورس</t>
  </si>
  <si>
    <t>KYS4724</t>
  </si>
  <si>
    <t>Al Nujoom Site</t>
  </si>
  <si>
    <t>KYS4725</t>
  </si>
  <si>
    <t>Al-Wehda Site</t>
  </si>
  <si>
    <t>موقع الوحدة</t>
  </si>
  <si>
    <t>KYS4727</t>
  </si>
  <si>
    <t>مخيم سند</t>
  </si>
  <si>
    <t>KYS4731</t>
  </si>
  <si>
    <t>Al Amal lilnaazihin aleataar</t>
  </si>
  <si>
    <t>موقع الامل للنازحين العطار</t>
  </si>
  <si>
    <t>KYS4735</t>
  </si>
  <si>
    <t>Ramad Al-Somood</t>
  </si>
  <si>
    <t>مخيم رمال الصمود</t>
  </si>
  <si>
    <t>KYS4742</t>
  </si>
  <si>
    <t>Al Qalah</t>
  </si>
  <si>
    <t>القلعة</t>
  </si>
  <si>
    <t>KYS4745</t>
  </si>
  <si>
    <t>KYS4746</t>
  </si>
  <si>
    <t>موقع الوفاء</t>
  </si>
  <si>
    <t>KYS4749</t>
  </si>
  <si>
    <t>Al Worood</t>
  </si>
  <si>
    <t>مخيم الوروود</t>
  </si>
  <si>
    <t>KYS4750</t>
  </si>
  <si>
    <t>Amjad</t>
  </si>
  <si>
    <t>مخيم امجاد</t>
  </si>
  <si>
    <t>KYS4751</t>
  </si>
  <si>
    <t>Ashour</t>
  </si>
  <si>
    <t>عاشور</t>
  </si>
  <si>
    <t>KYS4753</t>
  </si>
  <si>
    <t>Dama'a Al Yayoum</t>
  </si>
  <si>
    <t>مخيم دمع العيون</t>
  </si>
  <si>
    <t>KYS4754</t>
  </si>
  <si>
    <t>Deir al-Asad camp</t>
  </si>
  <si>
    <t>مخيم دير الاسد</t>
  </si>
  <si>
    <t>KYS4755</t>
  </si>
  <si>
    <t>Karam 1 Camp</t>
  </si>
  <si>
    <t>مخيم كرم 1</t>
  </si>
  <si>
    <t>KYS4756</t>
  </si>
  <si>
    <t>Karam 3 Camp</t>
  </si>
  <si>
    <t>مخيم كرم 3</t>
  </si>
  <si>
    <t>KYS4757</t>
  </si>
  <si>
    <t>Karam 4 Camp</t>
  </si>
  <si>
    <t>مخيم كرم 4</t>
  </si>
  <si>
    <t>KYS4760</t>
  </si>
  <si>
    <t>Massa</t>
  </si>
  <si>
    <t>ماسة</t>
  </si>
  <si>
    <t>KYS4762</t>
  </si>
  <si>
    <t>Nabd Al Haya Site</t>
  </si>
  <si>
    <t>مخيم نبض الحياة</t>
  </si>
  <si>
    <t>KYS4763</t>
  </si>
  <si>
    <t>مخيم فلسطين</t>
  </si>
  <si>
    <t>Sahel Al-Nakheel</t>
  </si>
  <si>
    <t>ساحل النخيل</t>
  </si>
  <si>
    <t>NGZ2075</t>
  </si>
  <si>
    <t>Helo &amp; Nejm</t>
  </si>
  <si>
    <t>هيلو ونجم</t>
  </si>
  <si>
    <t>NGZ4164</t>
  </si>
  <si>
    <t>Al 17 land</t>
  </si>
  <si>
    <t>أرض رقم 17</t>
  </si>
  <si>
    <t>NGZ4165</t>
  </si>
  <si>
    <t>Al Nadi</t>
  </si>
  <si>
    <t>النادي</t>
  </si>
  <si>
    <t>An Nahdah</t>
  </si>
  <si>
    <t>NGZ4167</t>
  </si>
  <si>
    <t>Walood</t>
  </si>
  <si>
    <t>والود</t>
  </si>
  <si>
    <t>NGZ4169</t>
  </si>
  <si>
    <t>Bitona</t>
  </si>
  <si>
    <t>بيتونة</t>
  </si>
  <si>
    <t>Marina</t>
  </si>
  <si>
    <t>مارينا</t>
  </si>
  <si>
    <t>NGZ4172</t>
  </si>
  <si>
    <t>Shohibr</t>
  </si>
  <si>
    <t>شوهيبر</t>
  </si>
  <si>
    <t>NGZ4173</t>
  </si>
  <si>
    <t>Morabeteen 2</t>
  </si>
  <si>
    <t>المرابطين 2</t>
  </si>
  <si>
    <t>NGZ4181</t>
  </si>
  <si>
    <t>Munatazah Alsafatwui</t>
  </si>
  <si>
    <t>منتزة الصفطاوي</t>
  </si>
  <si>
    <t>NGZ4183</t>
  </si>
  <si>
    <t>Ard Mariot</t>
  </si>
  <si>
    <t>ارض ماريوت</t>
  </si>
  <si>
    <t>AlSoltan Abedl Hamaid</t>
  </si>
  <si>
    <t>Hai Al Masreen</t>
  </si>
  <si>
    <t>Al Qaraya al Badawiya (east)</t>
  </si>
  <si>
    <t>NGZ4367</t>
  </si>
  <si>
    <t>Al Shntii land site</t>
  </si>
  <si>
    <t>موقع ايواء أرض الشنطي</t>
  </si>
  <si>
    <t>Rafah (north)</t>
  </si>
  <si>
    <t>Al Mawasi (east)</t>
  </si>
  <si>
    <t>KYS3068</t>
  </si>
  <si>
    <t>A/A/Aziz Prep. Boys</t>
  </si>
  <si>
    <t>ذكور أحمد عبد العزيز الإعدادية</t>
  </si>
  <si>
    <t>PCODE_Gove</t>
  </si>
  <si>
    <t>270</t>
  </si>
  <si>
    <t>255</t>
  </si>
  <si>
    <t>265</t>
  </si>
  <si>
    <t>260</t>
  </si>
  <si>
    <t>275</t>
  </si>
  <si>
    <t>Governorat</t>
  </si>
  <si>
    <t>Khan Yunis</t>
  </si>
  <si>
    <t>Deir al Balah</t>
  </si>
  <si>
    <t>Neighbourh</t>
  </si>
  <si>
    <t>'Abasan al Jadida (as Saghira)</t>
  </si>
  <si>
    <t>Abu Al-'Ajeen</t>
  </si>
  <si>
    <t>Abu al-A'awar</t>
  </si>
  <si>
    <t>Abu Ali</t>
  </si>
  <si>
    <t>Abu Hdaf</t>
  </si>
  <si>
    <t>Abu Huraira</t>
  </si>
  <si>
    <t>Abu Mgheiseb</t>
  </si>
  <si>
    <t>Abu Reeda</t>
  </si>
  <si>
    <t>Abu Thaher</t>
  </si>
  <si>
    <t>Ad Damitha'a</t>
  </si>
  <si>
    <t>Al Attarta &amp; As Siafa</t>
  </si>
  <si>
    <t>Al Basateen</t>
  </si>
  <si>
    <t>Al Bayuk</t>
  </si>
  <si>
    <t>Al Bayuk (north)</t>
  </si>
  <si>
    <t>Al Bureij (east)</t>
  </si>
  <si>
    <t>Al Farra</t>
  </si>
  <si>
    <t>Al Fukhkhari</t>
  </si>
  <si>
    <t>Al Fukhkhari (east)</t>
  </si>
  <si>
    <t>Al Fukhkhari (north east)</t>
  </si>
  <si>
    <t>Al Fukhkhari (west)</t>
  </si>
  <si>
    <t>Al Hashash</t>
  </si>
  <si>
    <t>Al Huda</t>
  </si>
  <si>
    <t>Al Idari</t>
  </si>
  <si>
    <t>Al Iman</t>
  </si>
  <si>
    <t>Al Jneineh</t>
  </si>
  <si>
    <t>Al Qadisiah</t>
  </si>
  <si>
    <t>Al Qaraya al Badawiya al Maslakh</t>
  </si>
  <si>
    <t>Al Wadi</t>
  </si>
  <si>
    <t>Al Wasta</t>
  </si>
  <si>
    <t>Al wodd</t>
  </si>
  <si>
    <t>Al-Nazaz</t>
  </si>
  <si>
    <t>AL-Shortah</t>
  </si>
  <si>
    <t>Al-Worood</t>
  </si>
  <si>
    <t>An Nur</t>
  </si>
  <si>
    <t>An Nuseirat Camp</t>
  </si>
  <si>
    <t>An-Nai'm</t>
  </si>
  <si>
    <t>Ar Rahmah</t>
  </si>
  <si>
    <t>Ar-Radwan</t>
  </si>
  <si>
    <t>As Safa</t>
  </si>
  <si>
    <t>As Saqa</t>
  </si>
  <si>
    <t>As Sater</t>
  </si>
  <si>
    <t>As Siafa</t>
  </si>
  <si>
    <t>As Sidra</t>
  </si>
  <si>
    <t>As Sureij</t>
  </si>
  <si>
    <t>Ash Shabbourah</t>
  </si>
  <si>
    <t>Aslan</t>
  </si>
  <si>
    <t>At Taqwa</t>
  </si>
  <si>
    <t>At Turukman</t>
  </si>
  <si>
    <t>Az Zahra'a</t>
  </si>
  <si>
    <t>Az Zahra'a (north)</t>
  </si>
  <si>
    <t>Az Zawayda (north)</t>
  </si>
  <si>
    <t>Azata</t>
  </si>
  <si>
    <t>Bader</t>
  </si>
  <si>
    <t>City Centre</t>
  </si>
  <si>
    <t>Hai Abu Rahma</t>
  </si>
  <si>
    <t>Hai Al Amal</t>
  </si>
  <si>
    <t>Ijdeedeh</t>
  </si>
  <si>
    <t>Irjeileh</t>
  </si>
  <si>
    <t>Ishnino</t>
  </si>
  <si>
    <t>Izbat Abed Rabbou</t>
  </si>
  <si>
    <t>Jabalya El Balad</t>
  </si>
  <si>
    <t>Juhor ad Dik</t>
  </si>
  <si>
    <t>Khirbet Al-'Adas</t>
  </si>
  <si>
    <t>Khuza'a</t>
  </si>
  <si>
    <t>Msabbeh</t>
  </si>
  <si>
    <t>Najjar</t>
  </si>
  <si>
    <t>Radwan</t>
  </si>
  <si>
    <t>Rafah Al-Gharbieh</t>
  </si>
  <si>
    <t>Rafah Camp</t>
  </si>
  <si>
    <t>Rafah Camp (north)</t>
  </si>
  <si>
    <t>Rook</t>
  </si>
  <si>
    <t>Sanajrah</t>
  </si>
  <si>
    <t>Shokat as Sufi</t>
  </si>
  <si>
    <t>Smeiri</t>
  </si>
  <si>
    <t>Suboh</t>
  </si>
  <si>
    <t>Tabbet Zare'i</t>
  </si>
  <si>
    <t>Tal As-Sultan</t>
  </si>
  <si>
    <t>Tall as Sultan (north))</t>
  </si>
  <si>
    <t>Tall as Sultan (west)</t>
  </si>
  <si>
    <t>Zemmo</t>
  </si>
  <si>
    <t>PCODE_Neig</t>
  </si>
  <si>
    <t>Neighborhood</t>
  </si>
  <si>
    <t>Deir Al Balah</t>
  </si>
  <si>
    <t>Primary Activity</t>
  </si>
  <si>
    <t>Works to increase safety and improve dignity of site environments, with risk mitigation measures in place to respond to incidents including seasonal impacts.</t>
  </si>
  <si>
    <t>Activity_Code</t>
  </si>
  <si>
    <t>Helper</t>
  </si>
  <si>
    <t>HelperConcat</t>
  </si>
  <si>
    <t>Service coordination supported and improved</t>
  </si>
  <si>
    <t>Population movement monitoring activities</t>
  </si>
  <si>
    <t>Protection mainstreaming</t>
  </si>
  <si>
    <t>Establishment or support provided to community representation structures</t>
  </si>
  <si>
    <t>Training provided to community representation structures</t>
  </si>
  <si>
    <t>Facilitation of Community Led Projects</t>
  </si>
  <si>
    <t>Information sharing and feedback mechanisms in place</t>
  </si>
  <si>
    <t>Plan and implement site closure and exit strategies</t>
  </si>
  <si>
    <t>Undertake intentions and perceptions surveys</t>
  </si>
  <si>
    <t>Support safe transition of site based populations</t>
  </si>
  <si>
    <t># of individuals</t>
  </si>
  <si>
    <t># of days</t>
  </si>
  <si>
    <t># of trainings</t>
  </si>
  <si>
    <t># of CLPs</t>
  </si>
  <si>
    <t># of assessments</t>
  </si>
  <si>
    <t>People in sites managed or supported by trained Site Management teams</t>
  </si>
  <si>
    <t>Population flow counting points are active during high population movement periods</t>
  </si>
  <si>
    <t>Sites with protection referral pathway in place</t>
  </si>
  <si>
    <t>Sites with safety audits conducted</t>
  </si>
  <si>
    <t>People in displacement sites with community representation structures supported by Site Management Agencies</t>
  </si>
  <si>
    <t>Community-led projects implemented</t>
  </si>
  <si>
    <t>Individuals received training in Site Management, including SMA and CBO staff and volunteers, and other stakeholders.</t>
  </si>
  <si>
    <t>People in displacement sites with improvements made in site planning, facilities and/or infrastructure including (construction/repair/cleaning drainage, slope stabilisation, etc.) either directly or through community led projects</t>
  </si>
  <si>
    <t>Sites safely closed or decommissioned with land returned to orginal use</t>
  </si>
  <si>
    <t>Intentions or perceptions surveys conducted</t>
  </si>
  <si>
    <t>Individuals supported by Site Management projects facilitating transition through access to services. Including area based site management, hubs, and community resource centres.</t>
  </si>
  <si>
    <t>SMC_IND_001</t>
  </si>
  <si>
    <t>SMC_IND_002</t>
  </si>
  <si>
    <t>SMC_IND_003</t>
  </si>
  <si>
    <t>SMC_IND_004</t>
  </si>
  <si>
    <t>SMC_IND_005</t>
  </si>
  <si>
    <t>SMC_IND_006</t>
  </si>
  <si>
    <t>SMC_IND_007</t>
  </si>
  <si>
    <t>SMC_IND_008</t>
  </si>
  <si>
    <t>SMC_IND_009</t>
  </si>
  <si>
    <t>SMC_IND_010</t>
  </si>
  <si>
    <t>SMC_IND_011</t>
  </si>
  <si>
    <t>SMC_IND_012</t>
  </si>
  <si>
    <t>SMC_IND_013</t>
  </si>
  <si>
    <t>SMC_IND_014</t>
  </si>
  <si>
    <t>SMC_IND_015</t>
  </si>
  <si>
    <t>SMC_IND_016</t>
  </si>
  <si>
    <t>SMC_IND_017</t>
  </si>
  <si>
    <t>SMC_IND_018</t>
  </si>
  <si>
    <t>SMC_IND_019</t>
  </si>
  <si>
    <t>SMC_IND_020</t>
  </si>
  <si>
    <t>SMC_IND_022</t>
  </si>
  <si>
    <t>CASELOAD/ACHIEVEMENT/BENEFICIARIES</t>
  </si>
  <si>
    <t>COUNTS/INDIVIDUALS</t>
  </si>
  <si>
    <t>VULNERABILITY (People with Disabilities)</t>
  </si>
  <si>
    <t>Male</t>
  </si>
  <si>
    <t>Female</t>
  </si>
  <si>
    <t>Boys (&lt;18)</t>
  </si>
  <si>
    <t>Girls (&lt;18)</t>
  </si>
  <si>
    <t>Men (18-59)</t>
  </si>
  <si>
    <t>Women (18-59)</t>
  </si>
  <si>
    <t>Elderly Female (≥60)</t>
  </si>
  <si>
    <t>Male-PWD</t>
  </si>
  <si>
    <t>Female-PWD</t>
  </si>
  <si>
    <t>Program / Coordinating / Donor Organization</t>
  </si>
  <si>
    <t xml:space="preserve">Total
 Planned/Reached
Count
</t>
  </si>
  <si>
    <t>Provision of site management services including strengthened coordination mechanisms, regular site monitoring, service mapping, and robust referral systems to address gaps and avoid duplication.</t>
  </si>
  <si>
    <t>Support to populations to transition out of sites including support to populations out of sites, community engagement, support for relocation and safe site closures.</t>
  </si>
  <si>
    <t>Establishment and strengthening of community representation structures, with two way communication mechanisms in place</t>
  </si>
  <si>
    <t>Capacity-strengthening for SMA staff and voluntunteers, CBOs, other sectoral agencies and stakeholders</t>
  </si>
  <si>
    <t>Primary Activities</t>
  </si>
  <si>
    <t>ActivityType</t>
  </si>
  <si>
    <t>Sub Activity</t>
  </si>
  <si>
    <t>Indicators</t>
  </si>
  <si>
    <r>
      <t xml:space="preserve">AGE SEX DISAGGREGATION 
</t>
    </r>
    <r>
      <rPr>
        <sz val="10"/>
        <color rgb="FFFFFF00"/>
        <rFont val="Calibri"/>
        <family val="2"/>
        <scheme val="minor"/>
      </rPr>
      <t>(Must be filled for the cells that are not black)</t>
    </r>
  </si>
  <si>
    <r>
      <t xml:space="preserve">Governorate
</t>
    </r>
    <r>
      <rPr>
        <sz val="8"/>
        <color rgb="FFFFFF00"/>
        <rFont val="Calibri"/>
        <family val="2"/>
        <scheme val="minor"/>
      </rPr>
      <t>(Select from Dropdown)</t>
    </r>
  </si>
  <si>
    <r>
      <t xml:space="preserve">Neighborhood
</t>
    </r>
    <r>
      <rPr>
        <sz val="8"/>
        <color rgb="FFFFFF00"/>
        <rFont val="Calibri"/>
        <family val="2"/>
        <scheme val="minor"/>
      </rPr>
      <t>(Select from Dropdown)</t>
    </r>
  </si>
  <si>
    <r>
      <t xml:space="preserve">Activity
Status
</t>
    </r>
    <r>
      <rPr>
        <sz val="9"/>
        <color rgb="FFFFFF00"/>
        <rFont val="Calibri"/>
        <family val="2"/>
        <scheme val="minor"/>
      </rPr>
      <t>(Select from Dropdown)</t>
    </r>
  </si>
  <si>
    <r>
      <t xml:space="preserve">Primary Activities
</t>
    </r>
    <r>
      <rPr>
        <b/>
        <sz val="9"/>
        <color rgb="FFFFFF00"/>
        <rFont val="Calibri"/>
        <family val="2"/>
        <scheme val="minor"/>
      </rPr>
      <t>(Select From Dropdown)</t>
    </r>
  </si>
  <si>
    <r>
      <t xml:space="preserve">Sub Activity
</t>
    </r>
    <r>
      <rPr>
        <sz val="8"/>
        <color rgb="FFFFFF00"/>
        <rFont val="Calibri"/>
        <family val="2"/>
        <scheme val="minor"/>
      </rPr>
      <t>(Select from Dropdown)</t>
    </r>
  </si>
  <si>
    <r>
      <t xml:space="preserve">Indicator
</t>
    </r>
    <r>
      <rPr>
        <b/>
        <sz val="9"/>
        <color rgb="FFFFFF00"/>
        <rFont val="Calibri"/>
        <family val="2"/>
        <scheme val="minor"/>
      </rPr>
      <t>(Select from Dropdown)</t>
    </r>
  </si>
  <si>
    <r>
      <t xml:space="preserve">Activity Details
</t>
    </r>
    <r>
      <rPr>
        <sz val="8"/>
        <color rgb="FFFFFF00"/>
        <rFont val="Calibri"/>
        <family val="2"/>
        <scheme val="minor"/>
      </rPr>
      <t>(Provide additional brief remarks on the activity, if any)</t>
    </r>
  </si>
  <si>
    <r>
      <t xml:space="preserve">Units
</t>
    </r>
    <r>
      <rPr>
        <i/>
        <sz val="8"/>
        <color rgb="FFFFFF00"/>
        <rFont val="Calibri"/>
        <family val="2"/>
        <scheme val="minor"/>
      </rPr>
      <t>(Auto Calculated, Do not modify)</t>
    </r>
  </si>
  <si>
    <r>
      <t>Elderly Male (≥</t>
    </r>
    <r>
      <rPr>
        <b/>
        <sz val="8.1"/>
        <color theme="0"/>
        <rFont val="Calibri"/>
        <family val="2"/>
        <scheme val="minor"/>
      </rPr>
      <t>60)</t>
    </r>
  </si>
  <si>
    <t>Flash Appeal 2026</t>
  </si>
  <si>
    <t># of participants</t>
  </si>
  <si>
    <t>Flash Appeal 2027</t>
  </si>
  <si>
    <t>Training provided to SMA, CBO, and other stakeholders</t>
  </si>
  <si>
    <t>Site maintenance, risk reduction and improvements</t>
  </si>
  <si>
    <t>Number of individuals in sites where monitoring has been conducted with updated demographic information and needs shared within the response coordination structure</t>
  </si>
  <si>
    <t>People in sites reached by IEC and awareness raising materials</t>
  </si>
  <si>
    <t>IEC awareness raising products disseminated</t>
  </si>
  <si>
    <t>Sites with Community Feedback Mechanisms in place: Information sessions facilitated, or information materials made available to residents.</t>
  </si>
  <si>
    <t>Participants in Community Feedback Mechanism information sessions</t>
  </si>
  <si>
    <t>Trainings provided to community representation structures</t>
  </si>
  <si>
    <t>Number of individuals who have recieved training in community representation structures</t>
  </si>
  <si>
    <t>People in sites hired via Cash for Work for site maintenance/improvement</t>
  </si>
  <si>
    <t>Number of tools distributed for site improvement (count individual tools, not toolkits)</t>
  </si>
  <si>
    <t>Communal spaces established or improved in sites (including safe spaces, child-friendly spaces, committee spaces, community resource spaces)</t>
  </si>
  <si>
    <t>Number of individuals trained / supported to conduct site care and maintenance</t>
  </si>
  <si>
    <t># of people</t>
  </si>
  <si>
    <t># of products</t>
  </si>
  <si>
    <t># of tools</t>
  </si>
  <si>
    <t># of bags</t>
  </si>
  <si>
    <t># of spaces</t>
  </si>
  <si>
    <t>SMC_IND_021</t>
  </si>
  <si>
    <t>SMC Coordination</t>
  </si>
  <si>
    <t>Number of site-level coordination meetings</t>
  </si>
  <si>
    <t>Number of monitoring surveys conducted with site focal points</t>
  </si>
  <si>
    <t>Number of service/infrastructure mapping reports generated</t>
  </si>
  <si>
    <t># of meetings</t>
  </si>
  <si>
    <t># of surveys</t>
  </si>
  <si>
    <t># of reports</t>
  </si>
  <si>
    <t xml:space="preserve">Number of sand/flour bags distributed </t>
  </si>
  <si>
    <t>HEKS</t>
  </si>
  <si>
    <t>UNDP</t>
  </si>
  <si>
    <t>SMC_IND_023</t>
  </si>
  <si>
    <t>SMC_IND_024</t>
  </si>
  <si>
    <t>SMC_IND_025</t>
  </si>
  <si>
    <t>SMC_IND_026</t>
  </si>
  <si>
    <t xml:space="preserve"># of individuals </t>
  </si>
  <si>
    <t># of projects</t>
  </si>
  <si>
    <t>Site Management projects facilitating transition through access to services. Including area based site management, hubs, and community resource centres.</t>
  </si>
  <si>
    <t>SMC_IND_027</t>
  </si>
  <si>
    <t>DEB2348</t>
  </si>
  <si>
    <t>DEB4780</t>
  </si>
  <si>
    <t>DEB4781</t>
  </si>
  <si>
    <t>DEB4787</t>
  </si>
  <si>
    <t>DEB4788</t>
  </si>
  <si>
    <t>DEB4789</t>
  </si>
  <si>
    <t>DEB4792</t>
  </si>
  <si>
    <t>DEB4793</t>
  </si>
  <si>
    <t>DEB4811</t>
  </si>
  <si>
    <t>DEB4859</t>
  </si>
  <si>
    <t>DEB4860</t>
  </si>
  <si>
    <t>DEB4861</t>
  </si>
  <si>
    <t>DEB4864</t>
  </si>
  <si>
    <t>DEB4868</t>
  </si>
  <si>
    <t>DEB4869</t>
  </si>
  <si>
    <t>DEB4870</t>
  </si>
  <si>
    <t>DEB4877</t>
  </si>
  <si>
    <t>DEB4887</t>
  </si>
  <si>
    <t>DEB4888</t>
  </si>
  <si>
    <t>DEB4891</t>
  </si>
  <si>
    <t>DEB4892</t>
  </si>
  <si>
    <t>DEB4898</t>
  </si>
  <si>
    <t>DEB4899</t>
  </si>
  <si>
    <t>DEB4901</t>
  </si>
  <si>
    <t>DEB4902</t>
  </si>
  <si>
    <t>DEB4903</t>
  </si>
  <si>
    <t>DEB4908</t>
  </si>
  <si>
    <t>DEB4909</t>
  </si>
  <si>
    <t>DEB4912</t>
  </si>
  <si>
    <t>DEB4917</t>
  </si>
  <si>
    <t>DEB4919</t>
  </si>
  <si>
    <t>DEB4920</t>
  </si>
  <si>
    <t>DEB4926</t>
  </si>
  <si>
    <t>DEB4928</t>
  </si>
  <si>
    <t>DEB4930</t>
  </si>
  <si>
    <t>DEB4932</t>
  </si>
  <si>
    <t>DEB4934</t>
  </si>
  <si>
    <t>DEB4935</t>
  </si>
  <si>
    <t>DEB4936</t>
  </si>
  <si>
    <t>DEB4937</t>
  </si>
  <si>
    <t>DEB4938</t>
  </si>
  <si>
    <t>DEB4940</t>
  </si>
  <si>
    <t>DEB4941</t>
  </si>
  <si>
    <t>DEB4945</t>
  </si>
  <si>
    <t>DEB4946</t>
  </si>
  <si>
    <t>DEB4948</t>
  </si>
  <si>
    <t>DEB4949</t>
  </si>
  <si>
    <t>DEB4950</t>
  </si>
  <si>
    <t>DEB4951</t>
  </si>
  <si>
    <t>DEB4953</t>
  </si>
  <si>
    <t>DEB4954</t>
  </si>
  <si>
    <t>DEB4970</t>
  </si>
  <si>
    <t>DEB4971</t>
  </si>
  <si>
    <t>DEB4973</t>
  </si>
  <si>
    <t>DEB4975</t>
  </si>
  <si>
    <t>DEB4976</t>
  </si>
  <si>
    <t>DEB4979</t>
  </si>
  <si>
    <t>DEB5003</t>
  </si>
  <si>
    <t>DEB5015</t>
  </si>
  <si>
    <t>DEB5016</t>
  </si>
  <si>
    <t>DEB5022</t>
  </si>
  <si>
    <t>DEB5025</t>
  </si>
  <si>
    <t>DEB5027</t>
  </si>
  <si>
    <t>DEB5030</t>
  </si>
  <si>
    <t>DEB5034</t>
  </si>
  <si>
    <t>DEB5042</t>
  </si>
  <si>
    <t>DEB5043</t>
  </si>
  <si>
    <t>DEB5047</t>
  </si>
  <si>
    <t>DEB5053</t>
  </si>
  <si>
    <t>DEB5062</t>
  </si>
  <si>
    <t>DEB5063</t>
  </si>
  <si>
    <t>DEB5067</t>
  </si>
  <si>
    <t>DEB5073</t>
  </si>
  <si>
    <t>DEB5075</t>
  </si>
  <si>
    <t>DEB5144</t>
  </si>
  <si>
    <t>DEB5189</t>
  </si>
  <si>
    <t>DEB5199</t>
  </si>
  <si>
    <t>DEB5204</t>
  </si>
  <si>
    <t>DEB5208</t>
  </si>
  <si>
    <t>DEB5209</t>
  </si>
  <si>
    <t>DEB5210</t>
  </si>
  <si>
    <t>DEB5212</t>
  </si>
  <si>
    <t>DEB5218</t>
  </si>
  <si>
    <t>DEB5222</t>
  </si>
  <si>
    <t>DEB5224</t>
  </si>
  <si>
    <t>DEB5226</t>
  </si>
  <si>
    <t>DEB5229</t>
  </si>
  <si>
    <t>DEB5230</t>
  </si>
  <si>
    <t>DEB5232</t>
  </si>
  <si>
    <t>DEB5233</t>
  </si>
  <si>
    <t>DEB5238</t>
  </si>
  <si>
    <t>DEB5240</t>
  </si>
  <si>
    <t>DEB5241</t>
  </si>
  <si>
    <t>DEB5243</t>
  </si>
  <si>
    <t>DEB5244</t>
  </si>
  <si>
    <t>DEB5246</t>
  </si>
  <si>
    <t>DEB5250</t>
  </si>
  <si>
    <t>DEB5259</t>
  </si>
  <si>
    <t>DEB5262</t>
  </si>
  <si>
    <t>DEB5263</t>
  </si>
  <si>
    <t>DEB5265</t>
  </si>
  <si>
    <t>DEB5268</t>
  </si>
  <si>
    <t>DEB5272</t>
  </si>
  <si>
    <t>DEB5274</t>
  </si>
  <si>
    <t>DEB5276</t>
  </si>
  <si>
    <t>DEB5289</t>
  </si>
  <si>
    <t>DEB5294</t>
  </si>
  <si>
    <t>DEB5296</t>
  </si>
  <si>
    <t>DEB5297</t>
  </si>
  <si>
    <t>DEB5299</t>
  </si>
  <si>
    <t>DEB5301</t>
  </si>
  <si>
    <t>DEB5302</t>
  </si>
  <si>
    <t>DEB5303</t>
  </si>
  <si>
    <t>DEB5304</t>
  </si>
  <si>
    <t>DEB5305</t>
  </si>
  <si>
    <t>DEB5306</t>
  </si>
  <si>
    <t>DEB5307</t>
  </si>
  <si>
    <t>DEB5312</t>
  </si>
  <si>
    <t>DEB5313</t>
  </si>
  <si>
    <t>DEB5314</t>
  </si>
  <si>
    <t>DEB5315</t>
  </si>
  <si>
    <t>DEB5316</t>
  </si>
  <si>
    <t>DEB5331</t>
  </si>
  <si>
    <t>DEB5356</t>
  </si>
  <si>
    <t>DEB5377</t>
  </si>
  <si>
    <t>DEB5378</t>
  </si>
  <si>
    <t>DEB5379</t>
  </si>
  <si>
    <t>DEB5384</t>
  </si>
  <si>
    <t>DEB5385</t>
  </si>
  <si>
    <t>DEB5396</t>
  </si>
  <si>
    <t>DEB5400</t>
  </si>
  <si>
    <t>DEB5430</t>
  </si>
  <si>
    <t>DEB5450</t>
  </si>
  <si>
    <t>DEB5452</t>
  </si>
  <si>
    <t>DEB5457</t>
  </si>
  <si>
    <t>GZA4791</t>
  </si>
  <si>
    <t>GZA4794</t>
  </si>
  <si>
    <t>GZA4796</t>
  </si>
  <si>
    <t>GZA4805</t>
  </si>
  <si>
    <t>GZA4809</t>
  </si>
  <si>
    <t>GZA4817</t>
  </si>
  <si>
    <t>GZA4818</t>
  </si>
  <si>
    <t>GZA4822</t>
  </si>
  <si>
    <t>GZA4823</t>
  </si>
  <si>
    <t>GZA4825</t>
  </si>
  <si>
    <t>GZA4826</t>
  </si>
  <si>
    <t>GZA4827</t>
  </si>
  <si>
    <t>GZA4828</t>
  </si>
  <si>
    <t>GZA4829</t>
  </si>
  <si>
    <t>GZA4830</t>
  </si>
  <si>
    <t>GZA4832</t>
  </si>
  <si>
    <t>GZA4834</t>
  </si>
  <si>
    <t>GZA4835</t>
  </si>
  <si>
    <t>GZA4836</t>
  </si>
  <si>
    <t>GZA4837</t>
  </si>
  <si>
    <t>GZA4838</t>
  </si>
  <si>
    <t>GZA4839</t>
  </si>
  <si>
    <t>GZA4842</t>
  </si>
  <si>
    <t>GZA4843</t>
  </si>
  <si>
    <t>GZA4844</t>
  </si>
  <si>
    <t>GZA4845</t>
  </si>
  <si>
    <t>GZA4848</t>
  </si>
  <si>
    <t>GZA4849</t>
  </si>
  <si>
    <t>GZA4850</t>
  </si>
  <si>
    <t>GZA4851</t>
  </si>
  <si>
    <t>GZA4852</t>
  </si>
  <si>
    <t>GZA4854</t>
  </si>
  <si>
    <t>GZA4855</t>
  </si>
  <si>
    <t>GZA4856</t>
  </si>
  <si>
    <t>GZA4857</t>
  </si>
  <si>
    <t>GZA4858</t>
  </si>
  <si>
    <t>GZA4863</t>
  </si>
  <si>
    <t>GZA4865</t>
  </si>
  <si>
    <t>GZA4867</t>
  </si>
  <si>
    <t>GZA4872</t>
  </si>
  <si>
    <t>GZA4878</t>
  </si>
  <si>
    <t>GZA4879</t>
  </si>
  <si>
    <t>GZA4880</t>
  </si>
  <si>
    <t>GZA4881</t>
  </si>
  <si>
    <t>GZA4882</t>
  </si>
  <si>
    <t>GZA4885</t>
  </si>
  <si>
    <t>GZA4886</t>
  </si>
  <si>
    <t>GZA4889</t>
  </si>
  <si>
    <t>GZA4890</t>
  </si>
  <si>
    <t>GZA4894</t>
  </si>
  <si>
    <t>GZA4895</t>
  </si>
  <si>
    <t>GZA4900</t>
  </si>
  <si>
    <t>GZA4904</t>
  </si>
  <si>
    <t>GZA4905</t>
  </si>
  <si>
    <t>GZA4906</t>
  </si>
  <si>
    <t>GZA4907</t>
  </si>
  <si>
    <t>GZA4913</t>
  </si>
  <si>
    <t>GZA4921</t>
  </si>
  <si>
    <t>GZA4922</t>
  </si>
  <si>
    <t>GZA4923</t>
  </si>
  <si>
    <t>GZA4924</t>
  </si>
  <si>
    <t>GZA4927</t>
  </si>
  <si>
    <t>GZA4933</t>
  </si>
  <si>
    <t>GZA4942</t>
  </si>
  <si>
    <t>GZA4943</t>
  </si>
  <si>
    <t>GZA4944</t>
  </si>
  <si>
    <t>GZA4952</t>
  </si>
  <si>
    <t>GZA4956</t>
  </si>
  <si>
    <t>GZA4957</t>
  </si>
  <si>
    <t>GZA4958</t>
  </si>
  <si>
    <t>GZA4959</t>
  </si>
  <si>
    <t>GZA4960</t>
  </si>
  <si>
    <t>GZA4962</t>
  </si>
  <si>
    <t>GZA4964</t>
  </si>
  <si>
    <t>GZA4965</t>
  </si>
  <si>
    <t>GZA4966</t>
  </si>
  <si>
    <t>GZA4968</t>
  </si>
  <si>
    <t>GZA4969</t>
  </si>
  <si>
    <t>GZA4972</t>
  </si>
  <si>
    <t>GZA4974</t>
  </si>
  <si>
    <t>GZA4977</t>
  </si>
  <si>
    <t>GZA4980</t>
  </si>
  <si>
    <t>GZA4981</t>
  </si>
  <si>
    <t>GZA4983</t>
  </si>
  <si>
    <t>GZA4984</t>
  </si>
  <si>
    <t>GZA4997</t>
  </si>
  <si>
    <t>GZA4998</t>
  </si>
  <si>
    <t>GZA5000</t>
  </si>
  <si>
    <t>GZA5001</t>
  </si>
  <si>
    <t>GZA5004</t>
  </si>
  <si>
    <t>GZA5006</t>
  </si>
  <si>
    <t>GZA5007</t>
  </si>
  <si>
    <t>GZA5008</t>
  </si>
  <si>
    <t>GZA5009</t>
  </si>
  <si>
    <t>GZA5010</t>
  </si>
  <si>
    <t>GZA5011</t>
  </si>
  <si>
    <t>GZA5012</t>
  </si>
  <si>
    <t>GZA5013</t>
  </si>
  <si>
    <t>GZA5014</t>
  </si>
  <si>
    <t>GZA5018</t>
  </si>
  <si>
    <t>GZA5019</t>
  </si>
  <si>
    <t>GZA5021</t>
  </si>
  <si>
    <t>GZA5023</t>
  </si>
  <si>
    <t>GZA5026</t>
  </si>
  <si>
    <t>GZA5028</t>
  </si>
  <si>
    <t>GZA5029</t>
  </si>
  <si>
    <t>GZA5031</t>
  </si>
  <si>
    <t>GZA5033</t>
  </si>
  <si>
    <t>GZA5036</t>
  </si>
  <si>
    <t>GZA5037</t>
  </si>
  <si>
    <t>GZA5038</t>
  </si>
  <si>
    <t>GZA5040</t>
  </si>
  <si>
    <t>GZA5041</t>
  </si>
  <si>
    <t>GZA5044</t>
  </si>
  <si>
    <t>GZA5045</t>
  </si>
  <si>
    <t>GZA5046</t>
  </si>
  <si>
    <t>GZA5048</t>
  </si>
  <si>
    <t>GZA5049</t>
  </si>
  <si>
    <t>GZA5052</t>
  </si>
  <si>
    <t>GZA5054</t>
  </si>
  <si>
    <t>GZA5055</t>
  </si>
  <si>
    <t>GZA5074</t>
  </si>
  <si>
    <t>GZA5076</t>
  </si>
  <si>
    <t>GZA5078</t>
  </si>
  <si>
    <t>GZA5098</t>
  </si>
  <si>
    <t>GZA5107</t>
  </si>
  <si>
    <t>GZA5109</t>
  </si>
  <si>
    <t>GZA5130</t>
  </si>
  <si>
    <t>GZA5133</t>
  </si>
  <si>
    <t>GZA5145</t>
  </si>
  <si>
    <t>GZA5183</t>
  </si>
  <si>
    <t>GZA5185</t>
  </si>
  <si>
    <t>GZA5186</t>
  </si>
  <si>
    <t>GZA5191</t>
  </si>
  <si>
    <t>GZA5192</t>
  </si>
  <si>
    <t>GZA5194</t>
  </si>
  <si>
    <t>GZA5196</t>
  </si>
  <si>
    <t>GZA5203</t>
  </si>
  <si>
    <t>GZA5217</t>
  </si>
  <si>
    <t>GZA5220</t>
  </si>
  <si>
    <t>GZA5221</t>
  </si>
  <si>
    <t>GZA5223</t>
  </si>
  <si>
    <t>GZA5227</t>
  </si>
  <si>
    <t>GZA5235</t>
  </si>
  <si>
    <t>GZA5236</t>
  </si>
  <si>
    <t>GZA5245</t>
  </si>
  <si>
    <t>GZA5248</t>
  </si>
  <si>
    <t>GZA5251</t>
  </si>
  <si>
    <t>GZA5253</t>
  </si>
  <si>
    <t>GZA5255</t>
  </si>
  <si>
    <t>GZA5260</t>
  </si>
  <si>
    <t>GZA5261</t>
  </si>
  <si>
    <t>GZA5264</t>
  </si>
  <si>
    <t>GZA5267</t>
  </si>
  <si>
    <t>GZA5271</t>
  </si>
  <si>
    <t>GZA5275</t>
  </si>
  <si>
    <t>GZA5277</t>
  </si>
  <si>
    <t>GZA5284</t>
  </si>
  <si>
    <t>GZA5285</t>
  </si>
  <si>
    <t>GZA5286</t>
  </si>
  <si>
    <t>GZA5291</t>
  </si>
  <si>
    <t>GZA5292</t>
  </si>
  <si>
    <t>GZA5293</t>
  </si>
  <si>
    <t>GZA5298</t>
  </si>
  <si>
    <t>GZA5300</t>
  </si>
  <si>
    <t>GZA5310</t>
  </si>
  <si>
    <t>GZA5311</t>
  </si>
  <si>
    <t>GZA5338</t>
  </si>
  <si>
    <t>GZA5343</t>
  </si>
  <si>
    <t>GZA5344</t>
  </si>
  <si>
    <t>GZA5351</t>
  </si>
  <si>
    <t>GZA5355</t>
  </si>
  <si>
    <t>GZA5357</t>
  </si>
  <si>
    <t>GZA5366</t>
  </si>
  <si>
    <t>GZA5372</t>
  </si>
  <si>
    <t>GZA5380</t>
  </si>
  <si>
    <t>GZA5383</t>
  </si>
  <si>
    <t>GZA5386</t>
  </si>
  <si>
    <t>GZA5387</t>
  </si>
  <si>
    <t>GZA5389</t>
  </si>
  <si>
    <t>GZA5390</t>
  </si>
  <si>
    <t>GZA5391</t>
  </si>
  <si>
    <t>GZA5394</t>
  </si>
  <si>
    <t>GZA5398</t>
  </si>
  <si>
    <t>GZA5399</t>
  </si>
  <si>
    <t>GZA5402</t>
  </si>
  <si>
    <t>GZA5403</t>
  </si>
  <si>
    <t>GZA5404</t>
  </si>
  <si>
    <t>GZA5405</t>
  </si>
  <si>
    <t>GZA5406</t>
  </si>
  <si>
    <t>GZA5407</t>
  </si>
  <si>
    <t>GZA5408</t>
  </si>
  <si>
    <t>GZA5409</t>
  </si>
  <si>
    <t>GZA5410</t>
  </si>
  <si>
    <t>GZA5411</t>
  </si>
  <si>
    <t>GZA5412</t>
  </si>
  <si>
    <t>GZA5413</t>
  </si>
  <si>
    <t>GZA5414</t>
  </si>
  <si>
    <t>GZA5415</t>
  </si>
  <si>
    <t>GZA5416</t>
  </si>
  <si>
    <t>GZA5417</t>
  </si>
  <si>
    <t>GZA5418</t>
  </si>
  <si>
    <t>GZA5419</t>
  </si>
  <si>
    <t>GZA5420</t>
  </si>
  <si>
    <t>GZA5421</t>
  </si>
  <si>
    <t>GZA5423</t>
  </si>
  <si>
    <t>GZA5426</t>
  </si>
  <si>
    <t>GZA5427</t>
  </si>
  <si>
    <t>GZA5433</t>
  </si>
  <si>
    <t>GZA5434</t>
  </si>
  <si>
    <t>GZA5437</t>
  </si>
  <si>
    <t>GZA5438</t>
  </si>
  <si>
    <t>GZA5439</t>
  </si>
  <si>
    <t>GZA5443</t>
  </si>
  <si>
    <t>GZA5444</t>
  </si>
  <si>
    <t>GZA5445</t>
  </si>
  <si>
    <t>GZA5446</t>
  </si>
  <si>
    <t>GZA5447</t>
  </si>
  <si>
    <t>GZA5449</t>
  </si>
  <si>
    <t>GZA5455</t>
  </si>
  <si>
    <t>GZA5456</t>
  </si>
  <si>
    <t>GZA5459</t>
  </si>
  <si>
    <t>GZA5462</t>
  </si>
  <si>
    <t>KYS0718</t>
  </si>
  <si>
    <t>KYS1024</t>
  </si>
  <si>
    <t>KYS1025</t>
  </si>
  <si>
    <t>KYS1061</t>
  </si>
  <si>
    <t>KYS1111</t>
  </si>
  <si>
    <t>KYS2044</t>
  </si>
  <si>
    <t>KYS4785</t>
  </si>
  <si>
    <t>KYS4786</t>
  </si>
  <si>
    <t>KYS4803</t>
  </si>
  <si>
    <t>KYS4804</t>
  </si>
  <si>
    <t>KYS4806</t>
  </si>
  <si>
    <t>KYS4810</t>
  </si>
  <si>
    <t>KYS4812</t>
  </si>
  <si>
    <t>KYS4814</t>
  </si>
  <si>
    <t>KYS4815</t>
  </si>
  <si>
    <t>KYS4820</t>
  </si>
  <si>
    <t>KYS4821</t>
  </si>
  <si>
    <t>KYS4840</t>
  </si>
  <si>
    <t>KYS4841</t>
  </si>
  <si>
    <t>KYS4847</t>
  </si>
  <si>
    <t>KYS4862</t>
  </si>
  <si>
    <t>KYS4873</t>
  </si>
  <si>
    <t>KYS4874</t>
  </si>
  <si>
    <t>KYS4875</t>
  </si>
  <si>
    <t>KYS4961</t>
  </si>
  <si>
    <t>KYS4967</t>
  </si>
  <si>
    <t>KYS4988</t>
  </si>
  <si>
    <t>KYS4990</t>
  </si>
  <si>
    <t>KYS4991</t>
  </si>
  <si>
    <t>KYS4992</t>
  </si>
  <si>
    <t>KYS4993</t>
  </si>
  <si>
    <t>KYS5002</t>
  </si>
  <si>
    <t>KYS5005</t>
  </si>
  <si>
    <t>KYS5056</t>
  </si>
  <si>
    <t>KYS5057</t>
  </si>
  <si>
    <t>KYS5058</t>
  </si>
  <si>
    <t>KYS5059</t>
  </si>
  <si>
    <t>KYS5060</t>
  </si>
  <si>
    <t>KYS5061</t>
  </si>
  <si>
    <t>KYS5064</t>
  </si>
  <si>
    <t>KYS5065</t>
  </si>
  <si>
    <t>KYS5066</t>
  </si>
  <si>
    <t>KYS5068</t>
  </si>
  <si>
    <t>KYS5069</t>
  </si>
  <si>
    <t>KYS5070</t>
  </si>
  <si>
    <t>KYS5071</t>
  </si>
  <si>
    <t>KYS5072</t>
  </si>
  <si>
    <t>KYS5108</t>
  </si>
  <si>
    <t>KYS5128</t>
  </si>
  <si>
    <t>KYS5129</t>
  </si>
  <si>
    <t>KYS5135</t>
  </si>
  <si>
    <t>KYS5136</t>
  </si>
  <si>
    <t>KYS5159</t>
  </si>
  <si>
    <t>KYS5174</t>
  </si>
  <si>
    <t>KYS5176</t>
  </si>
  <si>
    <t>KYS5184</t>
  </si>
  <si>
    <t>KYS5188</t>
  </si>
  <si>
    <t>KYS5193</t>
  </si>
  <si>
    <t>KYS5201</t>
  </si>
  <si>
    <t>KYS5205</t>
  </si>
  <si>
    <t>KYS5211</t>
  </si>
  <si>
    <t>KYS5213</t>
  </si>
  <si>
    <t>KYS5216</t>
  </si>
  <si>
    <t>KYS5219</t>
  </si>
  <si>
    <t>KYS5228</t>
  </si>
  <si>
    <t>KYS5237</t>
  </si>
  <si>
    <t>KYS5239</t>
  </si>
  <si>
    <t>KYS5258</t>
  </si>
  <si>
    <t>KYS5269</t>
  </si>
  <si>
    <t>KYS5273</t>
  </si>
  <si>
    <t>KYS5279</t>
  </si>
  <si>
    <t>KYS5318</t>
  </si>
  <si>
    <t>KYS5319</t>
  </si>
  <si>
    <t>KYS5320</t>
  </si>
  <si>
    <t>KYS5321</t>
  </si>
  <si>
    <t>KYS5322</t>
  </si>
  <si>
    <t>KYS5323</t>
  </si>
  <si>
    <t>KYS5324</t>
  </si>
  <si>
    <t>KYS5325</t>
  </si>
  <si>
    <t>KYS5326</t>
  </si>
  <si>
    <t>KYS5327</t>
  </si>
  <si>
    <t>KYS5328</t>
  </si>
  <si>
    <t>KYS5329</t>
  </si>
  <si>
    <t>KYS5330</t>
  </si>
  <si>
    <t>KYS5332</t>
  </si>
  <si>
    <t>KYS5333</t>
  </si>
  <si>
    <t>KYS5334</t>
  </si>
  <si>
    <t>KYS5335</t>
  </si>
  <si>
    <t>KYS5336</t>
  </si>
  <si>
    <t>KYS5337</t>
  </si>
  <si>
    <t>KYS5340</t>
  </si>
  <si>
    <t>KYS5341</t>
  </si>
  <si>
    <t>KYS5342</t>
  </si>
  <si>
    <t>KYS5345</t>
  </si>
  <si>
    <t>KYS5346</t>
  </si>
  <si>
    <t>KYS5347</t>
  </si>
  <si>
    <t>KYS5348</t>
  </si>
  <si>
    <t>KYS5349</t>
  </si>
  <si>
    <t>KYS5350</t>
  </si>
  <si>
    <t>KYS5352</t>
  </si>
  <si>
    <t>KYS5353</t>
  </si>
  <si>
    <t>KYS5354</t>
  </si>
  <si>
    <t>KYS5358</t>
  </si>
  <si>
    <t>KYS5359</t>
  </si>
  <si>
    <t>KYS5360</t>
  </si>
  <si>
    <t>KYS5361</t>
  </si>
  <si>
    <t>KYS5362</t>
  </si>
  <si>
    <t>KYS5363</t>
  </si>
  <si>
    <t>KYS5364</t>
  </si>
  <si>
    <t>KYS5365</t>
  </si>
  <si>
    <t>KYS5368</t>
  </si>
  <si>
    <t>KYS5369</t>
  </si>
  <si>
    <t>KYS5370</t>
  </si>
  <si>
    <t>KYS5371</t>
  </si>
  <si>
    <t>KYS5373</t>
  </si>
  <si>
    <t>KYS5374</t>
  </si>
  <si>
    <t>KYS5375</t>
  </si>
  <si>
    <t>KYS5376</t>
  </si>
  <si>
    <t>KYS5381</t>
  </si>
  <si>
    <t>KYS5382</t>
  </si>
  <si>
    <t>KYS5388</t>
  </si>
  <si>
    <t>KYS5392</t>
  </si>
  <si>
    <t>KYS5393</t>
  </si>
  <si>
    <t>KYS5395</t>
  </si>
  <si>
    <t>KYS5397</t>
  </si>
  <si>
    <t>KYS5401</t>
  </si>
  <si>
    <t>KYS5422</t>
  </si>
  <si>
    <t>KYS5429</t>
  </si>
  <si>
    <t>KYS5432</t>
  </si>
  <si>
    <t>KYS5451</t>
  </si>
  <si>
    <t>KYS5453</t>
  </si>
  <si>
    <t>KYS5454</t>
  </si>
  <si>
    <t>KYS5458</t>
  </si>
  <si>
    <t>KYS5460</t>
  </si>
  <si>
    <t>NGZ4783</t>
  </si>
  <si>
    <t>NGZ4798</t>
  </si>
  <si>
    <t>NGZ4871</t>
  </si>
  <si>
    <t>NGZ4876</t>
  </si>
  <si>
    <t>NGZ4883</t>
  </si>
  <si>
    <t>NGZ4914</t>
  </si>
  <si>
    <t>NGZ4915</t>
  </si>
  <si>
    <t>NGZ4916</t>
  </si>
  <si>
    <t>NGZ4955</t>
  </si>
  <si>
    <t>NGZ4963</t>
  </si>
  <si>
    <t>NGZ4978</t>
  </si>
  <si>
    <t>NGZ4982</t>
  </si>
  <si>
    <t>NGZ4995</t>
  </si>
  <si>
    <t>NGZ4996</t>
  </si>
  <si>
    <t>NGZ4999</t>
  </si>
  <si>
    <t>NGZ5013</t>
  </si>
  <si>
    <t>NGZ5017</t>
  </si>
  <si>
    <t>NGZ5020</t>
  </si>
  <si>
    <t>NGZ5024</t>
  </si>
  <si>
    <t>NGZ5032</t>
  </si>
  <si>
    <t>NGZ5035</t>
  </si>
  <si>
    <t>NGZ5039</t>
  </si>
  <si>
    <t>NGZ5050</t>
  </si>
  <si>
    <t>NGZ5079</t>
  </si>
  <si>
    <t>NGZ5082</t>
  </si>
  <si>
    <t>NGZ5083</t>
  </si>
  <si>
    <t>NGZ5084</t>
  </si>
  <si>
    <t>NGZ5085</t>
  </si>
  <si>
    <t>NGZ5086</t>
  </si>
  <si>
    <t>NGZ5087</t>
  </si>
  <si>
    <t>NGZ5088</t>
  </si>
  <si>
    <t>NGZ5089</t>
  </si>
  <si>
    <t>NGZ5091</t>
  </si>
  <si>
    <t>NGZ5092</t>
  </si>
  <si>
    <t>NGZ5093</t>
  </si>
  <si>
    <t>NGZ5094</t>
  </si>
  <si>
    <t>NGZ5095</t>
  </si>
  <si>
    <t>NGZ5096</t>
  </si>
  <si>
    <t>NGZ5097</t>
  </si>
  <si>
    <t>NGZ5099</t>
  </si>
  <si>
    <t>NGZ5102</t>
  </si>
  <si>
    <t>NGZ5105</t>
  </si>
  <si>
    <t>NGZ5110</t>
  </si>
  <si>
    <t>NGZ5111</t>
  </si>
  <si>
    <t>NGZ5113</t>
  </si>
  <si>
    <t>NGZ5115</t>
  </si>
  <si>
    <t>NGZ5116</t>
  </si>
  <si>
    <t>NGZ5117</t>
  </si>
  <si>
    <t>NGZ5119</t>
  </si>
  <si>
    <t>NGZ5120</t>
  </si>
  <si>
    <t>NGZ5121</t>
  </si>
  <si>
    <t>NGZ5123</t>
  </si>
  <si>
    <t>NGZ5124</t>
  </si>
  <si>
    <t>NGZ5125</t>
  </si>
  <si>
    <t>NGZ5126</t>
  </si>
  <si>
    <t>NGZ5131</t>
  </si>
  <si>
    <t>NGZ5134</t>
  </si>
  <si>
    <t>NGZ5137</t>
  </si>
  <si>
    <t>NGZ5138</t>
  </si>
  <si>
    <t>NGZ5139</t>
  </si>
  <si>
    <t>NGZ5140</t>
  </si>
  <si>
    <t>NGZ5141</t>
  </si>
  <si>
    <t>NGZ5142</t>
  </si>
  <si>
    <t>NGZ5146</t>
  </si>
  <si>
    <t>NGZ5149</t>
  </si>
  <si>
    <t>NGZ5150</t>
  </si>
  <si>
    <t>NGZ5151</t>
  </si>
  <si>
    <t>NGZ5152</t>
  </si>
  <si>
    <t>NGZ5153</t>
  </si>
  <si>
    <t>NGZ5154</t>
  </si>
  <si>
    <t>NGZ5155</t>
  </si>
  <si>
    <t>NGZ5157</t>
  </si>
  <si>
    <t>NGZ5158</t>
  </si>
  <si>
    <t>NGZ5160</t>
  </si>
  <si>
    <t>NGZ5161</t>
  </si>
  <si>
    <t>NGZ5162</t>
  </si>
  <si>
    <t>NGZ5163</t>
  </si>
  <si>
    <t>NGZ5164</t>
  </si>
  <si>
    <t>NGZ5165</t>
  </si>
  <si>
    <t>NGZ5166</t>
  </si>
  <si>
    <t>NGZ5167</t>
  </si>
  <si>
    <t>NGZ5168</t>
  </si>
  <si>
    <t>NGZ5169</t>
  </si>
  <si>
    <t>NGZ5170</t>
  </si>
  <si>
    <t>NGZ5172</t>
  </si>
  <si>
    <t>NGZ5175</t>
  </si>
  <si>
    <t>NGZ5177</t>
  </si>
  <si>
    <t>NGZ5178</t>
  </si>
  <si>
    <t>NGZ5179</t>
  </si>
  <si>
    <t>NGZ5182</t>
  </si>
  <si>
    <t>NGZ5195</t>
  </si>
  <si>
    <t>NGZ5215</t>
  </si>
  <si>
    <t>NGZ5283</t>
  </si>
  <si>
    <t>NGZ5295</t>
  </si>
  <si>
    <t>RFH0776</t>
  </si>
  <si>
    <t>RFH4813</t>
  </si>
  <si>
    <t>RFH4816</t>
  </si>
  <si>
    <t>RFH4819</t>
  </si>
  <si>
    <t>RFH4831</t>
  </si>
  <si>
    <t>RFH4985</t>
  </si>
  <si>
    <t>RFH4986</t>
  </si>
  <si>
    <t>RFH4987</t>
  </si>
  <si>
    <t>RFH5081</t>
  </si>
  <si>
    <t>RFH5101</t>
  </si>
  <si>
    <t>RFH5254</t>
  </si>
  <si>
    <t>RFH5288</t>
  </si>
  <si>
    <t>RFH5367</t>
  </si>
  <si>
    <t>GZA5461</t>
  </si>
  <si>
    <t>Al Maghazi Municipality</t>
  </si>
  <si>
    <t>Abu Dlal</t>
  </si>
  <si>
    <t>Istiqama</t>
  </si>
  <si>
    <t>Yafa AlAazza</t>
  </si>
  <si>
    <t>Abu Mishaal</t>
  </si>
  <si>
    <t>Al-Amal Aghosh</t>
  </si>
  <si>
    <t>Abu Jarir</t>
  </si>
  <si>
    <t>Al-Aytam</t>
  </si>
  <si>
    <t>ALokhua</t>
  </si>
  <si>
    <t>Al-Sabireen</t>
  </si>
  <si>
    <t>Al-Salaimeh</t>
  </si>
  <si>
    <t>Mubadarat Nahn Maeakum</t>
  </si>
  <si>
    <t>Al Majd site</t>
  </si>
  <si>
    <t>Aaedoun</t>
  </si>
  <si>
    <t>Abu Hamam</t>
  </si>
  <si>
    <t>Abu Manar Camp</t>
  </si>
  <si>
    <t>Ahmed Mishnish</t>
  </si>
  <si>
    <t>Al-Ansar</t>
  </si>
  <si>
    <t>Al-Amaraa camp</t>
  </si>
  <si>
    <t>Akka 2</t>
  </si>
  <si>
    <t>Abu Irban site</t>
  </si>
  <si>
    <t>Al-joura camp</t>
  </si>
  <si>
    <t>Al-karama Camp</t>
  </si>
  <si>
    <t>Al-Krama</t>
  </si>
  <si>
    <t>Al-Manara</t>
  </si>
  <si>
    <t>Al-Qashawi and Al-Saffadi</t>
  </si>
  <si>
    <t>Al-Saada</t>
  </si>
  <si>
    <t>Al-Safa Al-Zwida Camp</t>
  </si>
  <si>
    <t>Al-Manara Camp</t>
  </si>
  <si>
    <t>Al-Toba</t>
  </si>
  <si>
    <t>Al-Ikhwa Site</t>
  </si>
  <si>
    <t>Amjad Camp</t>
  </si>
  <si>
    <t>Al-Shaimaa</t>
  </si>
  <si>
    <t>Bait Lahea Camp</t>
  </si>
  <si>
    <t>Al-Byan</t>
  </si>
  <si>
    <t>Al-Sikka 1</t>
  </si>
  <si>
    <t>Al-Sikka 2</t>
  </si>
  <si>
    <t>Ayadi Al-Khair</t>
  </si>
  <si>
    <t>Bir Abo salah</t>
  </si>
  <si>
    <t>Ewaa Algheseen</t>
  </si>
  <si>
    <t>Ewaa Alnahda</t>
  </si>
  <si>
    <t>Ferdawus</t>
  </si>
  <si>
    <t>Friends Camp</t>
  </si>
  <si>
    <t>Ghaith Al-Nada</t>
  </si>
  <si>
    <t>Hifa camp</t>
  </si>
  <si>
    <t>Hind Rajab camp</t>
  </si>
  <si>
    <t>Laea</t>
  </si>
  <si>
    <t>Lajeu</t>
  </si>
  <si>
    <t>Nablus</t>
  </si>
  <si>
    <t>Noor Al-Huda Camp</t>
  </si>
  <si>
    <t>Peace and Love camp</t>
  </si>
  <si>
    <t>Qatari Al-Ataa</t>
  </si>
  <si>
    <t>Abu Alhosain</t>
  </si>
  <si>
    <t>ALahba</t>
  </si>
  <si>
    <t>Al-Mahabba</t>
  </si>
  <si>
    <t>Al-Majd</t>
  </si>
  <si>
    <t>Al-Mofte</t>
  </si>
  <si>
    <t>Al-Oroba</t>
  </si>
  <si>
    <t>Al-Quds</t>
  </si>
  <si>
    <t>Alwateen</t>
  </si>
  <si>
    <t>Baqon</t>
  </si>
  <si>
    <t>Besan Site</t>
  </si>
  <si>
    <t>Elez ben abd elasalam</t>
  </si>
  <si>
    <t>Aldawaa College</t>
  </si>
  <si>
    <t>Ghosn Al Zayton</t>
  </si>
  <si>
    <t>Jadallah site</t>
  </si>
  <si>
    <t>Mariam</t>
  </si>
  <si>
    <t>Samidon</t>
  </si>
  <si>
    <t>Sanabel Al Amal</t>
  </si>
  <si>
    <t>Sabla Al Kheir</t>
  </si>
  <si>
    <t>Fatayer land</t>
  </si>
  <si>
    <t>Asya</t>
  </si>
  <si>
    <t>Al Joud W Al Ataa</t>
  </si>
  <si>
    <t>Akka 4</t>
  </si>
  <si>
    <t>Deir Albalah Altahnwaya Alsinaeya</t>
  </si>
  <si>
    <t>Seraj Alnour Site</t>
  </si>
  <si>
    <t>Al-Asaile</t>
  </si>
  <si>
    <t>Al-Ekhwa</t>
  </si>
  <si>
    <t>Al-Faraj</t>
  </si>
  <si>
    <t>Al-Ittihad Al-Zawaida camp</t>
  </si>
  <si>
    <t>Al-Sum</t>
  </si>
  <si>
    <t>Al-Wasstta</t>
  </si>
  <si>
    <t>Al-Manaiaa</t>
  </si>
  <si>
    <t>Al-Montazah camp</t>
  </si>
  <si>
    <t>Al-Nour</t>
  </si>
  <si>
    <t>Al-Ramlah</t>
  </si>
  <si>
    <t>Al-Rdwaan</t>
  </si>
  <si>
    <t>Al-Riyad</t>
  </si>
  <si>
    <t>Al-Salam</t>
  </si>
  <si>
    <t>Al-Saleh</t>
  </si>
  <si>
    <t>Al-Sham</t>
  </si>
  <si>
    <t>Al-Sharke</t>
  </si>
  <si>
    <t>Al-Sharqeya</t>
  </si>
  <si>
    <t>Al-tal Al-Gharby</t>
  </si>
  <si>
    <t>Al-Tdahmon</t>
  </si>
  <si>
    <t>Al-Twassel</t>
  </si>
  <si>
    <t>Al Wafaa Camp</t>
  </si>
  <si>
    <t>Ard-Almazra’a</t>
  </si>
  <si>
    <t>Deir al-Balah Club</t>
  </si>
  <si>
    <t>East Mahatta camp</t>
  </si>
  <si>
    <t>family camp</t>
  </si>
  <si>
    <t>Forsan Palestine camp</t>
  </si>
  <si>
    <t>Hawooz Al-Berka</t>
  </si>
  <si>
    <t>Irada camp</t>
  </si>
  <si>
    <t>Joules Site</t>
  </si>
  <si>
    <t>Karim Al-Ataa</t>
  </si>
  <si>
    <t>Om Al-Naser</t>
  </si>
  <si>
    <t>Ruait Tofola</t>
  </si>
  <si>
    <t>Said Aldeen</t>
  </si>
  <si>
    <t>Sanaoud Yawman</t>
  </si>
  <si>
    <t>Sawaed  camp</t>
  </si>
  <si>
    <t>Shaban</t>
  </si>
  <si>
    <t>Shaheen Alsalam</t>
  </si>
  <si>
    <t>Shaikh Salem</t>
  </si>
  <si>
    <t>Shames Camp</t>
  </si>
  <si>
    <t>Sheikh Salem camp</t>
  </si>
  <si>
    <t>Teeba</t>
  </si>
  <si>
    <t>Watan Camp</t>
  </si>
  <si>
    <t>Zahra Al-Hanoun</t>
  </si>
  <si>
    <t>Zahra Al-Shamal</t>
  </si>
  <si>
    <t>Zahrat Al-Madain</t>
  </si>
  <si>
    <t>Zahrat Al-Wadi</t>
  </si>
  <si>
    <t>Alsalam Alzawayida</t>
  </si>
  <si>
    <t>Al Ghad Mashrek</t>
  </si>
  <si>
    <t>Akkaa</t>
  </si>
  <si>
    <t>Al Ahmad</t>
  </si>
  <si>
    <t>Al Masdar</t>
  </si>
  <si>
    <t>Abu Rujdi Site</t>
  </si>
  <si>
    <t>Al Ataa</t>
  </si>
  <si>
    <t>Baladiya</t>
  </si>
  <si>
    <t>Al Nadi Site</t>
  </si>
  <si>
    <t>Al Wesam</t>
  </si>
  <si>
    <t>Al-Mahaba</t>
  </si>
  <si>
    <t>Wasim Al-Shamal</t>
  </si>
  <si>
    <t>Al Zahraa Site 2</t>
  </si>
  <si>
    <t>Ayadi Misr</t>
  </si>
  <si>
    <t>Sheikh Ajlin Camp</t>
  </si>
  <si>
    <t>Abo mraheel land</t>
  </si>
  <si>
    <t>Al-Jazeera Camp – Al-Shuja'iya</t>
  </si>
  <si>
    <t>Qiyada Asqoula</t>
  </si>
  <si>
    <t>Al dawha site</t>
  </si>
  <si>
    <t>Marine Club's site</t>
  </si>
  <si>
    <t>Al-Rahma Site</t>
  </si>
  <si>
    <t>Al-Remal 2 site</t>
  </si>
  <si>
    <t>Al Salah</t>
  </si>
  <si>
    <t>Al-Ru'ya Site</t>
  </si>
  <si>
    <t>Adam Site</t>
  </si>
  <si>
    <t>Al-Karantina Area</t>
  </si>
  <si>
    <t>Al-Ameer Site</t>
  </si>
  <si>
    <t>Al-Khedma Site</t>
  </si>
  <si>
    <t>Al-Safa Site</t>
  </si>
  <si>
    <t>Fares 1 Site</t>
  </si>
  <si>
    <t>ALamal ALtawaui</t>
  </si>
  <si>
    <t>Filastin 2 Site</t>
  </si>
  <si>
    <t>موقع السلام | As-salamu</t>
  </si>
  <si>
    <t>موقع السلام 1</t>
  </si>
  <si>
    <t>Haratuna Site</t>
  </si>
  <si>
    <t>Badr Al Sahel</t>
  </si>
  <si>
    <t>Khademat Alqodos</t>
  </si>
  <si>
    <t>Mashael Al Amal</t>
  </si>
  <si>
    <t>Baghdad</t>
  </si>
  <si>
    <t>Al Kanz</t>
  </si>
  <si>
    <t>Al Rahma</t>
  </si>
  <si>
    <t>Al Manara 1</t>
  </si>
  <si>
    <t>Al Aedoun</t>
  </si>
  <si>
    <t>Al Asdeqa</t>
  </si>
  <si>
    <t>Al Waleed</t>
  </si>
  <si>
    <t>Bab Al Khair 2</t>
  </si>
  <si>
    <t>Aman 1</t>
  </si>
  <si>
    <t>Mosab B site</t>
  </si>
  <si>
    <t>Al-Sheikh Ejleen A Site</t>
  </si>
  <si>
    <t>Ahel Alsheshan</t>
  </si>
  <si>
    <t>Alabeer</t>
  </si>
  <si>
    <t>Abo Haseera</t>
  </si>
  <si>
    <t>Ahl Al-sheshan camp</t>
  </si>
  <si>
    <t>Al-Amin camp</t>
  </si>
  <si>
    <t>Abu Khadra</t>
  </si>
  <si>
    <t>Abo Alaaish</t>
  </si>
  <si>
    <t>Abo Ali Mustafa Site</t>
  </si>
  <si>
    <t>Al Bahr</t>
  </si>
  <si>
    <t>Al Haythim</t>
  </si>
  <si>
    <t>Al-Kateba</t>
  </si>
  <si>
    <t>Al-Khair</t>
  </si>
  <si>
    <t>Al Modrjet Al Bahr camp</t>
  </si>
  <si>
    <t>Al-Motaz camp</t>
  </si>
  <si>
    <t>Al-Mraa Al-Refia</t>
  </si>
  <si>
    <t>Al Redwan 2</t>
  </si>
  <si>
    <t>Al-Seraj</t>
  </si>
  <si>
    <t>Al Sheikh Ejleen school</t>
  </si>
  <si>
    <t>Al-Tashrea</t>
  </si>
  <si>
    <t>Al -Thkafa camp</t>
  </si>
  <si>
    <t>Ansar 11</t>
  </si>
  <si>
    <t>Al-Mashtal</t>
  </si>
  <si>
    <t>A12</t>
  </si>
  <si>
    <t>A13</t>
  </si>
  <si>
    <t>Camp Egyptian Committee B13</t>
  </si>
  <si>
    <t>Al Horya</t>
  </si>
  <si>
    <t>Care for camp</t>
  </si>
  <si>
    <t>Jenen</t>
  </si>
  <si>
    <t>Kalet Al Sahel camp 2</t>
  </si>
  <si>
    <t>Khadeja</t>
  </si>
  <si>
    <t>Abo Haseera 2</t>
  </si>
  <si>
    <t>Al-Ard Al-tayiba</t>
  </si>
  <si>
    <t>Al-Awqaf</t>
  </si>
  <si>
    <t>Al baraka</t>
  </si>
  <si>
    <t>Al-Burham</t>
  </si>
  <si>
    <t>Al-Faris Site</t>
  </si>
  <si>
    <t>Al-Haya 2</t>
  </si>
  <si>
    <t>Al-Helo</t>
  </si>
  <si>
    <t>Al-Huria</t>
  </si>
  <si>
    <t>Al-Imam Al-Shafiaa</t>
  </si>
  <si>
    <t>Al-Khansa</t>
  </si>
  <si>
    <t>Al-Misshaal</t>
  </si>
  <si>
    <t>Al-Nasr Club Shelter Center</t>
  </si>
  <si>
    <t>Al-Qadesya</t>
  </si>
  <si>
    <t>Al-Salam Al-Firdous</t>
  </si>
  <si>
    <t>AL-Samdeen</t>
  </si>
  <si>
    <t>Al-Somod</t>
  </si>
  <si>
    <t>Al-Somood</t>
  </si>
  <si>
    <t>Al Shefa 1 Site</t>
  </si>
  <si>
    <t>Alshfaa 2</t>
  </si>
  <si>
    <t>Al tawhed Site</t>
  </si>
  <si>
    <t>Alwaad</t>
  </si>
  <si>
    <t>Al wehda Site</t>
  </si>
  <si>
    <t>Aman 2</t>
  </si>
  <si>
    <t>Aman 3</t>
  </si>
  <si>
    <t>Ard Abo Nemir</t>
  </si>
  <si>
    <t>Ard As Salam Site</t>
  </si>
  <si>
    <t>Ard Baker 2</t>
  </si>
  <si>
    <t>Ar Rawdah Site</t>
  </si>
  <si>
    <t>Baker 1</t>
  </si>
  <si>
    <t>Bakron site</t>
  </si>
  <si>
    <t>Burj Al Shifaa Site</t>
  </si>
  <si>
    <t>Chara Site</t>
  </si>
  <si>
    <t>Dar Alsalam</t>
  </si>
  <si>
    <t>Alqariya Badawiya</t>
  </si>
  <si>
    <t>Gazatna Site</t>
  </si>
  <si>
    <t>Hasanen site</t>
  </si>
  <si>
    <t>Jaafar Site</t>
  </si>
  <si>
    <t>Jesser Alhayat Site</t>
  </si>
  <si>
    <t>Midan Site</t>
  </si>
  <si>
    <t>Murtaja &amp; Hassan Site</t>
  </si>
  <si>
    <t>Nabad Al Ataa</t>
  </si>
  <si>
    <t>Noor Al-Qura'an Site</t>
  </si>
  <si>
    <t>Rashad Al-Shawa Center</t>
  </si>
  <si>
    <t>Remal alwatan</t>
  </si>
  <si>
    <t>Shifaa 3 site</t>
  </si>
  <si>
    <t>Shohada'a Al-Zayton Site</t>
  </si>
  <si>
    <t>Shomoe Albaydaa Site</t>
  </si>
  <si>
    <t>Alsosi Site</t>
  </si>
  <si>
    <t>Somood Ard Alghazi</t>
  </si>
  <si>
    <t>Yafa As Sabra Site</t>
  </si>
  <si>
    <t>Zaitoun school</t>
  </si>
  <si>
    <t>Zaitoun Site</t>
  </si>
  <si>
    <t>Al Salamah</t>
  </si>
  <si>
    <t>World Of Peace</t>
  </si>
  <si>
    <t>Flowers of Palestine</t>
  </si>
  <si>
    <t>Al Hadya &amp; Salama</t>
  </si>
  <si>
    <t>Almahabba Site</t>
  </si>
  <si>
    <t>Al-Mudarrajat Site</t>
  </si>
  <si>
    <t>Al-Muntar</t>
  </si>
  <si>
    <t>Al Zahra 17</t>
  </si>
  <si>
    <t>Alzaytoon sons site</t>
  </si>
  <si>
    <t>Ebad alrhman site</t>
  </si>
  <si>
    <t>Al-Adel</t>
  </si>
  <si>
    <t>Al-Aizdihar</t>
  </si>
  <si>
    <t>Al-Ataa</t>
  </si>
  <si>
    <t>Aleadl Walawqaf</t>
  </si>
  <si>
    <t>Al-Braka 2</t>
  </si>
  <si>
    <t>Al-Dewan camp</t>
  </si>
  <si>
    <t>Al-Houda 1</t>
  </si>
  <si>
    <t>Al-Noor camp</t>
  </si>
  <si>
    <t>Al-Rageen</t>
  </si>
  <si>
    <t>Al Rashed camp</t>
  </si>
  <si>
    <t>Al-Ruwya</t>
  </si>
  <si>
    <t>Al-shaykh e Ajlayn</t>
  </si>
  <si>
    <t>Al Shurok camp</t>
  </si>
  <si>
    <t>Al-Jood</t>
  </si>
  <si>
    <t>Madrasat Mahfuz Alnahnah Aljazayiriu</t>
  </si>
  <si>
    <t>Ard-Alkhear</t>
  </si>
  <si>
    <t>Ard Alshurafa</t>
  </si>
  <si>
    <t>Aslman camp</t>
  </si>
  <si>
    <t>Bit Lahia Al-Siva's</t>
  </si>
  <si>
    <t>Dewan Al mowathfen camp</t>
  </si>
  <si>
    <t>Diwan Al-Muazafin</t>
  </si>
  <si>
    <t>Filastin Almustaqbal</t>
  </si>
  <si>
    <t>Haten</t>
  </si>
  <si>
    <t>In for Gaza camp</t>
  </si>
  <si>
    <t>Kalet Al sahel camp 1</t>
  </si>
  <si>
    <t>Karkok Alwafaa3</t>
  </si>
  <si>
    <t>Mahfoth Alnahnah school</t>
  </si>
  <si>
    <t>Min 'Iijal Gaza</t>
  </si>
  <si>
    <t>Rashad Al-Huda</t>
  </si>
  <si>
    <t>Rashad Al-Shawl</t>
  </si>
  <si>
    <t>Remal Alwatan</t>
  </si>
  <si>
    <t>Sanad 1</t>
  </si>
  <si>
    <t>San jon</t>
  </si>
  <si>
    <t>Tyba</t>
  </si>
  <si>
    <t>Watan</t>
  </si>
  <si>
    <t>Sadaqa</t>
  </si>
  <si>
    <t>Al Qastal camp</t>
  </si>
  <si>
    <t>Al Hidan</t>
  </si>
  <si>
    <t>Al Jumrak</t>
  </si>
  <si>
    <t>Jordan Hashemi Camp</t>
  </si>
  <si>
    <t>Aywa' Alamam Alshaafieii</t>
  </si>
  <si>
    <t>Hamam Al Samara</t>
  </si>
  <si>
    <t>Samer</t>
  </si>
  <si>
    <t>Abu Munther</t>
  </si>
  <si>
    <t>Al-Amawi</t>
  </si>
  <si>
    <t>Al Mahaba</t>
  </si>
  <si>
    <t>Al Kafah</t>
  </si>
  <si>
    <t>Al Sayida Raqiya</t>
  </si>
  <si>
    <t>Alriyahin</t>
  </si>
  <si>
    <t>Al Ikhwa</t>
  </si>
  <si>
    <t>Ramla Site</t>
  </si>
  <si>
    <t>Akrad Site</t>
  </si>
  <si>
    <t>Al Dira Al Bahri</t>
  </si>
  <si>
    <t>Tufah Site</t>
  </si>
  <si>
    <t>Al Mughni</t>
  </si>
  <si>
    <t>Al Manshiya</t>
  </si>
  <si>
    <t>Nour Al Tabun</t>
  </si>
  <si>
    <t>Midan Falastin</t>
  </si>
  <si>
    <t>Al Mahd</t>
  </si>
  <si>
    <t>Al Nakhla</t>
  </si>
  <si>
    <t>Hay Naser Site</t>
  </si>
  <si>
    <t>Zahra School</t>
  </si>
  <si>
    <t>Abdul Fattah Hammoud School</t>
  </si>
  <si>
    <t>Salah Al-Din School</t>
  </si>
  <si>
    <t>Ibn Al-Haytham School</t>
  </si>
  <si>
    <t>Safad Site</t>
  </si>
  <si>
    <t>Wilayat Samail [Hafsa]</t>
  </si>
  <si>
    <t>Haider Abdel Shafi Site</t>
  </si>
  <si>
    <t>Nazihin Al Shujaeia</t>
  </si>
  <si>
    <t>Ard Al Husseini Site</t>
  </si>
  <si>
    <t>Ramla School</t>
  </si>
  <si>
    <t>Al Taawun 2</t>
  </si>
  <si>
    <t>Al Riyahin Site</t>
  </si>
  <si>
    <t>Jad Site</t>
  </si>
  <si>
    <t>Wuslat Amal Site</t>
  </si>
  <si>
    <t>Asaad Al-Saftawi School</t>
  </si>
  <si>
    <t>Ard Al-Jarjawi Site</t>
  </si>
  <si>
    <t>Nisr Al-Shamali</t>
  </si>
  <si>
    <t>Al-Rashid and Al-Huda Site</t>
  </si>
  <si>
    <t>Mudiriya East Gaza School</t>
  </si>
  <si>
    <t>Khazan Al-Remal Site</t>
  </si>
  <si>
    <t>Al-Husseini Cemetery Site</t>
  </si>
  <si>
    <t>Zahra Garage Parking Site</t>
  </si>
  <si>
    <t>Ansar 6</t>
  </si>
  <si>
    <t>Al Hurriya 18 - Egyptian Committee</t>
  </si>
  <si>
    <t>Ajyal 1</t>
  </si>
  <si>
    <t>Al Junoob 1</t>
  </si>
  <si>
    <t>Kh/Younis Prep. Girls A</t>
  </si>
  <si>
    <t>Mustafa Hafez Elem. Co-ed</t>
  </si>
  <si>
    <t>Kh/Younis Prep. Co-ed C</t>
  </si>
  <si>
    <t>Kh/Younis Prep. Boys A</t>
  </si>
  <si>
    <t>Al Taahir</t>
  </si>
  <si>
    <t>Kh/Younis Prep. Boys B</t>
  </si>
  <si>
    <t>Asaiel</t>
  </si>
  <si>
    <t>Almazraea</t>
  </si>
  <si>
    <t>Almutahabin</t>
  </si>
  <si>
    <t>Al Mohajereen</t>
  </si>
  <si>
    <t>AL-Agha center</t>
  </si>
  <si>
    <t>Al Fajer Al-Shababy Aljadid</t>
  </si>
  <si>
    <t>Qalaat Al-Janoub</t>
  </si>
  <si>
    <t>Al Sham site</t>
  </si>
  <si>
    <t>Al Helal</t>
  </si>
  <si>
    <t>Al Naseem</t>
  </si>
  <si>
    <t>Rafah Al Amal</t>
  </si>
  <si>
    <t>Rafah Al Salam</t>
  </si>
  <si>
    <t>Wattan Site</t>
  </si>
  <si>
    <t>Ard Al-Bardaweel</t>
  </si>
  <si>
    <t>Abo thar Al Qafare school</t>
  </si>
  <si>
    <t>Al-Aqsa 4</t>
  </si>
  <si>
    <t>Al-Aqsa 5</t>
  </si>
  <si>
    <t>Al-Aqsa 6</t>
  </si>
  <si>
    <t>Baqoon camp</t>
  </si>
  <si>
    <t>Al-Fraa</t>
  </si>
  <si>
    <t>Al-Kateeba</t>
  </si>
  <si>
    <t>Rafah El Khier</t>
  </si>
  <si>
    <t>Al Nakhiel</t>
  </si>
  <si>
    <t>Al-Nakheel 2</t>
  </si>
  <si>
    <t>Al Majd 1</t>
  </si>
  <si>
    <t>Al Majd 2</t>
  </si>
  <si>
    <t>Al Majd 3</t>
  </si>
  <si>
    <t>Al wafi</t>
  </si>
  <si>
    <t>Al-Zaitoon</t>
  </si>
  <si>
    <t>Fish Fresh 3</t>
  </si>
  <si>
    <t>Shams</t>
  </si>
  <si>
    <t>Al Ahed</t>
  </si>
  <si>
    <t>Tal Al Jenan</t>
  </si>
  <si>
    <t>Aqsa 2</t>
  </si>
  <si>
    <t>Al Usra</t>
  </si>
  <si>
    <t>Al Amanah</t>
  </si>
  <si>
    <t>Amal W Tafaoul</t>
  </si>
  <si>
    <t>Al Ither</t>
  </si>
  <si>
    <t>Al jazira Al Omri</t>
  </si>
  <si>
    <t>Al Joud</t>
  </si>
  <si>
    <t>Al Mukhtar Abu Saleh</t>
  </si>
  <si>
    <t>Al Yamamah Site</t>
  </si>
  <si>
    <t>Al-Yamamh</t>
  </si>
  <si>
    <t>Bahloul Site</t>
  </si>
  <si>
    <t>Nour Al-Rahma</t>
  </si>
  <si>
    <t>Tabit AlRayan</t>
  </si>
  <si>
    <t>Wafaa Al Khier</t>
  </si>
  <si>
    <t>Al-Aqsa 7</t>
  </si>
  <si>
    <t>Al-Aqsa 9</t>
  </si>
  <si>
    <t>Al-Braka 1</t>
  </si>
  <si>
    <t>Al-Haqq</t>
  </si>
  <si>
    <t>Al-Joura</t>
  </si>
  <si>
    <t>Al Khzan land</t>
  </si>
  <si>
    <t>Al-matahen</t>
  </si>
  <si>
    <t>Al-Multaqa</t>
  </si>
  <si>
    <t>Al-Mushtal land Residents commitee</t>
  </si>
  <si>
    <t>Al-Nujoom</t>
  </si>
  <si>
    <t>Al-Reyad camp</t>
  </si>
  <si>
    <t>Al-Taghreba</t>
  </si>
  <si>
    <t>Al Taleaa</t>
  </si>
  <si>
    <t>Al-Wehda camp</t>
  </si>
  <si>
    <t>Al-Zohor camp 2</t>
  </si>
  <si>
    <t>Camp Egyptian committee A12</t>
  </si>
  <si>
    <t>Camp Egyption committee A13</t>
  </si>
  <si>
    <t>Deir al-Asad</t>
  </si>
  <si>
    <t>House Money</t>
  </si>
  <si>
    <t>Hsan Selema School</t>
  </si>
  <si>
    <t>Jaffa</t>
  </si>
  <si>
    <t>Kh/Younis Elem. Boys E</t>
  </si>
  <si>
    <t>Mukhayam Alshabab Walriyda</t>
  </si>
  <si>
    <t>Palestine square camp</t>
  </si>
  <si>
    <t>Teknik Palestine kolej</t>
  </si>
  <si>
    <t>The Peace Dove campsite 5</t>
  </si>
  <si>
    <t>Zohor Aslam camp</t>
  </si>
  <si>
    <t>Al Haj</t>
  </si>
  <si>
    <t>Al Habsha</t>
  </si>
  <si>
    <t>Al Huriya</t>
  </si>
  <si>
    <t>Al Huriya 3</t>
  </si>
  <si>
    <t>Al Huriya 4</t>
  </si>
  <si>
    <t>Al Huriya 5</t>
  </si>
  <si>
    <t>Al Huriya 6</t>
  </si>
  <si>
    <t>Al Haya raghem al Alam</t>
  </si>
  <si>
    <t>Al Haya raghem al Alam 3</t>
  </si>
  <si>
    <t>Al Haya raghem al Alam 5</t>
  </si>
  <si>
    <t>Rahma</t>
  </si>
  <si>
    <t>Al Rayan</t>
  </si>
  <si>
    <t>Al Zahraa</t>
  </si>
  <si>
    <t>Salam wa Al Nour</t>
  </si>
  <si>
    <t>Al Sultan</t>
  </si>
  <si>
    <t>Al Sharqiya</t>
  </si>
  <si>
    <t>Al Shahem</t>
  </si>
  <si>
    <t>Al Salihin</t>
  </si>
  <si>
    <t>Al Alaa</t>
  </si>
  <si>
    <t>Aleilm</t>
  </si>
  <si>
    <t>Al Mustaqbal</t>
  </si>
  <si>
    <t>Mustafa</t>
  </si>
  <si>
    <t>NIdal 1</t>
  </si>
  <si>
    <t>Yarmouk</t>
  </si>
  <si>
    <t>Al Maher</t>
  </si>
  <si>
    <t>Nidal 2</t>
  </si>
  <si>
    <t>Yarmouk 2</t>
  </si>
  <si>
    <t>Al Najma</t>
  </si>
  <si>
    <t>Yarmouk 1</t>
  </si>
  <si>
    <t>Madina Munawara</t>
  </si>
  <si>
    <t>Al Muath</t>
  </si>
  <si>
    <t>Al Matahen</t>
  </si>
  <si>
    <t>Al Wateen</t>
  </si>
  <si>
    <t>Al Yaqin</t>
  </si>
  <si>
    <t>Ayloul</t>
  </si>
  <si>
    <t>Al-Aqsa University Housing (Aqsa 3)</t>
  </si>
  <si>
    <t>Al-Aqsa University Housing (Aqsa 4)</t>
  </si>
  <si>
    <t>Basma Amal Al Qadsiya</t>
  </si>
  <si>
    <t>Jusour</t>
  </si>
  <si>
    <t>Remal Al Ahrar</t>
  </si>
  <si>
    <t>Hulmi Shaet</t>
  </si>
  <si>
    <t>Remal Al Watan</t>
  </si>
  <si>
    <t>Tabariya 2</t>
  </si>
  <si>
    <t>Zeydan</t>
  </si>
  <si>
    <t>Bani Amer</t>
  </si>
  <si>
    <t>Sharyan Al Haya</t>
  </si>
  <si>
    <t>Remal Al Sumoud</t>
  </si>
  <si>
    <t>Jenan Al Kheir</t>
  </si>
  <si>
    <t>Zumi w Mariam</t>
  </si>
  <si>
    <t>Bawab Al Shamal</t>
  </si>
  <si>
    <t>Remal Tayba</t>
  </si>
  <si>
    <t>Beit Lahia Qweisme</t>
  </si>
  <si>
    <t>Jura Al-Salam Al-Ghad</t>
  </si>
  <si>
    <t>Sumoud Al-Shamal</t>
  </si>
  <si>
    <t>Nasa'im Al-Kheir</t>
  </si>
  <si>
    <t>Al-Aqsa 8</t>
  </si>
  <si>
    <t>Qasser Al Minaa</t>
  </si>
  <si>
    <t>AL ezz site jabalia</t>
  </si>
  <si>
    <t>Shosha'a site</t>
  </si>
  <si>
    <t>Al-Esraa 1</t>
  </si>
  <si>
    <t>Aaesha</t>
  </si>
  <si>
    <t>Abo Al-Kas Site</t>
  </si>
  <si>
    <t>Al-Zeen Shelter</t>
  </si>
  <si>
    <t>Al Haq camp</t>
  </si>
  <si>
    <t>Al-Helo 2</t>
  </si>
  <si>
    <t>Al-Helo 1</t>
  </si>
  <si>
    <t>Al-Andalos</t>
  </si>
  <si>
    <t>Al-Hayat Al-Amal</t>
  </si>
  <si>
    <t>Al-Qasteena</t>
  </si>
  <si>
    <t>Al-Shami</t>
  </si>
  <si>
    <t>Al Saftawi Site</t>
  </si>
  <si>
    <t>Al-Khulafa</t>
  </si>
  <si>
    <t>Al-Librat Site</t>
  </si>
  <si>
    <t>Brair School Site</t>
  </si>
  <si>
    <t>Dar el iza</t>
  </si>
  <si>
    <t>Al Tafawaq</t>
  </si>
  <si>
    <t>Layalina</t>
  </si>
  <si>
    <t>Moath Area site</t>
  </si>
  <si>
    <t>Osama Bin Zayid School Site</t>
  </si>
  <si>
    <t>Tareq site</t>
  </si>
  <si>
    <t>Al Insan Salasabil AlHaya</t>
  </si>
  <si>
    <t>Badr site</t>
  </si>
  <si>
    <t>Abi Ibn Kaab Site</t>
  </si>
  <si>
    <t>Abu alhsain Site</t>
  </si>
  <si>
    <t>Abu Bassam Al-Sultan Site</t>
  </si>
  <si>
    <t>Ahel Alkheir</t>
  </si>
  <si>
    <t>Akasha Al-Qassasib site</t>
  </si>
  <si>
    <t>Alamal site</t>
  </si>
  <si>
    <t>Albardaweel Site</t>
  </si>
  <si>
    <t>Al-Defa Al-madani</t>
  </si>
  <si>
    <t>Al-Esraa 2</t>
  </si>
  <si>
    <t>Al-Ettisalat</t>
  </si>
  <si>
    <t>Al-Falah</t>
  </si>
  <si>
    <t>Al-Farooq</t>
  </si>
  <si>
    <t>Al-Farooq group</t>
  </si>
  <si>
    <t>Alfawz Site</t>
  </si>
  <si>
    <t>Al-Hawaber</t>
  </si>
  <si>
    <t>Al-Karamah Site</t>
  </si>
  <si>
    <t>Almahabba site</t>
  </si>
  <si>
    <t>Al-Noor Al-Mubeen</t>
  </si>
  <si>
    <t>Al-Numan</t>
  </si>
  <si>
    <t>Al Qara'a Al Khamsa</t>
  </si>
  <si>
    <t>Al-Quds Site</t>
  </si>
  <si>
    <t>Al-Quttai</t>
  </si>
  <si>
    <t>Al Rabee 2</t>
  </si>
  <si>
    <t>Alrabee site</t>
  </si>
  <si>
    <t>Al-Radwan Site</t>
  </si>
  <si>
    <t>Al-Rahma 2 site</t>
  </si>
  <si>
    <t>Al-Ranteesi</t>
  </si>
  <si>
    <t>Al-Safa</t>
  </si>
  <si>
    <t>Al-Salam land</t>
  </si>
  <si>
    <t>Alsalheen East</t>
  </si>
  <si>
    <t>Al-Salihin Al-Gharbi Site</t>
  </si>
  <si>
    <t>Al-Tayeb Hall Site</t>
  </si>
  <si>
    <t>Al-Wafaa site</t>
  </si>
  <si>
    <t>Al-Zahra Site</t>
  </si>
  <si>
    <t>Al-Zawari Site</t>
  </si>
  <si>
    <t>Beer Alnaja</t>
  </si>
  <si>
    <t>Beit Lahia Shelter Center</t>
  </si>
  <si>
    <t>Beit Lahia Tajamuna</t>
  </si>
  <si>
    <t>Brier Site</t>
  </si>
  <si>
    <t>City Centre Area - Beit Lahia</t>
  </si>
  <si>
    <t>Dar eleza site</t>
  </si>
  <si>
    <t>Dari Debru</t>
  </si>
  <si>
    <t>El-Atatra</t>
  </si>
  <si>
    <t>Fairouz A12</t>
  </si>
  <si>
    <t>Friends of compassionate hearts</t>
  </si>
  <si>
    <t>Habeb alrahman</t>
  </si>
  <si>
    <t>Hafsa School</t>
  </si>
  <si>
    <t>Haifa Site</t>
  </si>
  <si>
    <t>Halima Al-Sa'diyya School Site</t>
  </si>
  <si>
    <t>Hamza</t>
  </si>
  <si>
    <t>Ihsan</t>
  </si>
  <si>
    <t>Jomaa Site</t>
  </si>
  <si>
    <t>Kafr Qara Site</t>
  </si>
  <si>
    <t>Mariot Site</t>
  </si>
  <si>
    <t>Masr Camp 16</t>
  </si>
  <si>
    <t>Old Project Site</t>
  </si>
  <si>
    <t>Osama Ben Zaid School</t>
  </si>
  <si>
    <t>Othman Mosque</t>
  </si>
  <si>
    <t>Othman School</t>
  </si>
  <si>
    <t>Qutaiba</t>
  </si>
  <si>
    <t>Rihan Family</t>
  </si>
  <si>
    <t>Ruhama Site</t>
  </si>
  <si>
    <t>Sa'ad Waqa's School</t>
  </si>
  <si>
    <t>Salateen 1</t>
  </si>
  <si>
    <t>Salateen 2</t>
  </si>
  <si>
    <t>Samidoun Site</t>
  </si>
  <si>
    <t>Sewar</t>
  </si>
  <si>
    <t>Tiba</t>
  </si>
  <si>
    <t>Wefaq Site</t>
  </si>
  <si>
    <t>Yamaan Site</t>
  </si>
  <si>
    <t>Yemen Al-Saeed 1</t>
  </si>
  <si>
    <t>Yemen Al-Saeed 2</t>
  </si>
  <si>
    <t>Zainab Al-Wazir Site</t>
  </si>
  <si>
    <t>Al-Dera</t>
  </si>
  <si>
    <t>Mahaba Site Habboush Land</t>
  </si>
  <si>
    <t>Saed Bin Aby Waqas School Site</t>
  </si>
  <si>
    <t>Al Karama &amp; Al Somood</t>
  </si>
  <si>
    <t>Al Ahrar</t>
  </si>
  <si>
    <t>Dahab</t>
  </si>
  <si>
    <t>Ajyal 2</t>
  </si>
  <si>
    <t>Al Shurooq</t>
  </si>
  <si>
    <t>Al Waed</t>
  </si>
  <si>
    <t>Naseem Al Sultan</t>
  </si>
  <si>
    <t>Al-Aqsa University Housing (Aqsa 1)</t>
  </si>
  <si>
    <t>B12</t>
  </si>
  <si>
    <t>مركزايواءذكورالنصيرات-الاعداديةأ</t>
  </si>
  <si>
    <t>أرض أبو دلال</t>
  </si>
  <si>
    <t xml:space="preserve">النخيل </t>
  </si>
  <si>
    <t>مخيم ابوجرير</t>
  </si>
  <si>
    <t>الأيتام</t>
  </si>
  <si>
    <t>الأخوة</t>
  </si>
  <si>
    <t>السلايمة</t>
  </si>
  <si>
    <t>مبادرة نحن معكم</t>
  </si>
  <si>
    <t xml:space="preserve">عائدون </t>
  </si>
  <si>
    <t>أبو همام</t>
  </si>
  <si>
    <t xml:space="preserve">موقع ابو منار </t>
  </si>
  <si>
    <t xml:space="preserve">أحمد مشينيش للايتام </t>
  </si>
  <si>
    <t>مخيم الانصار</t>
  </si>
  <si>
    <t>مخيم الامراء</t>
  </si>
  <si>
    <t>عكا 2</t>
  </si>
  <si>
    <t>أبو عريبان</t>
  </si>
  <si>
    <t>مخيم الجورة</t>
  </si>
  <si>
    <t>مخيم المنارة</t>
  </si>
  <si>
    <t>مخيم القشاوي والصفدي</t>
  </si>
  <si>
    <t xml:space="preserve">الرحمة </t>
  </si>
  <si>
    <t>مخيم السعادة</t>
  </si>
  <si>
    <t xml:space="preserve">مخيم الصفا-الزوايدة </t>
  </si>
  <si>
    <t>مخيم التوبة</t>
  </si>
  <si>
    <t>الشيماء</t>
  </si>
  <si>
    <t>السكة 2</t>
  </si>
  <si>
    <t>مخيم بيت لاهيا</t>
  </si>
  <si>
    <t>مخيم البيان</t>
  </si>
  <si>
    <t>مخيم السكة1</t>
  </si>
  <si>
    <t>أيادي الخير</t>
  </si>
  <si>
    <t>مخيم بئر ابو صلاح</t>
  </si>
  <si>
    <t xml:space="preserve">ايواء الغصين </t>
  </si>
  <si>
    <t xml:space="preserve">ايواء النهضة </t>
  </si>
  <si>
    <t>الفردوس</t>
  </si>
  <si>
    <t>غيث الندى</t>
  </si>
  <si>
    <t>مخيم حيفا</t>
  </si>
  <si>
    <t>مخيم هند رجب</t>
  </si>
  <si>
    <t>لاجئ</t>
  </si>
  <si>
    <t>إيواء لاجئ</t>
  </si>
  <si>
    <t>مخيم نابلس</t>
  </si>
  <si>
    <t>مخيم نور الهدى</t>
  </si>
  <si>
    <t>مخيم السلام والمحبة</t>
  </si>
  <si>
    <t>مخيم القطري</t>
  </si>
  <si>
    <t xml:space="preserve">موقع ابو الحصين </t>
  </si>
  <si>
    <t>موقع المحبة</t>
  </si>
  <si>
    <t>المجد</t>
  </si>
  <si>
    <t>المفتي</t>
  </si>
  <si>
    <t>العروبة</t>
  </si>
  <si>
    <t>الوتين</t>
  </si>
  <si>
    <t>موقع باقون</t>
  </si>
  <si>
    <t xml:space="preserve">العز بن عبد السلام </t>
  </si>
  <si>
    <t>كلية الدعوة</t>
  </si>
  <si>
    <t xml:space="preserve">غصن الزيتون </t>
  </si>
  <si>
    <t>موقع جادالله</t>
  </si>
  <si>
    <t>مريم</t>
  </si>
  <si>
    <t>موقع سلام</t>
  </si>
  <si>
    <t>صامدون</t>
  </si>
  <si>
    <t xml:space="preserve">سنابل الأمل </t>
  </si>
  <si>
    <t>سنبلة الخير</t>
  </si>
  <si>
    <t>أرض فطاير</t>
  </si>
  <si>
    <t xml:space="preserve">الجود والعطاء </t>
  </si>
  <si>
    <t>عكا 4</t>
  </si>
  <si>
    <t>دير البلح الثانوية الصناعية</t>
  </si>
  <si>
    <t>مخيم سراج النور</t>
  </si>
  <si>
    <t>الاصايل</t>
  </si>
  <si>
    <t>الفرج</t>
  </si>
  <si>
    <t xml:space="preserve">مخيم الاتحاد الزوايدة </t>
  </si>
  <si>
    <t>أطفال الشمول لذوي الأعاقة</t>
  </si>
  <si>
    <t>الوسطى</t>
  </si>
  <si>
    <t>المنايعة</t>
  </si>
  <si>
    <t>مخيم المنتزه</t>
  </si>
  <si>
    <t xml:space="preserve">مخيم النور </t>
  </si>
  <si>
    <t>الرملة</t>
  </si>
  <si>
    <t xml:space="preserve">الرضوان </t>
  </si>
  <si>
    <t>الرياض</t>
  </si>
  <si>
    <t>الصالح</t>
  </si>
  <si>
    <t>الشام</t>
  </si>
  <si>
    <t>مخيم الشرقية</t>
  </si>
  <si>
    <t>الشرقية</t>
  </si>
  <si>
    <t>تل الغربي</t>
  </si>
  <si>
    <t>التضامن</t>
  </si>
  <si>
    <t>التواصل</t>
  </si>
  <si>
    <t>الورود</t>
  </si>
  <si>
    <t>ارض المزرعة</t>
  </si>
  <si>
    <t xml:space="preserve">نادي خدمات دير البلح </t>
  </si>
  <si>
    <t>مخيم شرق المحطة</t>
  </si>
  <si>
    <t>مخيم العائلات</t>
  </si>
  <si>
    <t>مخيم فرسان فلسطين</t>
  </si>
  <si>
    <t>مخيم الارادة</t>
  </si>
  <si>
    <t>مخيم جولس</t>
  </si>
  <si>
    <t>كريم العطاء</t>
  </si>
  <si>
    <t>ام النصر</t>
  </si>
  <si>
    <t>رعاية الطفولة</t>
  </si>
  <si>
    <t>سعد الدين</t>
  </si>
  <si>
    <t>سنعود يوما</t>
  </si>
  <si>
    <t>مخيم سواعد</t>
  </si>
  <si>
    <t xml:space="preserve">مخيم شعبان </t>
  </si>
  <si>
    <t>شاهين السلام</t>
  </si>
  <si>
    <t>مخيم الشيخ سالم</t>
  </si>
  <si>
    <t>مخيم شمس</t>
  </si>
  <si>
    <t xml:space="preserve">طيبة </t>
  </si>
  <si>
    <t>زهرة الشمال</t>
  </si>
  <si>
    <t>مخيم زهرة المدائن</t>
  </si>
  <si>
    <t>زهرة الوادي</t>
  </si>
  <si>
    <t xml:space="preserve">السلام </t>
  </si>
  <si>
    <t>الغد المشرق</t>
  </si>
  <si>
    <t>مأوى عكا</t>
  </si>
  <si>
    <t>الاحمد</t>
  </si>
  <si>
    <t>مخيم إيواء المصدر</t>
  </si>
  <si>
    <t>مخيم ابو رجدي</t>
  </si>
  <si>
    <t>موقع النادي</t>
  </si>
  <si>
    <t>الوسام</t>
  </si>
  <si>
    <t xml:space="preserve">المحبة </t>
  </si>
  <si>
    <t>زهرة الحنون</t>
  </si>
  <si>
    <t>وسيم الشمال</t>
  </si>
  <si>
    <t>-مدرسة فهمي الجرجاوي</t>
  </si>
  <si>
    <t>موقع الزهراء 2</t>
  </si>
  <si>
    <t>ارض ابو مراحيل</t>
  </si>
  <si>
    <t>موقع الجزيري الشجاعية</t>
  </si>
  <si>
    <t>موقع منطقة القيدة</t>
  </si>
  <si>
    <t>موقع الدوحة</t>
  </si>
  <si>
    <t>موقع المدرجات النادي البحري</t>
  </si>
  <si>
    <t>موقع الرمال 2</t>
  </si>
  <si>
    <t>موقع الرؤيا</t>
  </si>
  <si>
    <t>موقع ادم</t>
  </si>
  <si>
    <t>موقع منطقة الكرنتية</t>
  </si>
  <si>
    <t xml:space="preserve">موقع الامير </t>
  </si>
  <si>
    <t>موقع الخدمة</t>
  </si>
  <si>
    <t>موقع الصفا</t>
  </si>
  <si>
    <t>موقع فارس 1</t>
  </si>
  <si>
    <t xml:space="preserve">موقع فلسطين 2 </t>
  </si>
  <si>
    <t xml:space="preserve">تجمع مواقع بدر الساحلي </t>
  </si>
  <si>
    <t xml:space="preserve">موقع انصار 12 الطيارة </t>
  </si>
  <si>
    <t>مشاعل الامل</t>
  </si>
  <si>
    <t>بغداد</t>
  </si>
  <si>
    <t>الكنز</t>
  </si>
  <si>
    <t>العائدين</t>
  </si>
  <si>
    <t>الوليد</t>
  </si>
  <si>
    <t>باب الخير2</t>
  </si>
  <si>
    <t>موقع مصعب ب</t>
  </si>
  <si>
    <t>موقع الشيخ عجلين أ</t>
  </si>
  <si>
    <t>اهل الشيشان</t>
  </si>
  <si>
    <t>العبير</t>
  </si>
  <si>
    <t>أرض أبو حصيرة</t>
  </si>
  <si>
    <t>مخيم الأمين محمد</t>
  </si>
  <si>
    <t xml:space="preserve"> موقع الامل</t>
  </si>
  <si>
    <t>ابو خضرة</t>
  </si>
  <si>
    <t>موقع ابو العيش</t>
  </si>
  <si>
    <t>موقع ابو علي مصطفى</t>
  </si>
  <si>
    <t xml:space="preserve">مخيم البحر </t>
  </si>
  <si>
    <t xml:space="preserve">مخيم الهيثم </t>
  </si>
  <si>
    <t xml:space="preserve">الكتيبة </t>
  </si>
  <si>
    <t xml:space="preserve">مخيم الخير </t>
  </si>
  <si>
    <t xml:space="preserve">مخيم مدرجات البحر </t>
  </si>
  <si>
    <t>مخيم المعتز</t>
  </si>
  <si>
    <t>مخيم المرأة الريفية</t>
  </si>
  <si>
    <t>الرضوان ٢</t>
  </si>
  <si>
    <t>السراج</t>
  </si>
  <si>
    <t xml:space="preserve">مدرسة الشيخ عجلين </t>
  </si>
  <si>
    <t>مجلس تشريعي</t>
  </si>
  <si>
    <t xml:space="preserve">مخيم الثقافة </t>
  </si>
  <si>
    <t>أنصار ١١</t>
  </si>
  <si>
    <t>المشتل</t>
  </si>
  <si>
    <t>مخيم المصري B13</t>
  </si>
  <si>
    <t xml:space="preserve">مخيم جنين </t>
  </si>
  <si>
    <t>مخيم قلعة الساحل 2</t>
  </si>
  <si>
    <t xml:space="preserve">مخيم خديجة </t>
  </si>
  <si>
    <t>ايواء الاوقاف</t>
  </si>
  <si>
    <t>موقع البرهام</t>
  </si>
  <si>
    <t>الحياة 2</t>
  </si>
  <si>
    <t>موقع الحلو</t>
  </si>
  <si>
    <t>الامام الشافعي</t>
  </si>
  <si>
    <t>الخنساء</t>
  </si>
  <si>
    <t>ارض المسحال</t>
  </si>
  <si>
    <t>مركز إيواء نادي النصر</t>
  </si>
  <si>
    <t>مخيم القادسية</t>
  </si>
  <si>
    <t>موقع الصامدين</t>
  </si>
  <si>
    <t>الشفا ١</t>
  </si>
  <si>
    <t>الشفاء2</t>
  </si>
  <si>
    <t>موقع التوحيد</t>
  </si>
  <si>
    <t>مخيم الوعد</t>
  </si>
  <si>
    <t>موقع أمان٢</t>
  </si>
  <si>
    <t>امان 3</t>
  </si>
  <si>
    <t>أرض ابو النمر</t>
  </si>
  <si>
    <t>موقع بسمة امل1</t>
  </si>
  <si>
    <t>موقع أرض السلام</t>
  </si>
  <si>
    <t>ارض بكر 2</t>
  </si>
  <si>
    <t>موقع الروضه</t>
  </si>
  <si>
    <t>موقع بكر1</t>
  </si>
  <si>
    <t>موقع بكرون</t>
  </si>
  <si>
    <t>موقع برج الشفاء</t>
  </si>
  <si>
    <t>موقع تشارا</t>
  </si>
  <si>
    <t>دار السلام</t>
  </si>
  <si>
    <t>موقع القرية البدوية</t>
  </si>
  <si>
    <t>غزتنا</t>
  </si>
  <si>
    <t>موقع حسنين</t>
  </si>
  <si>
    <t>موقع جسر الحياة</t>
  </si>
  <si>
    <t xml:space="preserve">موقع الميدان </t>
  </si>
  <si>
    <t>موقع مرتجى وحسان</t>
  </si>
  <si>
    <t>نبض العطاء</t>
  </si>
  <si>
    <t>موقع نور القرآن</t>
  </si>
  <si>
    <t xml:space="preserve">مركز رشاد الشوا </t>
  </si>
  <si>
    <t>رمال الوطن</t>
  </si>
  <si>
    <t>موقع الشفاء 3</t>
  </si>
  <si>
    <t>شهداء الزيتون</t>
  </si>
  <si>
    <t>موقع الشموع البيضاء</t>
  </si>
  <si>
    <t>موقع السوسي</t>
  </si>
  <si>
    <t>موقع الصمود ارض الغازي</t>
  </si>
  <si>
    <t>موقع يافا الصبرة</t>
  </si>
  <si>
    <t>موقع الزيتون</t>
  </si>
  <si>
    <t>السلامة</t>
  </si>
  <si>
    <t>عالم السلام</t>
  </si>
  <si>
    <t>زهرات فلسطين</t>
  </si>
  <si>
    <t>مخيم الهدية والسلامة</t>
  </si>
  <si>
    <t>موقع الشيخ عجلين - مقابل برج السوسي</t>
  </si>
  <si>
    <t>موقع المنطار</t>
  </si>
  <si>
    <t>موقع الزهراء 17</t>
  </si>
  <si>
    <t>الماء حي الزيتون</t>
  </si>
  <si>
    <t>موقع عباد الرحمن</t>
  </si>
  <si>
    <t>الابرار</t>
  </si>
  <si>
    <t>مركز إيواء العدل</t>
  </si>
  <si>
    <t>الازدهار</t>
  </si>
  <si>
    <t>العطاء</t>
  </si>
  <si>
    <t>العدل والاوقاف</t>
  </si>
  <si>
    <t>البركة 2</t>
  </si>
  <si>
    <t>مخيم الديوان</t>
  </si>
  <si>
    <t>تابع لمخيم الهدى</t>
  </si>
  <si>
    <t>راجعين</t>
  </si>
  <si>
    <t>تجمع مخيمات الرشيد</t>
  </si>
  <si>
    <t>الرؤيا</t>
  </si>
  <si>
    <t>الشيخ عجلين</t>
  </si>
  <si>
    <t>مخيم الشروق</t>
  </si>
  <si>
    <t>الجود</t>
  </si>
  <si>
    <t>مدرسة محفوظ النحناح الجزائري</t>
  </si>
  <si>
    <t>أرض الخير</t>
  </si>
  <si>
    <t>أرض الشرفا - الميناء</t>
  </si>
  <si>
    <t>مخيم السلمان</t>
  </si>
  <si>
    <t>موقع بيت لاهيا السيفا</t>
  </si>
  <si>
    <t xml:space="preserve">مخيم ديوان الموظفين </t>
  </si>
  <si>
    <t>ديوان الموظفين</t>
  </si>
  <si>
    <t>فلسطين المستقبل</t>
  </si>
  <si>
    <t>مخيم من أجل غزة</t>
  </si>
  <si>
    <t>كركوك الوفاء 3</t>
  </si>
  <si>
    <t>مدرسة محفوظ النحناح</t>
  </si>
  <si>
    <t>مخيم من اجل غزة</t>
  </si>
  <si>
    <t>مخيم رشيد الهدى</t>
  </si>
  <si>
    <t>سند1</t>
  </si>
  <si>
    <t>مخيم سان جون</t>
  </si>
  <si>
    <t>طيبة</t>
  </si>
  <si>
    <t>وطن</t>
  </si>
  <si>
    <t>مخيم القسطل</t>
  </si>
  <si>
    <t>اللحيدان</t>
  </si>
  <si>
    <t>مخيم الجمرك</t>
  </si>
  <si>
    <t xml:space="preserve">الصبرة مقابل المستشفي الأردني </t>
  </si>
  <si>
    <t>ايواء الامام الشافعي</t>
  </si>
  <si>
    <t>حمام السمرة</t>
  </si>
  <si>
    <t>مخيم السامر</t>
  </si>
  <si>
    <t>مخيم ابو المنذر</t>
  </si>
  <si>
    <t>مخيم العماوي</t>
  </si>
  <si>
    <t>الكفاح</t>
  </si>
  <si>
    <t>مخيم السيدة رقية</t>
  </si>
  <si>
    <t>مخيم الرياحين</t>
  </si>
  <si>
    <t>مخيم الرملة</t>
  </si>
  <si>
    <t>مخيم الاكراد</t>
  </si>
  <si>
    <t>مخيم الديرة البحري</t>
  </si>
  <si>
    <t>مخيم الفاتح</t>
  </si>
  <si>
    <t>مخيم المغني</t>
  </si>
  <si>
    <t>مخيم المنشية</t>
  </si>
  <si>
    <t>مخيم النور الطابون</t>
  </si>
  <si>
    <t>ميدان فلسطين</t>
  </si>
  <si>
    <t>مخيم المهد</t>
  </si>
  <si>
    <t>مخيم حي النصر</t>
  </si>
  <si>
    <t>مدرسة الزهرة</t>
  </si>
  <si>
    <t>مدرسة عبد الفتاح حمود</t>
  </si>
  <si>
    <t>مدرسة صلاح الدين</t>
  </si>
  <si>
    <t>مدرسة ابن الهيثم</t>
  </si>
  <si>
    <t>مخيم الرحمة</t>
  </si>
  <si>
    <t>مخيم ولاية سمائل[حفصة]</t>
  </si>
  <si>
    <t>مخيم حيدر عبد الشافي</t>
  </si>
  <si>
    <t>نازحين الشجاعية</t>
  </si>
  <si>
    <t>مخيم أرض الحسيني</t>
  </si>
  <si>
    <t>مدرسة الرملة</t>
  </si>
  <si>
    <t>مخيم التعاون 2</t>
  </si>
  <si>
    <t>مخيم جاد</t>
  </si>
  <si>
    <t>مخيم ارض الجرجاوي</t>
  </si>
  <si>
    <t>مخيم النصر الشمالي</t>
  </si>
  <si>
    <t>مخيم اهل الخير</t>
  </si>
  <si>
    <t>مخيم الرشيد والهدى</t>
  </si>
  <si>
    <t>مدرسة المديرية شرق غزة</t>
  </si>
  <si>
    <t>مخيم خزان الرمال</t>
  </si>
  <si>
    <t xml:space="preserve">الساحة داخل موقف السيارات </t>
  </si>
  <si>
    <t xml:space="preserve">الشجاعية موقف كراج الزهرة مقابل مركز شرطة الشجاعية </t>
  </si>
  <si>
    <t>مخيم انصار 6</t>
  </si>
  <si>
    <t>بنات  خانيونس الإعدادية أ</t>
  </si>
  <si>
    <t xml:space="preserve"> مصطفى حافظ الابتدائية المشتركة</t>
  </si>
  <si>
    <t xml:space="preserve">خانيونس الإعدادية المشتركة ( ج) </t>
  </si>
  <si>
    <t>ذكور خانيونس الإعدادية (أ)</t>
  </si>
  <si>
    <t>الطاهر</t>
  </si>
  <si>
    <t>اصايل</t>
  </si>
  <si>
    <t>مخيم المرزعة</t>
  </si>
  <si>
    <t>مخيم المتحابين</t>
  </si>
  <si>
    <t>مركز الاغا الطبي</t>
  </si>
  <si>
    <t>مخيم الفجر الشبابي الجديد</t>
  </si>
  <si>
    <t>قلعة الجنوب</t>
  </si>
  <si>
    <t>مخيم الشام</t>
  </si>
  <si>
    <t>مخيم الهلال</t>
  </si>
  <si>
    <t>رفح الأمل</t>
  </si>
  <si>
    <t>رفح السلام</t>
  </si>
  <si>
    <t>أرض البردويل</t>
  </si>
  <si>
    <t>مخيم ابو ذر الغفاري</t>
  </si>
  <si>
    <t>أقصى4</t>
  </si>
  <si>
    <t>أقصى5</t>
  </si>
  <si>
    <t>أقصى6</t>
  </si>
  <si>
    <t>مخيم باقون</t>
  </si>
  <si>
    <t>الفرا</t>
  </si>
  <si>
    <t>رفح الخير</t>
  </si>
  <si>
    <t>النخيل الاقليمي</t>
  </si>
  <si>
    <t xml:space="preserve">النخيل الاقليمي 2 </t>
  </si>
  <si>
    <t>المجد الاقليمي 1</t>
  </si>
  <si>
    <t>المجد 2</t>
  </si>
  <si>
    <t>المجد الاقليمي 3</t>
  </si>
  <si>
    <t>الوافي</t>
  </si>
  <si>
    <t xml:space="preserve">تجمع فش فرش 3 </t>
  </si>
  <si>
    <t>العهد</t>
  </si>
  <si>
    <t>تل الجنان</t>
  </si>
  <si>
    <t>أقصي 2</t>
  </si>
  <si>
    <t xml:space="preserve">الأسرة </t>
  </si>
  <si>
    <t>الامانة</t>
  </si>
  <si>
    <t xml:space="preserve">الامل والتفاؤل </t>
  </si>
  <si>
    <t>الايثار</t>
  </si>
  <si>
    <t xml:space="preserve">الجزيرةالعمري </t>
  </si>
  <si>
    <t>المختار أبو صالح</t>
  </si>
  <si>
    <t>موقع  اليمامة</t>
  </si>
  <si>
    <t>اليمامة</t>
  </si>
  <si>
    <t>موقع بغداد</t>
  </si>
  <si>
    <t>مخيم بهلول</t>
  </si>
  <si>
    <t>نور الرحمة</t>
  </si>
  <si>
    <t>تبة الريان</t>
  </si>
  <si>
    <t>وفاء الخير</t>
  </si>
  <si>
    <t>أقصى7</t>
  </si>
  <si>
    <t>أقصى9</t>
  </si>
  <si>
    <t>البركة 1</t>
  </si>
  <si>
    <t>الحق</t>
  </si>
  <si>
    <t xml:space="preserve"> الجورة </t>
  </si>
  <si>
    <t>مخيم الخزان</t>
  </si>
  <si>
    <t>المطاحن</t>
  </si>
  <si>
    <t>الملتقى</t>
  </si>
  <si>
    <t>النجوم</t>
  </si>
  <si>
    <t>مخيم الرياض</t>
  </si>
  <si>
    <t>التغريبة</t>
  </si>
  <si>
    <t>موقع طليعة</t>
  </si>
  <si>
    <t>مخيم الوحدة</t>
  </si>
  <si>
    <t>مخيم الزهور 2</t>
  </si>
  <si>
    <t>مخيم المصري A12</t>
  </si>
  <si>
    <t>مخيم المصري A13</t>
  </si>
  <si>
    <t xml:space="preserve"> بيت المال </t>
  </si>
  <si>
    <t>مدرسة حسن سلامة</t>
  </si>
  <si>
    <t>يافا</t>
  </si>
  <si>
    <t>ذكور خانيونس الابتدائية (هـ)</t>
  </si>
  <si>
    <t>مخيم الشباب والرياضة</t>
  </si>
  <si>
    <t>مخيم حمامة السلام الخامس</t>
  </si>
  <si>
    <t>الحاج</t>
  </si>
  <si>
    <t xml:space="preserve">موقع وطن </t>
  </si>
  <si>
    <t>الحرية 2</t>
  </si>
  <si>
    <t>الحرية 3</t>
  </si>
  <si>
    <t>الحرية 4</t>
  </si>
  <si>
    <t>الحرية 5</t>
  </si>
  <si>
    <t>الحرية 6</t>
  </si>
  <si>
    <t>الحياة رغم الالم 3</t>
  </si>
  <si>
    <t>الحياة رغم الألم 5</t>
  </si>
  <si>
    <t>السلام والنور</t>
  </si>
  <si>
    <t>الشهم</t>
  </si>
  <si>
    <t xml:space="preserve">الصابرين </t>
  </si>
  <si>
    <t>الصالحين</t>
  </si>
  <si>
    <t xml:space="preserve">العلا </t>
  </si>
  <si>
    <t>العلم</t>
  </si>
  <si>
    <t>المستقبل</t>
  </si>
  <si>
    <t>النضال 1</t>
  </si>
  <si>
    <t>اليرموك</t>
  </si>
  <si>
    <t>الماهر</t>
  </si>
  <si>
    <t>النضال 2</t>
  </si>
  <si>
    <t>اليرموك2</t>
  </si>
  <si>
    <t>النجمة</t>
  </si>
  <si>
    <t>اليرموك 1</t>
  </si>
  <si>
    <t>المعاذ</t>
  </si>
  <si>
    <t>اليقين</t>
  </si>
  <si>
    <t>ايلول</t>
  </si>
  <si>
    <t>أقصي 3</t>
  </si>
  <si>
    <t>إيواء جامعة الاقصي (أقصي 4 )</t>
  </si>
  <si>
    <t>بسمة امل القادسية</t>
  </si>
  <si>
    <t>جسور</t>
  </si>
  <si>
    <t>رمال الاحرار</t>
  </si>
  <si>
    <t>حلمي شعت</t>
  </si>
  <si>
    <t xml:space="preserve">سند </t>
  </si>
  <si>
    <t xml:space="preserve">رمال الوطن </t>
  </si>
  <si>
    <t>طبريا 2</t>
  </si>
  <si>
    <t>مخيم النور</t>
  </si>
  <si>
    <t>زيدان</t>
  </si>
  <si>
    <t xml:space="preserve">بني عامر </t>
  </si>
  <si>
    <t>شريان الحياة</t>
  </si>
  <si>
    <t>رمال الصمود</t>
  </si>
  <si>
    <t>الجنان الخير</t>
  </si>
  <si>
    <t>زومي ومريم</t>
  </si>
  <si>
    <t>مخيم بوابة الشمال</t>
  </si>
  <si>
    <t>رمال طيبة</t>
  </si>
  <si>
    <t>بيت لاهيا القواسمة</t>
  </si>
  <si>
    <t>جورة السلام الغد</t>
  </si>
  <si>
    <t xml:space="preserve">شرق المواصي </t>
  </si>
  <si>
    <t>مخيم صمود الشمال</t>
  </si>
  <si>
    <t xml:space="preserve">نسائم الخير </t>
  </si>
  <si>
    <t>أقصي 8</t>
  </si>
  <si>
    <t>موقع العز جباليا النزلة</t>
  </si>
  <si>
    <t>موقع شعشاعة</t>
  </si>
  <si>
    <t>الاسراء1</t>
  </si>
  <si>
    <t xml:space="preserve">موقع عائشة </t>
  </si>
  <si>
    <t>موقع ابو الكاس</t>
  </si>
  <si>
    <t>مخيم الزين</t>
  </si>
  <si>
    <t>الحلو 2</t>
  </si>
  <si>
    <t>الحلو 1</t>
  </si>
  <si>
    <t>موقع الاندلس</t>
  </si>
  <si>
    <t>موقع الحياة والأمل</t>
  </si>
  <si>
    <t>موقع القسطينة</t>
  </si>
  <si>
    <t>مواقع متفرقة - الشامي</t>
  </si>
  <si>
    <t xml:space="preserve">موقع الرحمة </t>
  </si>
  <si>
    <t>موقع الصفطاوي</t>
  </si>
  <si>
    <t>موقع السلطان</t>
  </si>
  <si>
    <t>تجمع الخلفاء</t>
  </si>
  <si>
    <t>مخيم الليبرات</t>
  </si>
  <si>
    <t>موقع مدرسة برير</t>
  </si>
  <si>
    <t>دار العزة</t>
  </si>
  <si>
    <t>موقع ليالينا</t>
  </si>
  <si>
    <t>موقع منطقة معاذ</t>
  </si>
  <si>
    <t>موقع مدرسة أسامة بن زيد</t>
  </si>
  <si>
    <t xml:space="preserve">الانسان سلسبيل الحياة </t>
  </si>
  <si>
    <t>موقع بدر</t>
  </si>
  <si>
    <t>مخيم أبي بن كعب</t>
  </si>
  <si>
    <t>موقع تجمع أبو الحصين</t>
  </si>
  <si>
    <t>مخيم أبو بسام السلطان</t>
  </si>
  <si>
    <t>أهل الخير</t>
  </si>
  <si>
    <t>مخيم الشهيد محمد صالح البردويل</t>
  </si>
  <si>
    <t>تجمع الدفاع المدني</t>
  </si>
  <si>
    <t>الاسراء2</t>
  </si>
  <si>
    <t>تجمع الاتصالات</t>
  </si>
  <si>
    <t>مخيم الفلاح</t>
  </si>
  <si>
    <t>مخيم الفاروق</t>
  </si>
  <si>
    <t>تجمع الفاروق</t>
  </si>
  <si>
    <t>موقع الفوز</t>
  </si>
  <si>
    <t>تجمع الهوابر</t>
  </si>
  <si>
    <t>تجمع النور المبين</t>
  </si>
  <si>
    <t>مخيم النعمان</t>
  </si>
  <si>
    <t>القرعة الخامسة</t>
  </si>
  <si>
    <t>مخيم القططي</t>
  </si>
  <si>
    <t>مخيم الربيع 2 - الأمل بالحياة</t>
  </si>
  <si>
    <t xml:space="preserve"> الربيع</t>
  </si>
  <si>
    <t>موقع الرحمة 2</t>
  </si>
  <si>
    <t>تجمع الرنتيسي</t>
  </si>
  <si>
    <t>تجمع الصفا</t>
  </si>
  <si>
    <t>مخيم الصفا</t>
  </si>
  <si>
    <t>ارض السلام</t>
  </si>
  <si>
    <t>تجمع الصالحين الشرقي</t>
  </si>
  <si>
    <t>مخيم الصالحين الغربي</t>
  </si>
  <si>
    <t>تجمع صالة الطيب</t>
  </si>
  <si>
    <t>مخيم الزهراء</t>
  </si>
  <si>
    <t>مخيم الزواري</t>
  </si>
  <si>
    <t>أصلان</t>
  </si>
  <si>
    <t>تجمع بئر النعجة</t>
  </si>
  <si>
    <t>مركز ايواء بيت لاهيا</t>
  </si>
  <si>
    <t>بيت لاهيا تجمعنا</t>
  </si>
  <si>
    <t>مخيم برير</t>
  </si>
  <si>
    <t>حي مركز وسط البلد بيت لاهيا</t>
  </si>
  <si>
    <t>موقع دار العزة</t>
  </si>
  <si>
    <t>داري برو</t>
  </si>
  <si>
    <t>العطاطرة</t>
  </si>
  <si>
    <t>الفيروز A12</t>
  </si>
  <si>
    <t>أصدقاء القلوب الرحيمة</t>
  </si>
  <si>
    <t>مخيم حبيب الرحمن</t>
  </si>
  <si>
    <t>مخيم مدرسة حفصة</t>
  </si>
  <si>
    <t>مدرسة حليمة السعدية</t>
  </si>
  <si>
    <t>مخيم حمزة</t>
  </si>
  <si>
    <t>تجمع احسان</t>
  </si>
  <si>
    <t>تجمع جمعة</t>
  </si>
  <si>
    <t>مخيم كفر قرع</t>
  </si>
  <si>
    <t>مخيم الماريوت</t>
  </si>
  <si>
    <t>المصري 16</t>
  </si>
  <si>
    <t>مخيم المشروع القديم</t>
  </si>
  <si>
    <t>مدرسة أسامة بن زيد</t>
  </si>
  <si>
    <t>تجمع مسجد عثمان</t>
  </si>
  <si>
    <t>مخيم مدرسة عثمان</t>
  </si>
  <si>
    <t>مخيم قتيبة</t>
  </si>
  <si>
    <t>تجمع أل ريحان</t>
  </si>
  <si>
    <t>رحماء</t>
  </si>
  <si>
    <t>مدرسة سعد بن ابي وقاص</t>
  </si>
  <si>
    <t>سلاطين1</t>
  </si>
  <si>
    <t>تجمع صامدون</t>
  </si>
  <si>
    <t>تجمع سوار</t>
  </si>
  <si>
    <t>تجمع طيبة</t>
  </si>
  <si>
    <t>مربع الوفاق</t>
  </si>
  <si>
    <t>مخيم اليمان</t>
  </si>
  <si>
    <t xml:space="preserve">اليمن السعيد 1 </t>
  </si>
  <si>
    <t>اليمن السعيد 2</t>
  </si>
  <si>
    <t>الديرة</t>
  </si>
  <si>
    <t>مخيم الهوابر</t>
  </si>
  <si>
    <t>موقع المحبة أرض حبوش</t>
  </si>
  <si>
    <t>موقع مدرسة سعد بن أبي وقاص</t>
  </si>
  <si>
    <t>الكرامة والسمود</t>
  </si>
  <si>
    <t>موقع الأحرار</t>
  </si>
  <si>
    <t>مخيم دهب</t>
  </si>
  <si>
    <t>موقع المنارة</t>
  </si>
  <si>
    <t>أجيال 2</t>
  </si>
  <si>
    <t>الشروق</t>
  </si>
  <si>
    <t>الكرامة الاقليمي</t>
  </si>
  <si>
    <t>نسيم السلطان</t>
  </si>
  <si>
    <t>أقصي 1</t>
  </si>
  <si>
    <t>No SMA</t>
  </si>
  <si>
    <t>HEKS EPER</t>
  </si>
  <si>
    <t>GazaAsh Sheikh RadwanNo SMA</t>
  </si>
  <si>
    <t>GazaAt TuffahNo SMA</t>
  </si>
  <si>
    <t>GazaAd DarrajPARC</t>
  </si>
  <si>
    <t>GazaNorthern RemalPARC</t>
  </si>
  <si>
    <t>GazaNorthern RemalCESVI</t>
  </si>
  <si>
    <t>GazaNorthern RemalNo SMA</t>
  </si>
  <si>
    <t>GazaAsh Shati' CampUNRWA</t>
  </si>
  <si>
    <t>GazaNorthern RemalUNRWA</t>
  </si>
  <si>
    <t>GazaAz ZaitounUNRWA</t>
  </si>
  <si>
    <t>GazaAn Naser-GazaUNRWA</t>
  </si>
  <si>
    <t>GazaGaza Old CityUNRWA</t>
  </si>
  <si>
    <t>GazaSouthern RemalPARC</t>
  </si>
  <si>
    <t>GazaSouthern RemalUNRWA</t>
  </si>
  <si>
    <t>GazaSouthern RemalCESVI</t>
  </si>
  <si>
    <t>GazaAd DarrajNo SMA</t>
  </si>
  <si>
    <t>GazaSouthern RemalNo SMA</t>
  </si>
  <si>
    <t>GazaGaza Old CityNo SMA</t>
  </si>
  <si>
    <t>GazaAsh Shuja'iyeh - IjdeedehNo SMA</t>
  </si>
  <si>
    <t>GazaAn Naser-GazaNo SMA</t>
  </si>
  <si>
    <t>GazaAs SabraPHC</t>
  </si>
  <si>
    <t>GazaAn Naser-GazaPHC</t>
  </si>
  <si>
    <t>GazaNorthern RemalPHC</t>
  </si>
  <si>
    <t>GazaAd DarrajNRC</t>
  </si>
  <si>
    <t>GazaAn Naser-GazaBLDA</t>
  </si>
  <si>
    <t>GazaSouthern RemalPHC</t>
  </si>
  <si>
    <t>GazaAz ZaitounNo SMA</t>
  </si>
  <si>
    <t>GazaTal El HawaNo SMA</t>
  </si>
  <si>
    <t>GazaAn Naser-GazaFAFD</t>
  </si>
  <si>
    <t>GazaTal El HawaUNRWA</t>
  </si>
  <si>
    <t>GazaAsh Sheikh 'IjleenNRC</t>
  </si>
  <si>
    <t>GazaAd DarrajFAFD</t>
  </si>
  <si>
    <t>GazaAsh Sheikh RadwanPHC</t>
  </si>
  <si>
    <t>GazaAs SabraNo SMA</t>
  </si>
  <si>
    <t>GazaNorthern RemalNRC</t>
  </si>
  <si>
    <t>GazaSouthern RemalDRC</t>
  </si>
  <si>
    <t>GazaTal El HawaCESVI</t>
  </si>
  <si>
    <t>GazaAn Naser-GazaPARC</t>
  </si>
  <si>
    <t>GazaAz ZaitounFAFD</t>
  </si>
  <si>
    <t>GazaAsh Shati' CampNo SMA</t>
  </si>
  <si>
    <t>GazaAsh Sheikh 'IjleenNo SMA</t>
  </si>
  <si>
    <t>GazaAz ZaitounDRC</t>
  </si>
  <si>
    <t>GazaSouthern RemalNRC</t>
  </si>
  <si>
    <t>GazaTal El HawaNRC</t>
  </si>
  <si>
    <t>GazaAn Naser-GazaDRC</t>
  </si>
  <si>
    <t>GazaAsh Sheikh 'IjleenPHC</t>
  </si>
  <si>
    <t>GazaAd DarrajPHC</t>
  </si>
  <si>
    <t>GazaSouthern RemalHEKS EPER</t>
  </si>
  <si>
    <t>GazaAz Zahra'aNo SMA</t>
  </si>
  <si>
    <t>GazaAd DarrajDRC</t>
  </si>
  <si>
    <t>GazaAs SabraPARC</t>
  </si>
  <si>
    <t>North GazaAl KaramehNo SMA</t>
  </si>
  <si>
    <t>GazaSouthern RemalBLDA</t>
  </si>
  <si>
    <t>GazaNorthern RemalFAFD</t>
  </si>
  <si>
    <t>RafahAl Mawasi (east)No SMA</t>
  </si>
  <si>
    <t>North GazaAr RawdahNo SMA</t>
  </si>
  <si>
    <t>North GazaJabalya CampUNRWA</t>
  </si>
  <si>
    <t>North GazaAlkhazanNo SMA</t>
  </si>
  <si>
    <t>North GazaIbad Ar-RahmanNo SMA</t>
  </si>
  <si>
    <t>North GazaAl Kur'a El KhamsaNo SMA</t>
  </si>
  <si>
    <t>North GazaJabalya CampNo SMA</t>
  </si>
  <si>
    <t>North GazaIbad Ar-RahmanUNRWA</t>
  </si>
  <si>
    <t>North GazaAl Jam'iaNo SMA</t>
  </si>
  <si>
    <t>North GazaGhobonNo SMA</t>
  </si>
  <si>
    <t>North GazaAn NahdahPARC</t>
  </si>
  <si>
    <t>North GazaAz ZohourNo SMA</t>
  </si>
  <si>
    <t>North GazaAsh Shaima'aNo SMA</t>
  </si>
  <si>
    <t>North GazaMashroo Amer wal Isra'aNo SMA</t>
  </si>
  <si>
    <t>North GazaAl KaramehBLDA</t>
  </si>
  <si>
    <t>North GazaJabalya El BaladNo SMA</t>
  </si>
  <si>
    <t>North GazaAl SalateenNo SMA</t>
  </si>
  <si>
    <t>North GazaTal Az-Za'atarNo SMA</t>
  </si>
  <si>
    <t>North GazaIbad Ar-RahmanBLDA</t>
  </si>
  <si>
    <t>North GazaJabalya CampDRC</t>
  </si>
  <si>
    <t>North GazaAl KaramehDRC</t>
  </si>
  <si>
    <t>North GazaAn NahdahNo SMA</t>
  </si>
  <si>
    <t>North GazaAn NahdahNRC</t>
  </si>
  <si>
    <t>North GazaAl ManshiehNo SMA</t>
  </si>
  <si>
    <t>North GazaAz ZohourDRC</t>
  </si>
  <si>
    <t>RafahAl MuharraratNo SMA</t>
  </si>
  <si>
    <t>RafahAl MuharraratDRC</t>
  </si>
  <si>
    <t>CommunalSpaces</t>
  </si>
  <si>
    <t>Safe Spaces</t>
  </si>
  <si>
    <t>Child-Friendly Spaces</t>
  </si>
  <si>
    <t>Committee Spaces</t>
  </si>
  <si>
    <t>Community Resource Spaces</t>
  </si>
  <si>
    <t>Other (Describe in Column L)</t>
  </si>
  <si>
    <t>ImprovementType</t>
  </si>
  <si>
    <t>Construction</t>
  </si>
  <si>
    <t>Repair</t>
  </si>
  <si>
    <t>Cleaning Drainage</t>
  </si>
  <si>
    <t>Slope Stabilization</t>
  </si>
  <si>
    <t>Indicator Keyword</t>
  </si>
  <si>
    <t>List Name</t>
  </si>
  <si>
    <t>Communal spaces established</t>
  </si>
  <si>
    <t>improvements made in site planning</t>
  </si>
  <si>
    <t>Cash for Work for site maintenance</t>
  </si>
  <si>
    <t>RiskType</t>
  </si>
  <si>
    <t>Fire</t>
  </si>
  <si>
    <t>Flood</t>
  </si>
  <si>
    <t>Extreme Heat</t>
  </si>
  <si>
    <t>Infestation</t>
  </si>
  <si>
    <t>Landslide</t>
  </si>
  <si>
    <t>Sanitation</t>
  </si>
  <si>
    <t>Waster</t>
  </si>
  <si>
    <t>Other (Describe)</t>
  </si>
  <si>
    <t>site care and maintenance</t>
  </si>
  <si>
    <t>BlankList</t>
  </si>
  <si>
    <t xml:space="preserve"> </t>
  </si>
  <si>
    <t>Specification
(Select from Dropdown)</t>
  </si>
  <si>
    <t>Additional Remarks</t>
  </si>
  <si>
    <t>Fire, Flood, Extreme Heat, Infestation, Landslide, Sanitation, Waster, Other (Describe), Not Applicable</t>
  </si>
  <si>
    <t>Safe spaces, Child-friendly spaces, Committee spaces, Community resource spaces, Other (describe)</t>
  </si>
  <si>
    <r>
      <t xml:space="preserve">Site Name
</t>
    </r>
    <r>
      <rPr>
        <sz val="8"/>
        <color rgb="FFFFFF00"/>
        <rFont val="Calibri"/>
        <family val="2"/>
        <scheme val="minor"/>
      </rPr>
      <t>(Select from Dropdown, or type name and code if not found)</t>
    </r>
  </si>
  <si>
    <t>Not applicable</t>
  </si>
  <si>
    <t>Additional options</t>
  </si>
  <si>
    <t>Indicator Purpose</t>
  </si>
  <si>
    <t>DEB3284</t>
  </si>
  <si>
    <t>DEB4571</t>
  </si>
  <si>
    <t>DEB4896</t>
  </si>
  <si>
    <t>DEB4911</t>
  </si>
  <si>
    <t>GZA0050</t>
  </si>
  <si>
    <t>GZA4381</t>
  </si>
  <si>
    <t>GZA4931</t>
  </si>
  <si>
    <t>GZA5051</t>
  </si>
  <si>
    <t>GZA5077</t>
  </si>
  <si>
    <t>GZA5114</t>
  </si>
  <si>
    <t>GZA5118</t>
  </si>
  <si>
    <t>GZA5122</t>
  </si>
  <si>
    <t>GZA5127</t>
  </si>
  <si>
    <t>GZA5132</t>
  </si>
  <si>
    <t>GZA5143</t>
  </si>
  <si>
    <t>GZA5147</t>
  </si>
  <si>
    <t>GZA5148</t>
  </si>
  <si>
    <t>GZA5156</t>
  </si>
  <si>
    <t>GZA5171</t>
  </si>
  <si>
    <t>GZA5180</t>
  </si>
  <si>
    <t>GZA5206</t>
  </si>
  <si>
    <t>GZA5214</t>
  </si>
  <si>
    <t>GZA5225</t>
  </si>
  <si>
    <t>GZA5247</t>
  </si>
  <si>
    <t>GZA5256</t>
  </si>
  <si>
    <t>GZA5257</t>
  </si>
  <si>
    <t>GZA5270</t>
  </si>
  <si>
    <t>GZA5287</t>
  </si>
  <si>
    <t>GZA5290</t>
  </si>
  <si>
    <t>GZA5308</t>
  </si>
  <si>
    <t>GZA5309</t>
  </si>
  <si>
    <t>GZA5317</t>
  </si>
  <si>
    <t>GZA5464</t>
  </si>
  <si>
    <t>GZA5465</t>
  </si>
  <si>
    <t>GZA5466</t>
  </si>
  <si>
    <t>KYS2060</t>
  </si>
  <si>
    <t>KYS3249</t>
  </si>
  <si>
    <t>KYS4510</t>
  </si>
  <si>
    <t>KYS4584</t>
  </si>
  <si>
    <t>KYS5197</t>
  </si>
  <si>
    <t>KYS5234</t>
  </si>
  <si>
    <t>NGZ5242</t>
  </si>
  <si>
    <t>NGZ5249</t>
  </si>
  <si>
    <t>NGZ5441</t>
  </si>
  <si>
    <t>RFH4994</t>
  </si>
  <si>
    <t>RFH5106</t>
  </si>
  <si>
    <t>Al-Hasoon</t>
  </si>
  <si>
    <t>Wesam</t>
  </si>
  <si>
    <t>Egyptian site 4</t>
  </si>
  <si>
    <t>Israa camp 2</t>
  </si>
  <si>
    <t>Al Aqqad Site</t>
  </si>
  <si>
    <t>Alburaq 2</t>
  </si>
  <si>
    <t>وسام</t>
  </si>
  <si>
    <t xml:space="preserve"> المخيم المصري 4</t>
  </si>
  <si>
    <t>مدرسة فلتر المشتركة</t>
  </si>
  <si>
    <t xml:space="preserve">Abu Mishaal </t>
  </si>
  <si>
    <t>0</t>
  </si>
  <si>
    <t>الصحوة</t>
  </si>
  <si>
    <t>السلوان</t>
  </si>
  <si>
    <t>موقع الاحبة</t>
  </si>
  <si>
    <t>اسيا</t>
  </si>
  <si>
    <t>مركز إيواء الشارقة</t>
  </si>
  <si>
    <t>المجمع الإيطالي</t>
  </si>
  <si>
    <t>مخيم الاسراء2</t>
  </si>
  <si>
    <t>مدينة عرفات</t>
  </si>
  <si>
    <t>العمل التعاوني</t>
  </si>
  <si>
    <t>موقع حارتنا</t>
  </si>
  <si>
    <t>خادمات القدس</t>
  </si>
  <si>
    <t>مخيم اهل الشيشان</t>
  </si>
  <si>
    <t>كير فور</t>
  </si>
  <si>
    <t>مخيم الرضوان</t>
  </si>
  <si>
    <t>مخيم ارض المشتل (ارض الغول)</t>
  </si>
  <si>
    <t>انا انسان</t>
  </si>
  <si>
    <t>مخيم قلعة الساحل</t>
  </si>
  <si>
    <t>رشاد الشوا</t>
  </si>
  <si>
    <t>مخيم زهور السلام</t>
  </si>
  <si>
    <t>الحرية 18 - اللجنة المصرية</t>
  </si>
  <si>
    <t>الجزيرة</t>
  </si>
  <si>
    <t>ذكور خانيونس الإعدادية (ب)</t>
  </si>
  <si>
    <t>موقع العقاد</t>
  </si>
  <si>
    <t>البراق 2</t>
  </si>
  <si>
    <t>عادل العبادلة</t>
  </si>
  <si>
    <t>مخيم النجاة</t>
  </si>
  <si>
    <t>موقع بني سهيلا</t>
  </si>
  <si>
    <t>الكتيبة</t>
  </si>
  <si>
    <t>دير الاسد</t>
  </si>
  <si>
    <t>الحياة رغم الالم 1</t>
  </si>
  <si>
    <t>موقع حي الغابون</t>
  </si>
  <si>
    <t>مخيم حق للاغاثة الإنسانية</t>
  </si>
  <si>
    <t>موقع التفوق</t>
  </si>
  <si>
    <t>موقع عكاشة القصاصيب</t>
  </si>
  <si>
    <t>سلاطين 2</t>
  </si>
  <si>
    <t>مخيم زينب الوزير</t>
  </si>
  <si>
    <t>Deir Al-Balah</t>
  </si>
  <si>
    <t>Khan Younis</t>
  </si>
  <si>
    <t>Az Zohour- Rafah</t>
  </si>
  <si>
    <t>Deir Al-BalahAl BassaUNRWA</t>
  </si>
  <si>
    <t>Deir Al-BalahDeir al Balah CampUNRWA</t>
  </si>
  <si>
    <t>Deir Al-BalahAl HikrUNRWA</t>
  </si>
  <si>
    <t>Deir Al-BalahAn NuseiratUNRWA</t>
  </si>
  <si>
    <t>Deir Al-BalahAn Nuseirat CampUNRWA</t>
  </si>
  <si>
    <t>Deir Al-BalahAl FarouqUNRWA</t>
  </si>
  <si>
    <t>Deir Al-BalahAl Bureij CampUNRWA</t>
  </si>
  <si>
    <t>Deir Al-BalahAl Maghazi CampUNRWA</t>
  </si>
  <si>
    <t>Deir Al-BalahYafaBLDA</t>
  </si>
  <si>
    <t>Deir Al-BalahAs SalamNo SMA</t>
  </si>
  <si>
    <t>Deir Al-BalahAr RasheedACTED</t>
  </si>
  <si>
    <t>Deir Al-BalahDeir Al Balah (south)No SMA</t>
  </si>
  <si>
    <t>Deir Al-BalahAl MaghaziNo SMA</t>
  </si>
  <si>
    <t>Deir Al-BalahAl Balad0</t>
  </si>
  <si>
    <t>Deir Al-BalahAl BaladBLDA</t>
  </si>
  <si>
    <t>Deir Al-BalahAl HikrCESVI</t>
  </si>
  <si>
    <t>Deir Al-BalahAl HikrBLDA</t>
  </si>
  <si>
    <t>Deir Al-BalahAl BirkehNo SMA</t>
  </si>
  <si>
    <t>Deir Al-BalahDeir Al Balah (east)No SMA</t>
  </si>
  <si>
    <t>Deir Al-BalahTal Az-ZuhourNo SMA</t>
  </si>
  <si>
    <t>Deir Al-BalahAn NuseiratNo SMA</t>
  </si>
  <si>
    <t>Deir Al-BalahAn Nuseirat CampNo SMA</t>
  </si>
  <si>
    <t>Deir Al-BalahAl HikrNo SMA</t>
  </si>
  <si>
    <t>Deir Al-BalahAl BassaNo SMA</t>
  </si>
  <si>
    <t>Deir Al-BalahAnsarNo SMA</t>
  </si>
  <si>
    <t>Deir Al-BalahAs SahabahNRC</t>
  </si>
  <si>
    <t>Deir Al-BalahAl BaladNo SMA</t>
  </si>
  <si>
    <t>Deir Al-BalahAr RasheedNo SMA</t>
  </si>
  <si>
    <t>Deir Al-BalahAl BassaACTED</t>
  </si>
  <si>
    <t>Deir Al-BalahAl AwdaNo SMA</t>
  </si>
  <si>
    <t>Deir Al-BalahAs SalahNo SMA</t>
  </si>
  <si>
    <t>Deir Al-BalahAl BrukPARC</t>
  </si>
  <si>
    <t>Deir Al-BalahAl BrukNo SMA</t>
  </si>
  <si>
    <t>Deir Al-BalahAs SiddeqNo SMA</t>
  </si>
  <si>
    <t>Deir Al-BalahDeir Al Balah (south)BLDA</t>
  </si>
  <si>
    <t>Deir Al-BalahAr RasheedNRC</t>
  </si>
  <si>
    <t>Deir Al-BalahAs SahabahNo SMA</t>
  </si>
  <si>
    <t>Deir Al-BalahAn NuseiratFAFD</t>
  </si>
  <si>
    <t>Deir Al-BalahAs SamahNo SMA</t>
  </si>
  <si>
    <t>Deir Al-BalahDeir al Balah CampNo SMA</t>
  </si>
  <si>
    <t>Deir Al-BalahDeir Al Balah (south)0</t>
  </si>
  <si>
    <t>Deir Al-BalahDeir Al Balah (south)NRC</t>
  </si>
  <si>
    <t>Deir Al-BalahDeir Al Balah (south)PARC</t>
  </si>
  <si>
    <t>Deir Al-BalahJa'afarawiNo SMA</t>
  </si>
  <si>
    <t>Deir Al-BalahAl BrukFAFD</t>
  </si>
  <si>
    <t>Deir Al-BalahAn NuseiratNRC</t>
  </si>
  <si>
    <t>Deir Al-BalahYafaNo SMA</t>
  </si>
  <si>
    <t>Deir Al-BalahAl FarouqNo SMA</t>
  </si>
  <si>
    <t>Deir Al-BalahAl-LouhNo SMA</t>
  </si>
  <si>
    <t>Deir Al-BalahAn NuseiratCESVI</t>
  </si>
  <si>
    <t>Deir Al-BalahAl BureijHEKS EPER</t>
  </si>
  <si>
    <t>Deir Al-BalahAs SamahCESVI</t>
  </si>
  <si>
    <t>Deir Al-BalahAl BaladFAFD</t>
  </si>
  <si>
    <t>Deir Al-BalahAl AwdaNRC</t>
  </si>
  <si>
    <t>Deir Al-BalahAr RahmehNo SMA</t>
  </si>
  <si>
    <t>Deir Al-BalahAs SahabahCESVI</t>
  </si>
  <si>
    <t>Deir Al-BalahAl AmalNo SMA</t>
  </si>
  <si>
    <t>Deir Al-BalahDeir Al Balah (south)CESVI</t>
  </si>
  <si>
    <t>Deir Al-BalahAs SalahFAFD</t>
  </si>
  <si>
    <t>Deir Al-BalahAn Nuseirat CampNRC</t>
  </si>
  <si>
    <t>Deir Al-BalahAs Salam0</t>
  </si>
  <si>
    <t>Deir Al-BalahAl BirkehPARC</t>
  </si>
  <si>
    <t>Deir Al-BalahDeir Al Balah (south)MAAN</t>
  </si>
  <si>
    <t>Deir Al-BalahAl BassaMAAN</t>
  </si>
  <si>
    <t>Deir Al-BalahAs SamahNRC</t>
  </si>
  <si>
    <t>Deir Al-BalahAs SahabahMAAN</t>
  </si>
  <si>
    <t>Deir Al-BalahSawarkehNo SMA</t>
  </si>
  <si>
    <t>Deir Al-BalahAs SiddeqNRC</t>
  </si>
  <si>
    <t>Deir Al-BalahAl BaladMAAN</t>
  </si>
  <si>
    <t>Deir Al-BalahAl BureijFADE</t>
  </si>
  <si>
    <t>Deir Al-BalahAl BureijNo SMA</t>
  </si>
  <si>
    <t>Deir Al-BalahAn NuseiratFADE</t>
  </si>
  <si>
    <t>Deir Al-BalahAl BirkehMAAN</t>
  </si>
  <si>
    <t>Deir Al-BalahAr RasheedFAFD</t>
  </si>
  <si>
    <t>Deir Al-BalahDeir Al Balah (south)FAFD</t>
  </si>
  <si>
    <t>Deir Al-BalahAl BirkehBLDA</t>
  </si>
  <si>
    <t>Deir Al-BalahAl BureijBLDA</t>
  </si>
  <si>
    <t>Deir Al-BalahAs SahabahBLDA</t>
  </si>
  <si>
    <t>Deir Al-BalahAl Bureij CampNo SMA</t>
  </si>
  <si>
    <t>Deir Al-BalahAn NuseiratACTED</t>
  </si>
  <si>
    <t>Deir Al-BalahAn NuseiratHEKS EPER</t>
  </si>
  <si>
    <t>Deir Al-BalahSalah Ad-DinNo SMA</t>
  </si>
  <si>
    <t>Deir Al-BalahAs SafaNo SMA</t>
  </si>
  <si>
    <t>GazaNorthern RemalACTED</t>
  </si>
  <si>
    <t>GazaAd DarrajACTED</t>
  </si>
  <si>
    <t>GazaAs SabraNRC</t>
  </si>
  <si>
    <t>GazaAsh Sheikh 'IjleenDRC</t>
  </si>
  <si>
    <t>GazaAz Zahra'a (north)No SMA</t>
  </si>
  <si>
    <t>Khan YounisAt TahrirNo SMA</t>
  </si>
  <si>
    <t>Khan YounisAl MawasiACTED</t>
  </si>
  <si>
    <t>Khan YounisAl MawasiNo SMA</t>
  </si>
  <si>
    <t>Khan YounisAt TahrirACTED</t>
  </si>
  <si>
    <t>Khan YounisAl Jala'aNo SMA</t>
  </si>
  <si>
    <t>Khan YounisAl MahattahNo SMA</t>
  </si>
  <si>
    <t>Khan YounisKhan Yunis CampNo SMA</t>
  </si>
  <si>
    <t>Khan YounisAl AmalNo SMA</t>
  </si>
  <si>
    <t>Khan YounisAl MawasiNRC</t>
  </si>
  <si>
    <t>Khan YounisAl MawasiPHC</t>
  </si>
  <si>
    <t>Khan YounisAt TahrirNRC</t>
  </si>
  <si>
    <t>Khan YounisKhan Yunis CampUNRWA</t>
  </si>
  <si>
    <t>Khan YounisBani Suheila (north)No SMA</t>
  </si>
  <si>
    <t>Khan YounisQizan Abu RashwanNo SMA</t>
  </si>
  <si>
    <t>Khan YounisAt TahrirCESVI</t>
  </si>
  <si>
    <t>Khan YounisAn NaserNo SMA</t>
  </si>
  <si>
    <t>Khan YounisAl KateebehNo SMA</t>
  </si>
  <si>
    <t>Khan YounisBani SuheilaNo SMA</t>
  </si>
  <si>
    <t>Khan YounisAl AmalUNRWA</t>
  </si>
  <si>
    <t>Khan YounisAl Qarara (west)ACTED</t>
  </si>
  <si>
    <t>Khan YounisBani Suheila (east)No SMA</t>
  </si>
  <si>
    <t>Khan YounisBatn As-SameenNo SMA</t>
  </si>
  <si>
    <t>Khan YounisBani Suheila (south)No SMA</t>
  </si>
  <si>
    <t>Khan YounisAl Jala'aACTED</t>
  </si>
  <si>
    <t>Khan YounisAl Qarara (west)No SMA</t>
  </si>
  <si>
    <t>Khan Younis'Abasan al KabiraNo SMA</t>
  </si>
  <si>
    <t>Khan YounisJourat Al-LootNo SMA</t>
  </si>
  <si>
    <t>Khan YounisKhan Yunis CampNRC</t>
  </si>
  <si>
    <t>Khan YounisAn NaserNRC</t>
  </si>
  <si>
    <t>Khan YounisAl MawasiCESVI</t>
  </si>
  <si>
    <t>Khan YounisAl Qarara (west)PARC</t>
  </si>
  <si>
    <t>Khan YounisAn NaserMAAN</t>
  </si>
  <si>
    <t>Khan YounisAl Qarara (west)CESVI</t>
  </si>
  <si>
    <t>Khan YounisAl MawasiMAAN</t>
  </si>
  <si>
    <t>Khan YounisAl QararaPARC</t>
  </si>
  <si>
    <t>Khan YounisAl MawasiPARC</t>
  </si>
  <si>
    <t>Khan YounisAl Jala'aPARC</t>
  </si>
  <si>
    <t>Khan YounisAl MawasiDRC</t>
  </si>
  <si>
    <t>Khan YounisAl Qarara (west)PHC</t>
  </si>
  <si>
    <t>North GazaAz ZohourBLDA</t>
  </si>
  <si>
    <t>North GazaIbad Ar-RahmanDRC</t>
  </si>
  <si>
    <t>North GazaAn NahdahDRC</t>
  </si>
  <si>
    <t>RafahAz Zohour- RafahNo 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</si>
</sst>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 Narrow"/>
      <family val="2"/>
    </font>
    <font>
      <sz val="11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FFFF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FF00"/>
      <name val="Calibri"/>
      <family val="2"/>
      <scheme val="minor"/>
    </font>
    <font>
      <sz val="9"/>
      <color rgb="FFFFFF00"/>
      <name val="Calibri"/>
      <family val="2"/>
      <scheme val="minor"/>
    </font>
    <font>
      <b/>
      <sz val="9"/>
      <color rgb="FFFFFF00"/>
      <name val="Calibri"/>
      <family val="2"/>
      <scheme val="minor"/>
    </font>
    <font>
      <i/>
      <sz val="8"/>
      <color rgb="FFFFFF00"/>
      <name val="Calibri"/>
      <family val="2"/>
      <scheme val="minor"/>
    </font>
    <font>
      <b/>
      <sz val="8.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C87C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/>
      <top/>
      <bottom/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9" fillId="0" borderId="0"/>
    <xf numFmtId="0" fontId="5" fillId="0" borderId="0"/>
  </cellStyleXfs>
  <cellXfs count="85">
    <xf numFmtId="0" fontId="0" fillId="0" borderId="0" xfId="0"/>
    <xf numFmtId="0" fontId="0" fillId="0" borderId="0" xfId="0" applyAlignment="1">
      <alignment horizontal="left" vertical="top"/>
    </xf>
    <xf numFmtId="0" fontId="8" fillId="9" borderId="0" xfId="0" applyFont="1" applyFill="1"/>
    <xf numFmtId="0" fontId="8" fillId="2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0" borderId="0" xfId="0" applyFont="1"/>
    <xf numFmtId="0" fontId="8" fillId="3" borderId="0" xfId="0" applyFont="1" applyFill="1"/>
    <xf numFmtId="0" fontId="8" fillId="0" borderId="0" xfId="0" applyFont="1"/>
    <xf numFmtId="0" fontId="0" fillId="9" borderId="0" xfId="0" applyFill="1"/>
    <xf numFmtId="0" fontId="0" fillId="3" borderId="0" xfId="0" applyFill="1"/>
    <xf numFmtId="0" fontId="0" fillId="2" borderId="0" xfId="0" applyFill="1"/>
    <xf numFmtId="0" fontId="5" fillId="0" borderId="0" xfId="2"/>
    <xf numFmtId="0" fontId="4" fillId="0" borderId="0" xfId="2" applyFont="1"/>
    <xf numFmtId="0" fontId="3" fillId="0" borderId="0" xfId="2" applyFont="1"/>
    <xf numFmtId="0" fontId="0" fillId="3" borderId="8" xfId="0" applyFill="1" applyBorder="1"/>
    <xf numFmtId="0" fontId="8" fillId="20" borderId="0" xfId="0" applyFont="1" applyFill="1"/>
    <xf numFmtId="0" fontId="0" fillId="20" borderId="0" xfId="0" applyFill="1"/>
    <xf numFmtId="0" fontId="0" fillId="0" borderId="0" xfId="0" applyProtection="1">
      <protection locked="0"/>
    </xf>
    <xf numFmtId="0" fontId="0" fillId="13" borderId="0" xfId="0" applyFill="1" applyProtection="1">
      <protection locked="0"/>
    </xf>
    <xf numFmtId="0" fontId="21" fillId="13" borderId="0" xfId="0" applyFont="1" applyFill="1" applyAlignment="1" applyProtection="1">
      <alignment horizontal="center" vertical="center"/>
      <protection locked="0"/>
    </xf>
    <xf numFmtId="164" fontId="22" fillId="4" borderId="4" xfId="0" applyNumberFormat="1" applyFont="1" applyFill="1" applyBorder="1" applyAlignment="1" applyProtection="1">
      <alignment horizontal="left" vertical="center"/>
      <protection locked="0"/>
    </xf>
    <xf numFmtId="0" fontId="22" fillId="7" borderId="2" xfId="0" applyFont="1" applyFill="1" applyBorder="1" applyAlignment="1" applyProtection="1">
      <alignment horizontal="left" vertical="center"/>
      <protection locked="0"/>
    </xf>
    <xf numFmtId="0" fontId="22" fillId="7" borderId="5" xfId="0" applyFont="1" applyFill="1" applyBorder="1" applyAlignment="1" applyProtection="1">
      <alignment horizontal="left" vertical="center"/>
      <protection locked="0"/>
    </xf>
    <xf numFmtId="164" fontId="22" fillId="4" borderId="2" xfId="0" applyNumberFormat="1" applyFont="1" applyFill="1" applyBorder="1" applyAlignment="1" applyProtection="1">
      <alignment horizontal="left" vertical="center"/>
      <protection locked="0"/>
    </xf>
    <xf numFmtId="0" fontId="22" fillId="4" borderId="2" xfId="0" applyFont="1" applyFill="1" applyBorder="1" applyAlignment="1" applyProtection="1">
      <alignment horizontal="left" vertical="center" wrapText="1"/>
      <protection locked="0"/>
    </xf>
    <xf numFmtId="0" fontId="22" fillId="4" borderId="2" xfId="0" applyFont="1" applyFill="1" applyBorder="1" applyAlignment="1" applyProtection="1">
      <alignment horizontal="left" vertical="center"/>
      <protection locked="0"/>
    </xf>
    <xf numFmtId="1" fontId="22" fillId="10" borderId="5" xfId="0" applyNumberFormat="1" applyFont="1" applyFill="1" applyBorder="1" applyAlignment="1" applyProtection="1">
      <alignment horizontal="left" vertical="center"/>
      <protection locked="0"/>
    </xf>
    <xf numFmtId="1" fontId="22" fillId="14" borderId="2" xfId="0" applyNumberFormat="1" applyFont="1" applyFill="1" applyBorder="1" applyAlignment="1" applyProtection="1">
      <alignment horizontal="left" vertical="center"/>
      <protection locked="0"/>
    </xf>
    <xf numFmtId="1" fontId="22" fillId="1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wrapText="1"/>
      <protection locked="0"/>
    </xf>
    <xf numFmtId="0" fontId="12" fillId="0" borderId="0" xfId="0" applyFont="1"/>
    <xf numFmtId="0" fontId="2" fillId="0" borderId="0" xfId="2" applyFont="1"/>
    <xf numFmtId="164" fontId="22" fillId="7" borderId="2" xfId="0" applyNumberFormat="1" applyFont="1" applyFill="1" applyBorder="1" applyAlignment="1" applyProtection="1">
      <alignment horizontal="left" vertical="center"/>
      <protection locked="0"/>
    </xf>
    <xf numFmtId="164" fontId="22" fillId="4" borderId="2" xfId="0" applyNumberFormat="1" applyFont="1" applyFill="1" applyBorder="1" applyAlignment="1" applyProtection="1">
      <alignment horizontal="left" vertical="center" wrapText="1"/>
      <protection locked="0"/>
    </xf>
    <xf numFmtId="164" fontId="22" fillId="4" borderId="10" xfId="0" applyNumberFormat="1" applyFont="1" applyFill="1" applyBorder="1" applyAlignment="1" applyProtection="1">
      <alignment horizontal="left" vertical="center"/>
      <protection locked="0"/>
    </xf>
    <xf numFmtId="164" fontId="22" fillId="7" borderId="11" xfId="0" applyNumberFormat="1" applyFont="1" applyFill="1" applyBorder="1" applyAlignment="1" applyProtection="1">
      <alignment horizontal="left" vertical="center"/>
      <protection locked="0"/>
    </xf>
    <xf numFmtId="164" fontId="22" fillId="4" borderId="11" xfId="0" applyNumberFormat="1" applyFont="1" applyFill="1" applyBorder="1" applyAlignment="1" applyProtection="1">
      <alignment horizontal="left" vertical="center"/>
      <protection locked="0"/>
    </xf>
    <xf numFmtId="164" fontId="22" fillId="4" borderId="11" xfId="0" applyNumberFormat="1" applyFont="1" applyFill="1" applyBorder="1" applyAlignment="1" applyProtection="1">
      <alignment horizontal="left" vertical="center" wrapText="1"/>
      <protection locked="0"/>
    </xf>
    <xf numFmtId="0" fontId="22" fillId="4" borderId="11" xfId="0" applyFont="1" applyFill="1" applyBorder="1" applyAlignment="1" applyProtection="1">
      <alignment horizontal="left" vertical="center" wrapText="1"/>
      <protection locked="0"/>
    </xf>
    <xf numFmtId="0" fontId="22" fillId="4" borderId="11" xfId="0" applyFont="1" applyFill="1" applyBorder="1" applyAlignment="1" applyProtection="1">
      <alignment horizontal="left" vertical="center"/>
      <protection locked="0"/>
    </xf>
    <xf numFmtId="1" fontId="22" fillId="10" borderId="11" xfId="0" applyNumberFormat="1" applyFont="1" applyFill="1" applyBorder="1" applyAlignment="1" applyProtection="1">
      <alignment horizontal="left" vertical="center"/>
      <protection locked="0"/>
    </xf>
    <xf numFmtId="1" fontId="22" fillId="14" borderId="11" xfId="0" applyNumberFormat="1" applyFont="1" applyFill="1" applyBorder="1" applyAlignment="1" applyProtection="1">
      <alignment horizontal="left" vertical="center"/>
      <protection locked="0"/>
    </xf>
    <xf numFmtId="0" fontId="0" fillId="15" borderId="12" xfId="0" applyFill="1" applyBorder="1"/>
    <xf numFmtId="0" fontId="0" fillId="15" borderId="7" xfId="0" applyFill="1" applyBorder="1"/>
    <xf numFmtId="0" fontId="0" fillId="0" borderId="12" xfId="0" applyBorder="1"/>
    <xf numFmtId="0" fontId="0" fillId="0" borderId="7" xfId="0" applyBorder="1"/>
    <xf numFmtId="0" fontId="1" fillId="0" borderId="0" xfId="2" applyFont="1"/>
    <xf numFmtId="0" fontId="11" fillId="6" borderId="0" xfId="0" applyFont="1" applyFill="1" applyAlignment="1" applyProtection="1">
      <alignment vertical="center"/>
      <protection locked="0"/>
    </xf>
    <xf numFmtId="0" fontId="11" fillId="6" borderId="3" xfId="0" applyFont="1" applyFill="1" applyBorder="1" applyAlignment="1" applyProtection="1">
      <alignment vertical="center"/>
      <protection locked="0"/>
    </xf>
    <xf numFmtId="0" fontId="15" fillId="5" borderId="1" xfId="0" applyFont="1" applyFill="1" applyBorder="1" applyAlignment="1" applyProtection="1">
      <alignment horizontal="center" vertical="center"/>
      <protection locked="0"/>
    </xf>
    <xf numFmtId="0" fontId="15" fillId="12" borderId="1" xfId="0" applyFont="1" applyFill="1" applyBorder="1" applyAlignment="1" applyProtection="1">
      <alignment horizontal="center" vertical="center"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19" borderId="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top" wrapText="1"/>
      <protection locked="0"/>
    </xf>
    <xf numFmtId="0" fontId="15" fillId="16" borderId="1" xfId="0" applyFont="1" applyFill="1" applyBorder="1" applyAlignment="1" applyProtection="1">
      <alignment horizontal="center" vertical="center" wrapText="1"/>
      <protection locked="0"/>
    </xf>
    <xf numFmtId="0" fontId="15" fillId="18" borderId="1" xfId="0" applyFont="1" applyFill="1" applyBorder="1" applyAlignment="1" applyProtection="1">
      <alignment horizontal="center" vertical="center" wrapText="1"/>
      <protection locked="0"/>
    </xf>
    <xf numFmtId="0" fontId="15" fillId="17" borderId="1" xfId="0" applyFont="1" applyFill="1" applyBorder="1" applyAlignment="1" applyProtection="1">
      <alignment horizontal="center" vertical="center" wrapText="1"/>
      <protection locked="0"/>
    </xf>
    <xf numFmtId="0" fontId="22" fillId="8" borderId="2" xfId="0" applyFont="1" applyFill="1" applyBorder="1" applyAlignment="1" applyProtection="1">
      <alignment horizontal="left" vertical="center"/>
      <protection locked="0"/>
    </xf>
    <xf numFmtId="0" fontId="22" fillId="8" borderId="11" xfId="0" applyFont="1" applyFill="1" applyBorder="1" applyAlignment="1" applyProtection="1">
      <alignment horizontal="left" vertical="center"/>
      <protection locked="0"/>
    </xf>
    <xf numFmtId="0" fontId="15" fillId="5" borderId="6" xfId="0" applyFont="1" applyFill="1" applyBorder="1" applyAlignment="1">
      <alignment horizontal="center" vertical="center"/>
    </xf>
    <xf numFmtId="0" fontId="22" fillId="0" borderId="0" xfId="0" applyFont="1"/>
    <xf numFmtId="0" fontId="22" fillId="0" borderId="9" xfId="0" applyFont="1" applyBorder="1"/>
    <xf numFmtId="0" fontId="0" fillId="0" borderId="0" xfId="0" applyAlignment="1" applyProtection="1">
      <alignment horizontal="center"/>
      <protection locked="0"/>
    </xf>
    <xf numFmtId="0" fontId="15" fillId="11" borderId="13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22" fillId="0" borderId="9" xfId="0" applyFont="1" applyBorder="1" applyAlignment="1" applyProtection="1">
      <alignment horizontal="left" vertical="center"/>
      <protection locked="0"/>
    </xf>
    <xf numFmtId="0" fontId="22" fillId="0" borderId="9" xfId="0" applyFont="1" applyBorder="1" applyAlignment="1">
      <alignment horizontal="left" vertical="center"/>
    </xf>
    <xf numFmtId="0" fontId="0" fillId="21" borderId="0" xfId="0" applyFill="1" applyProtection="1">
      <protection locked="0"/>
    </xf>
    <xf numFmtId="0" fontId="21" fillId="21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10" fillId="0" borderId="0" xfId="0" applyFont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1" fillId="12" borderId="0" xfId="0" applyFont="1" applyFill="1" applyAlignment="1" applyProtection="1">
      <alignment horizontal="center" vertical="center"/>
      <protection locked="0"/>
    </xf>
    <xf numFmtId="0" fontId="11" fillId="12" borderId="3" xfId="0" applyFont="1" applyFill="1" applyBorder="1" applyAlignment="1" applyProtection="1">
      <alignment horizontal="center" vertical="center"/>
      <protection locked="0"/>
    </xf>
    <xf numFmtId="0" fontId="12" fillId="9" borderId="0" xfId="0" applyFont="1" applyFill="1" applyAlignment="1" applyProtection="1">
      <alignment horizontal="center"/>
      <protection locked="0"/>
    </xf>
    <xf numFmtId="0" fontId="12" fillId="9" borderId="3" xfId="0" applyFont="1" applyFill="1" applyBorder="1" applyAlignment="1" applyProtection="1">
      <alignment horizontal="center"/>
      <protection locked="0"/>
    </xf>
    <xf numFmtId="0" fontId="13" fillId="16" borderId="3" xfId="0" applyFont="1" applyFill="1" applyBorder="1" applyAlignment="1" applyProtection="1">
      <alignment horizontal="center" wrapText="1"/>
      <protection locked="0"/>
    </xf>
    <xf numFmtId="0" fontId="13" fillId="17" borderId="3" xfId="0" applyFont="1" applyFill="1" applyBorder="1" applyAlignment="1" applyProtection="1">
      <alignment horizontal="center" vertical="center" wrapText="1"/>
      <protection locked="0"/>
    </xf>
    <xf numFmtId="0" fontId="11" fillId="5" borderId="0" xfId="0" applyFont="1" applyFill="1" applyAlignment="1" applyProtection="1">
      <alignment horizontal="center" vertical="center"/>
      <protection locked="0"/>
    </xf>
    <xf numFmtId="0" fontId="11" fillId="5" borderId="3" xfId="0" applyFont="1" applyFill="1" applyBorder="1" applyAlignment="1" applyProtection="1">
      <alignment horizontal="center" vertical="center"/>
      <protection locked="0"/>
    </xf>
    <xf numFmtId="0" fontId="11" fillId="6" borderId="0" xfId="0" applyFont="1" applyFill="1" applyAlignment="1" applyProtection="1">
      <alignment horizontal="center" vertical="center"/>
      <protection locked="0"/>
    </xf>
    <xf numFmtId="0" fontId="11" fillId="6" borderId="3" xfId="0" applyFont="1" applyFill="1" applyBorder="1" applyAlignment="1" applyProtection="1">
      <alignment horizontal="center" vertical="center"/>
      <protection locked="0"/>
    </xf>
    <xf numFmtId="0" fontId="5" fillId="0" borderId="0" xfId="2" applyNumberFormat="1"/>
  </cellXfs>
  <cellStyles count="3">
    <cellStyle name="Normal" xfId="0" builtinId="0"/>
    <cellStyle name="Normal 2" xfId="1" xr:uid="{CD8BCC64-0192-6247-BC78-1A886502A4B3}"/>
    <cellStyle name="Normal 3" xfId="2" xr:uid="{80B678B2-CCD5-894E-BA7B-F13049D13C39}"/>
  </cellStyles>
  <dxfs count="54"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000000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62828"/>
      </font>
      <fill>
        <patternFill patternType="solid">
          <fgColor indexed="64"/>
          <bgColor rgb="FFFCE4EC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C62828"/>
      </font>
      <fill>
        <patternFill patternType="solid">
          <fgColor indexed="64"/>
          <bgColor rgb="FFFCE4EC"/>
        </patternFill>
      </fill>
    </dxf>
    <dxf>
      <font>
        <color rgb="FF808080"/>
      </font>
      <fill>
        <patternFill patternType="solid">
          <fgColor indexed="64"/>
          <bgColor rgb="FFD9D9D9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62828"/>
      </font>
      <fill>
        <patternFill patternType="solid">
          <fgColor indexed="64"/>
          <bgColor rgb="FFFCE4EC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/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left" vertical="center" textRotation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4" tint="0.79998168889431442"/>
        </patternFill>
      </fill>
      <alignment horizontal="left" vertical="center" textRotation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4" tint="0.79998168889431442"/>
        </patternFill>
      </fill>
      <alignment horizontal="left" vertical="center" textRotation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4" tint="0.79998168889431442"/>
        </patternFill>
      </fill>
      <alignment horizontal="left" vertical="center" textRotation="0" indent="0" justifyLastLine="0" shrinkToFit="0" readingOrder="0"/>
      <border diagonalUp="0" diagonalDown="0">
        <left/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protection locked="0" hidden="0"/>
    </dxf>
    <dxf>
      <border>
        <bottom style="thin">
          <color theme="0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0" hidden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53"/>
      <tableStyleElement type="headerRow" dxfId="52"/>
    </tableStyle>
  </tableStyles>
  <colors>
    <mruColors>
      <color rgb="FF2C87C8"/>
      <color rgb="FFF86868"/>
      <color rgb="FFFF9F9F"/>
      <color rgb="FF0F5BA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106045</xdr:colOff>
      <xdr:row>12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8545195" cy="2219325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600"/>
            </a:lnSpc>
          </a:pP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Dear Partners,</a:t>
          </a:r>
        </a:p>
        <a:p>
          <a:pPr>
            <a:lnSpc>
              <a:spcPts val="1600"/>
            </a:lnSpc>
          </a:pP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Monthly Indicator Reporting 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Tool</a:t>
          </a: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collects and provides summary of activities on that fall within Site Management Cluster Framework.  Organisations actively engaging in Site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Management </a:t>
          </a: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activities in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oPt a</a:t>
          </a: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 requested to contribute their site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management </a:t>
          </a: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implementation information in this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template</a:t>
          </a: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in order to work towards effective and coordinated response. </a:t>
          </a:r>
        </a:p>
        <a:p>
          <a:pPr>
            <a:lnSpc>
              <a:spcPts val="1600"/>
            </a:lnSpc>
          </a:pPr>
          <a:endParaRPr lang="en-US" sz="10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FREQUENCY:</a:t>
          </a:r>
        </a:p>
        <a:p>
          <a:pPr marL="0" indent="0">
            <a:lnSpc>
              <a:spcPts val="1600"/>
            </a:lnSpc>
          </a:pP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Please note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that cluster needs you to send the updated spreadsheet to </a:t>
          </a:r>
          <a:r>
            <a:rPr lang="en-US" sz="1000" b="1" u="none" baseline="0">
              <a:solidFill>
                <a:srgbClr val="FFFF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info@smcopt.org </a:t>
          </a:r>
          <a:r>
            <a:rPr lang="en-US" sz="1000" u="none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 b="1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5th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of every month. </a:t>
          </a:r>
        </a:p>
        <a:p>
          <a:pPr marL="0" indent="0">
            <a:lnSpc>
              <a:spcPts val="1600"/>
            </a:lnSpc>
          </a:pPr>
          <a:endParaRPr lang="en-US" sz="1000" baseline="0">
            <a:solidFill>
              <a:schemeClr val="bg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SM Cluster IM Team(Year: 2026)                                                                                                                                                                                                         </a:t>
          </a:r>
          <a:endParaRPr lang="en-US" sz="700" i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12</xdr:row>
      <xdr:rowOff>82550</xdr:rowOff>
    </xdr:from>
    <xdr:to>
      <xdr:col>13</xdr:col>
      <xdr:colOff>105410</xdr:colOff>
      <xdr:row>23</xdr:row>
      <xdr:rowOff>8943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2336353"/>
          <a:ext cx="9415762" cy="19923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600"/>
            </a:lnSpc>
          </a:pPr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About the tool</a:t>
          </a:r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?</a:t>
          </a:r>
          <a:endParaRPr lang="en-US" sz="1400" b="1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0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There are three sheets visible to users in this workbook: Read Me, 4W, and Activity Index</a:t>
          </a: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1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Read Me</a:t>
          </a:r>
          <a:r>
            <a:rPr lang="en-US" sz="10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provides basic information on how to use this information management tool.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ActivityReporting (Data Entry)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 is the data entry sheet which partners use to report their activities.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Activity Index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is the list of priority activities, sub activities, indicators and units of measurement.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23</xdr:row>
      <xdr:rowOff>59442</xdr:rowOff>
    </xdr:from>
    <xdr:to>
      <xdr:col>13</xdr:col>
      <xdr:colOff>107315</xdr:colOff>
      <xdr:row>66</xdr:row>
      <xdr:rowOff>53663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4379231"/>
          <a:ext cx="9417667" cy="80703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600"/>
            </a:lnSpc>
          </a:pPr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How to use the 4W sheet</a:t>
          </a:r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?</a:t>
          </a:r>
          <a:endParaRPr lang="en-US" sz="1400" b="1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4W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is the data entry sheet which partners will use to enter the data.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Thumb rule to use this sheet is that the information on any activity in a specific area should be entered in separate row, in other words, </a:t>
          </a: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ONE DATA POINT PER ROW, AND ONLY ONE PIECE OF DATA PER CELL.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Information Management team should ensure that activity (ies) is/are not reported more than once by partners. 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</a:p>
        <a:p>
          <a:pPr eaLnBrk="1" fontAlgn="auto" latinLnBrk="0" hangingPunct="1"/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REPORTING MONTH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Please select the Reporting Month (Activities implemented for that month) from the dropdown list. (Column A) 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WHO: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This section records names of primary stakeholder organizations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Name: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Select name of organization implementing the activity from the dropdown list (Column B)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Program / Coordinating / Donor Organization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Select name of activity coordinating organization from the dropdown list (Column C)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WHERE: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user will enter the detail of geographic area, Governorate, Neighborhood, and Site Name (Columns D, E, &amp; F) in this section. Cells in these columns are dropdown and carry pre-populated lists based on area entity selected in the previous column cell. </a:t>
          </a:r>
          <a:r>
            <a:rPr lang="en-US" sz="1000" b="1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Please note that all data have to be entered at site level. </a:t>
          </a:r>
          <a:endParaRPr lang="en-US" sz="10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*If you can not find your organization name in the dropdown list, please contact the Site Management Cluster IMOs : Alisa Ananbeh at </a:t>
          </a:r>
          <a:r>
            <a:rPr lang="en-US" sz="1000" b="1" baseline="0">
              <a:solidFill>
                <a:srgbClr val="2C87C8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aananbeh@iom.int, </a:t>
          </a:r>
          <a:r>
            <a:rPr lang="en-US" sz="10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James Whitaker at </a:t>
          </a:r>
          <a:r>
            <a:rPr lang="en-US" sz="1000" b="1" baseline="0">
              <a:solidFill>
                <a:srgbClr val="2C87C8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james.whitaker@impact-initiatives.org</a:t>
          </a:r>
          <a:r>
            <a:rPr lang="en-US" sz="1100" b="1">
              <a:solidFill>
                <a:srgbClr val="2C87C8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="1" baseline="0">
              <a:solidFill>
                <a:srgbClr val="2C87C8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Sujan Paudel at </a:t>
          </a:r>
          <a:r>
            <a:rPr lang="en-US" sz="1100" b="1" baseline="0">
              <a:solidFill>
                <a:srgbClr val="2C87C8"/>
              </a:solidFill>
              <a:effectLst/>
              <a:latin typeface="+mn-lt"/>
              <a:ea typeface="+mn-ea"/>
              <a:cs typeface="+mn-cs"/>
            </a:rPr>
            <a:t>sujanpaudel@iom.int</a:t>
          </a:r>
          <a:endParaRPr lang="en-US" sz="1100" b="1">
            <a:solidFill>
              <a:srgbClr val="2C87C8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ctivity Status: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Select activity status from the pre-populated dropdown list - planned, ongoing, completed or not applicable (Column G)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WHAT: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Enter the detail of activity through a 3 level cascading dropdown lists.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Primary/Priority Activities:</a:t>
          </a:r>
          <a:r>
            <a:rPr lang="en-US" sz="1000">
              <a:effectLst/>
              <a:latin typeface="Arial" panose="020B0604020202020204" pitchFamily="34" charset="0"/>
              <a:cs typeface="Arial" panose="020B0604020202020204" pitchFamily="34" charset="0"/>
            </a:rPr>
            <a:t> Select the outcome from the pre-populated dropdown list (Column H) 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Sub Activity:</a:t>
          </a:r>
          <a:r>
            <a:rPr lang="en-US" sz="1000">
              <a:effectLst/>
              <a:latin typeface="Arial" panose="020B0604020202020204" pitchFamily="34" charset="0"/>
              <a:cs typeface="Arial" panose="020B0604020202020204" pitchFamily="34" charset="0"/>
            </a:rPr>
            <a:t> Select the outcome from the pre-populated dropdown list (Column I)</a:t>
          </a:r>
          <a:endParaRPr lang="en-US" sz="100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Indicators</a:t>
          </a:r>
          <a:r>
            <a:rPr lang="en-US" sz="10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: Select the break down of type of activity from the pre-populated dropdown list (Column J)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Specification</a:t>
          </a:r>
          <a:r>
            <a:rPr lang="en-US" sz="1000" baseline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: Selct the relevant values from the dropdown. (Column K)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Additional Details: Enter the additional details of your activities as deemed necessary(Column L)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accent2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Units</a:t>
          </a:r>
          <a:r>
            <a:rPr lang="en-US" sz="1000">
              <a:solidFill>
                <a:schemeClr val="accent2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: This</a:t>
          </a:r>
          <a:r>
            <a:rPr lang="en-US" sz="1000" baseline="0">
              <a:solidFill>
                <a:schemeClr val="accent2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is an automatic/calculated field according to your selection of activity name (Column M)</a:t>
          </a:r>
          <a:endParaRPr lang="en-US" sz="1000">
            <a:solidFill>
              <a:schemeClr val="accent2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Total Reached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/Count</a:t>
          </a: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000">
              <a:effectLst/>
              <a:latin typeface="Arial" panose="020B0604020202020204" pitchFamily="34" charset="0"/>
              <a:cs typeface="Arial" panose="020B0604020202020204" pitchFamily="34" charset="0"/>
            </a:rPr>
            <a:t> Enter total target reached (in numeric)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according to the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unit provided in Column M </a:t>
          </a:r>
          <a:r>
            <a:rPr lang="en-US" sz="1000">
              <a:effectLst/>
              <a:latin typeface="Arial" panose="020B0604020202020204" pitchFamily="34" charset="0"/>
              <a:cs typeface="Arial" panose="020B0604020202020204" pitchFamily="34" charset="0"/>
            </a:rPr>
            <a:t>till current reporting date (Column N)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Male: </a:t>
          </a:r>
          <a:r>
            <a:rPr lang="en-US" sz="10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Enter</a:t>
          </a: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total male population participated or involved in the particular activity. (Column O)</a:t>
          </a:r>
          <a:endParaRPr lang="en-US" sz="10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Female: </a:t>
          </a:r>
          <a:r>
            <a:rPr lang="en-US" sz="10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Enter</a:t>
          </a: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total female population participated or involved in the particular activity (Column P)</a:t>
          </a:r>
          <a:endParaRPr lang="en-US" sz="10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Sex and Age Disaggregation &amp; Vulnerability</a:t>
          </a:r>
          <a:r>
            <a:rPr lang="en-US" sz="1000">
              <a:effectLst/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en-US" sz="10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Enter the sex and age disaggregated number of people as well as disability info of population benifitted from the activity. (Column Q - Column X)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**COMMENT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Please specify any other details that were not captured by the fields in the sheet. (Column Z)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Note:</a:t>
          </a:r>
          <a:r>
            <a:rPr lang="en-US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Dropdown Cell will be </a:t>
          </a:r>
          <a:r>
            <a:rPr lang="en-US" sz="900" i="1" baseline="0">
              <a:solidFill>
                <a:srgbClr val="C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highlighted</a:t>
          </a:r>
          <a:r>
            <a:rPr lang="en-US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if some invalid selection is made.</a:t>
          </a:r>
          <a:endParaRPr lang="en-US" sz="900" i="1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BE43D2-BBCA-4621-B579-9971975E46B4}" name="Table2" displayName="Table2" ref="A3:Z500" totalsRowShown="0" headerRowDxfId="51" dataDxfId="49" headerRowBorderDxfId="50">
  <autoFilter ref="A3:Z500" xr:uid="{92BE43D2-BBCA-4621-B579-9971975E46B4}"/>
  <tableColumns count="26">
    <tableColumn id="1" xr3:uid="{D3315794-5CE8-4931-984B-9CF82E4F2BDD}" name="Reporting Month" dataDxfId="48"/>
    <tableColumn id="9" xr3:uid="{B086A23E-9148-864F-8660-FB5E673D6798}" name="Organization Name" dataDxfId="47"/>
    <tableColumn id="6" xr3:uid="{2D1FB3EB-6906-6945-B880-C81A28909A3E}" name="Program / Coordinating / Donor Organization" dataDxfId="46"/>
    <tableColumn id="25" xr3:uid="{F3D6A780-B7F4-4600-865C-09A8F3A81E9F}" name="Governorate_x000a_(Select from Dropdown)" dataDxfId="45"/>
    <tableColumn id="24" xr3:uid="{961D81C4-D367-4CCA-8742-420F2199DBBA}" name="Neighborhood_x000a_(Select from Dropdown)" dataDxfId="44"/>
    <tableColumn id="12" xr3:uid="{E4B028AB-BD6B-0940-A601-D9622EA52205}" name="Site Name_x000a_(Select from Dropdown, or type name and code if not found)" dataDxfId="43"/>
    <tableColumn id="62" xr3:uid="{1041696F-D539-4D3D-B0EE-D47CFED80AE8}" name="Activity_x000a_Status_x000a_(Select from Dropdown)" dataDxfId="42"/>
    <tableColumn id="35" xr3:uid="{BD626B12-57E2-874E-AF66-DD24BA9F669E}" name="Primary Activities_x000a_(Select From Dropdown)" dataDxfId="41"/>
    <tableColumn id="5" xr3:uid="{493D3519-9660-4E70-8189-64BA74EE93F8}" name="Sub Activity_x000a_(Select from Dropdown)" dataDxfId="40"/>
    <tableColumn id="4" xr3:uid="{3E809EC1-88AA-894B-A08F-0E7CDA2A7E25}" name="Indicator_x000a_(Select from Dropdown)" dataDxfId="39"/>
    <tableColumn id="3" xr3:uid="{98012563-2B6D-8641-BC7F-E791F4EECC5C}" name="Specification_x000a_(Select from Dropdown)" dataDxfId="38"/>
    <tableColumn id="23" xr3:uid="{9D3DE6A7-2A14-4FAC-8A84-6DA9F604C829}" name="Activity Details_x000a_(Provide additional brief remarks on the activity, if any)" dataDxfId="37"/>
    <tableColumn id="8" xr3:uid="{BDD3BC08-F92A-4C0B-86F8-E2D5E30DD7DA}" name="Units_x000a_(Auto Calculated, Do not modify)" dataDxfId="36">
      <calculatedColumnFormula>IFERROR(INDEX(Vocab_NameList!$O:$O,MATCH($J4, Vocab_NameList!$M:$M, 0)),"")</calculatedColumnFormula>
    </tableColumn>
    <tableColumn id="11" xr3:uid="{2B1D71F9-C0E3-4031-9F5D-F8E8D9AEDCF9}" name="Total_x000a_ Planned/Reached_x000a_Count_x000a_" dataDxfId="35"/>
    <tableColumn id="32" xr3:uid="{189DD318-A61C-0647-9718-86173633ECA0}" name="Male" dataDxfId="34"/>
    <tableColumn id="31" xr3:uid="{11E85ACC-C43F-E74E-8315-A4008AB3B539}" name="Female" dataDxfId="33"/>
    <tableColumn id="30" xr3:uid="{DB6FB300-2632-9847-B586-0781FBCD57C5}" name="Boys (&lt;18)" dataDxfId="32"/>
    <tableColumn id="29" xr3:uid="{1F99F3AD-46B4-544E-BF45-785A2DB97186}" name="Girls (&lt;18)" dataDxfId="31"/>
    <tableColumn id="28" xr3:uid="{93766967-E747-F24E-966F-1384A3CF8308}" name="Men (18-59)" dataDxfId="30"/>
    <tableColumn id="27" xr3:uid="{FA269EB3-05EF-7443-9E94-E37DB2177E5A}" name="Women (18-59)" dataDxfId="29"/>
    <tableColumn id="26" xr3:uid="{826A3F9F-6E74-9546-A389-4BDEC58AFC35}" name="Elderly Male (≥60)" dataDxfId="28"/>
    <tableColumn id="22" xr3:uid="{0D11F947-B335-284C-99D4-A5E3D72FB266}" name="Elderly Female (≥60)" dataDxfId="27"/>
    <tableColumn id="21" xr3:uid="{6E43C7FF-D7F4-4C49-BA76-F1D3915A9C47}" name="Male-PWD" dataDxfId="26"/>
    <tableColumn id="20" xr3:uid="{2A036CFD-BADE-E949-9FC8-54CFB687DBD4}" name="Female-PWD" dataDxfId="25"/>
    <tableColumn id="2" xr3:uid="{1F196458-7263-B14C-975A-D53992ED96CD}" name="Helper" dataDxfId="24">
      <calculatedColumnFormula>Table2[[#This Row],[Governorate
(Select from Dropdown)]]&amp;Table2[[#This Row],[Neighborhood
(Select from Dropdown)]]&amp;Table2[[#This Row],[Organization Name]]</calculatedColumnFormula>
    </tableColumn>
    <tableColumn id="7" xr3:uid="{8EB3B9B6-B133-9F4E-981C-7B5CD16326AF}" name="Additional Remarks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9AAF0C-6D85-5847-A176-964C3049B63A}" name="Table44" displayName="Table44" ref="A1:G26" totalsRowShown="0">
  <autoFilter ref="A1:G26" xr:uid="{8C933DD6-F143-6C46-B7E6-85D1A15F06A0}"/>
  <sortState xmlns:xlrd2="http://schemas.microsoft.com/office/spreadsheetml/2017/richdata2" ref="A2:G26">
    <sortCondition ref="B2:B26"/>
    <sortCondition ref="C2:C26"/>
  </sortState>
  <tableColumns count="7">
    <tableColumn id="5" xr3:uid="{B02510B2-6EAD-F940-AEEC-232FC9AE9CAD}" name="Primary Activity"/>
    <tableColumn id="1" xr3:uid="{7198030F-41D7-BE48-916A-93BA899CDA26}" name="Sub Activity"/>
    <tableColumn id="2" xr3:uid="{0670922C-7038-564B-8FAB-D948BEC072CB}" name="Indicators"/>
    <tableColumn id="7" xr3:uid="{2BCEE296-E362-7E45-A4F0-61D8541EFCD8}" name="Additional options"/>
    <tableColumn id="3" xr3:uid="{DF5C8005-AD25-7343-9729-9BC74FCDC13F}" name="Activity_Code"/>
    <tableColumn id="4" xr3:uid="{8C03F8AD-DFE0-BD4D-95A4-8908712A76F3}" name="Unit" dataDxfId="22"/>
    <tableColumn id="6" xr3:uid="{E8731DE5-FFFE-EE4D-9A60-25CF68AAB818}" name="Indicator Purpo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2B329-6D2A-894A-A83E-E1FB05B915E8}" name="tblSites" displayName="tblSites" ref="A1:N1883" totalsRowShown="0" headerRowCellStyle="Normal 3" dataCellStyle="Normal 3">
  <autoFilter ref="A1:N1883" xr:uid="{EC32B329-6D2A-894A-A83E-E1FB05B915E8}"/>
  <tableColumns count="14">
    <tableColumn id="1" xr3:uid="{4B0CF658-64DD-4046-B57E-5C05B83D4FD4}" name="Site ID" dataCellStyle="Normal 3"/>
    <tableColumn id="2" xr3:uid="{47DAA8B8-B271-8648-BF02-A8BB99D9BDDF}" name="Site Name" dataCellStyle="Normal 3"/>
    <tableColumn id="3" xr3:uid="{F34FA033-1CA1-2A43-AD5E-6292D8A3007E}" name="Site Name (ar)" dataCellStyle="Normal 3"/>
    <tableColumn id="4" xr3:uid="{15873D29-55BC-F349-A6A7-0AEEB6683AC3}" name="Governorate" dataCellStyle="Normal 3"/>
    <tableColumn id="5" xr3:uid="{F3F9F6EF-189E-2D42-9BD2-A44E4D3DC342}" name="Governorate_PCODE" dataCellStyle="Normal 3"/>
    <tableColumn id="6" xr3:uid="{B8203D78-13CA-E24D-8C93-EDFF7ACBB573}" name="Neighborhood" dataCellStyle="Normal 3"/>
    <tableColumn id="19" xr3:uid="{5F32F5B8-3174-7F4A-8D8E-03CEA4F78245}" name="HelperConcat" dataDxfId="21" dataCellStyle="Normal 3">
      <calculatedColumnFormula>_xlfn.CONCAT(tblSites[[#This Row],[Governorate]], Nei_Start, tblSites[[#This Row],[Agency]])</calculatedColumnFormula>
    </tableColumn>
    <tableColumn id="7" xr3:uid="{4589AB15-086F-D345-A776-51823BC7AE95}" name="Site" dataCellStyle="Normal 3"/>
    <tableColumn id="8" xr3:uid="{D7092547-47FD-104C-B529-3E44A972C6A0}" name="NeighborhoodPcode" dataCellStyle="Normal 3"/>
    <tableColumn id="9" xr3:uid="{C34F09E6-6A56-BB45-AEFF-BC2446A91831}" name="Site Agency" dataCellStyle="Normal 3"/>
    <tableColumn id="10" xr3:uid="{5508D366-D3F4-4D44-9A7F-F5639A07EABA}" name="Implementing Partner" dataCellStyle="Normal 3"/>
    <tableColumn id="11" xr3:uid="{D7ADE378-A1D6-124A-8F66-6895FB85A3E2}" name="FinalImplementingPartner" dataCellStyle="Normal 3"/>
    <tableColumn id="12" xr3:uid="{603BF6A5-C8B4-6C4E-94F4-CEBBC49531AC}" name="Site Status" dataCellStyle="Normal 3"/>
    <tableColumn id="18" xr3:uid="{AB5CD03D-4C67-A647-9CB4-4294D2B69104}" name="Agency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D62A51-D704-8643-9BA2-FA3D778F6C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"/>
  <sheetViews>
    <sheetView topLeftCell="A7" zoomScaleNormal="100" workbookViewId="0">
      <selection activeCell="O21" sqref="O21"/>
    </sheetView>
  </sheetViews>
  <sheetFormatPr defaultColWidth="8.85546875" defaultRowHeight="15" x14ac:dyDescent="0.25"/>
  <cols>
    <col min="1" max="1" width="16.42578125" bestFit="1" customWidth="1"/>
  </cols>
  <sheetData>
    <row r="1" spans="1:1" x14ac:dyDescent="0.25">
      <c r="A1" s="1"/>
    </row>
  </sheetData>
  <sheetProtection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FB35-B692-4C25-88AE-5C9484673D31}">
  <sheetPr codeName="Sheet2">
    <tabColor rgb="FF0F5BA3"/>
  </sheetPr>
  <dimension ref="A1:AA500"/>
  <sheetViews>
    <sheetView tabSelected="1" zoomScale="72" zoomScaleNormal="106" workbookViewId="0">
      <pane ySplit="3" topLeftCell="A4" activePane="bottomLeft" state="frozen"/>
      <selection activeCell="B47" sqref="B47:B53"/>
      <selection pane="bottomLeft" activeCell="H19" sqref="H19"/>
    </sheetView>
  </sheetViews>
  <sheetFormatPr defaultColWidth="0" defaultRowHeight="15" x14ac:dyDescent="0.25"/>
  <cols>
    <col min="1" max="1" width="16.42578125" style="18" customWidth="1"/>
    <col min="2" max="2" width="17" style="18" customWidth="1"/>
    <col min="3" max="3" width="16.42578125" style="18" customWidth="1"/>
    <col min="4" max="4" width="17.85546875" style="18" customWidth="1"/>
    <col min="5" max="5" width="18.140625" style="18" customWidth="1"/>
    <col min="6" max="6" width="35.28515625" style="18" customWidth="1"/>
    <col min="7" max="7" width="16.42578125" style="18" customWidth="1"/>
    <col min="8" max="8" width="88.7109375" style="18" customWidth="1"/>
    <col min="9" max="9" width="87.42578125" style="18" customWidth="1"/>
    <col min="10" max="10" width="82.28515625" style="30" customWidth="1"/>
    <col min="11" max="11" width="29.7109375" style="30" customWidth="1"/>
    <col min="12" max="12" width="51.140625" style="18" customWidth="1"/>
    <col min="13" max="13" width="21.42578125" style="18" customWidth="1"/>
    <col min="14" max="14" width="16.85546875" style="18" customWidth="1"/>
    <col min="15" max="21" width="13.85546875" style="18" customWidth="1"/>
    <col min="22" max="22" width="15.140625" style="18" customWidth="1"/>
    <col min="23" max="24" width="13.85546875" style="18" customWidth="1"/>
    <col min="25" max="25" width="20.85546875" style="18" hidden="1" customWidth="1"/>
    <col min="26" max="26" width="47.7109375" style="18" customWidth="1"/>
    <col min="27" max="27" width="8.85546875" style="69" hidden="1" customWidth="1"/>
    <col min="28" max="16384" width="8.85546875" style="18" hidden="1"/>
  </cols>
  <sheetData>
    <row r="1" spans="1:27" s="19" customFormat="1" ht="26.85" customHeight="1" x14ac:dyDescent="0.25">
      <c r="A1" s="72"/>
      <c r="B1" s="74" t="s">
        <v>1</v>
      </c>
      <c r="C1" s="74"/>
      <c r="D1" s="82" t="s">
        <v>0</v>
      </c>
      <c r="E1" s="82"/>
      <c r="F1" s="82"/>
      <c r="G1" s="80" t="s">
        <v>38</v>
      </c>
      <c r="H1" s="82" t="s">
        <v>2</v>
      </c>
      <c r="I1" s="82"/>
      <c r="J1" s="82"/>
      <c r="K1" s="82"/>
      <c r="L1" s="82"/>
      <c r="M1" s="48"/>
      <c r="N1" s="48"/>
      <c r="O1" s="76" t="s">
        <v>3320</v>
      </c>
      <c r="P1" s="76"/>
      <c r="Q1" s="76"/>
      <c r="R1" s="76"/>
      <c r="S1" s="76"/>
      <c r="T1" s="76"/>
      <c r="U1" s="76"/>
      <c r="V1" s="76"/>
      <c r="W1" s="76"/>
      <c r="X1" s="76"/>
      <c r="Y1" s="64"/>
      <c r="Z1"/>
      <c r="AA1" s="69"/>
    </row>
    <row r="2" spans="1:27" s="19" customFormat="1" ht="29.85" customHeight="1" x14ac:dyDescent="0.25">
      <c r="A2" s="73"/>
      <c r="B2" s="75"/>
      <c r="C2" s="75"/>
      <c r="D2" s="83"/>
      <c r="E2" s="83"/>
      <c r="F2" s="83"/>
      <c r="G2" s="81"/>
      <c r="H2" s="83"/>
      <c r="I2" s="83"/>
      <c r="J2" s="83"/>
      <c r="K2" s="83"/>
      <c r="L2" s="83"/>
      <c r="M2" s="49"/>
      <c r="N2" s="49"/>
      <c r="O2" s="77" t="s">
        <v>3321</v>
      </c>
      <c r="P2" s="77"/>
      <c r="Q2" s="78" t="s">
        <v>3342</v>
      </c>
      <c r="R2" s="78"/>
      <c r="S2" s="78"/>
      <c r="T2" s="78"/>
      <c r="U2" s="78"/>
      <c r="V2" s="78"/>
      <c r="W2" s="79" t="s">
        <v>3322</v>
      </c>
      <c r="X2" s="79"/>
      <c r="Y2" s="64"/>
      <c r="Z2"/>
      <c r="AA2" s="69"/>
    </row>
    <row r="3" spans="1:27" s="20" customFormat="1" ht="52.5" customHeight="1" x14ac:dyDescent="0.25">
      <c r="A3" s="50" t="s">
        <v>3</v>
      </c>
      <c r="B3" s="51" t="s">
        <v>33</v>
      </c>
      <c r="C3" s="51" t="s">
        <v>3332</v>
      </c>
      <c r="D3" s="52" t="s">
        <v>3343</v>
      </c>
      <c r="E3" s="52" t="s">
        <v>3344</v>
      </c>
      <c r="F3" s="52" t="s">
        <v>5216</v>
      </c>
      <c r="G3" s="53" t="s">
        <v>3345</v>
      </c>
      <c r="H3" s="53" t="s">
        <v>3346</v>
      </c>
      <c r="I3" s="53" t="s">
        <v>3347</v>
      </c>
      <c r="J3" s="53" t="s">
        <v>3348</v>
      </c>
      <c r="K3" s="53" t="s">
        <v>5212</v>
      </c>
      <c r="L3" s="53" t="s">
        <v>3349</v>
      </c>
      <c r="M3" s="54" t="s">
        <v>3350</v>
      </c>
      <c r="N3" s="55" t="s">
        <v>3333</v>
      </c>
      <c r="O3" s="56" t="s">
        <v>3323</v>
      </c>
      <c r="P3" s="56" t="s">
        <v>3324</v>
      </c>
      <c r="Q3" s="57" t="s">
        <v>3325</v>
      </c>
      <c r="R3" s="57" t="s">
        <v>3326</v>
      </c>
      <c r="S3" s="57" t="s">
        <v>3327</v>
      </c>
      <c r="T3" s="57" t="s">
        <v>3328</v>
      </c>
      <c r="U3" s="57" t="s">
        <v>3351</v>
      </c>
      <c r="V3" s="57" t="s">
        <v>3329</v>
      </c>
      <c r="W3" s="58" t="s">
        <v>3330</v>
      </c>
      <c r="X3" s="58" t="s">
        <v>3331</v>
      </c>
      <c r="Y3" s="61" t="s">
        <v>3271</v>
      </c>
      <c r="Z3" s="65" t="s">
        <v>5213</v>
      </c>
      <c r="AA3" s="70"/>
    </row>
    <row r="4" spans="1:27" s="19" customFormat="1" ht="30" customHeight="1" x14ac:dyDescent="0.25">
      <c r="A4" s="21"/>
      <c r="B4" s="22"/>
      <c r="C4" s="23"/>
      <c r="D4" s="24"/>
      <c r="E4" s="24"/>
      <c r="F4" s="24"/>
      <c r="G4" s="24"/>
      <c r="H4" s="25"/>
      <c r="I4" s="25"/>
      <c r="J4" s="25"/>
      <c r="K4" s="25"/>
      <c r="L4" s="26"/>
      <c r="M4" s="59" t="str">
        <f>IFERROR(INDEX(Vocab_NameList!$O:$O,MATCH($J4, Vocab_NameList!$M:$M, 0)),"")</f>
        <v/>
      </c>
      <c r="N4" s="27"/>
      <c r="O4" s="28"/>
      <c r="P4" s="28"/>
      <c r="Q4" s="28"/>
      <c r="R4" s="28"/>
      <c r="S4" s="28"/>
      <c r="T4" s="28"/>
      <c r="U4" s="28"/>
      <c r="V4" s="28"/>
      <c r="W4" s="28"/>
      <c r="X4" s="28"/>
      <c r="Y4" s="62" t="str">
        <f>Table2[[#This Row],[Governorate
(Select from Dropdown)]]&amp;Table2[[#This Row],[Neighborhood
(Select from Dropdown)]]&amp;Table2[[#This Row],[Organization Name]]</f>
        <v/>
      </c>
      <c r="Z4" s="66"/>
      <c r="AA4" s="69"/>
    </row>
    <row r="5" spans="1:27" s="19" customFormat="1" ht="30" customHeight="1" x14ac:dyDescent="0.25">
      <c r="A5" s="21"/>
      <c r="B5" s="22"/>
      <c r="C5" s="23"/>
      <c r="D5" s="24"/>
      <c r="E5" s="24"/>
      <c r="F5" s="24"/>
      <c r="G5" s="24"/>
      <c r="H5" s="25"/>
      <c r="I5" s="25"/>
      <c r="J5" s="25"/>
      <c r="K5" s="25"/>
      <c r="L5" s="26"/>
      <c r="M5" s="59" t="str">
        <f>IFERROR(INDEX(Vocab_NameList!$O:$O,MATCH($J5, Vocab_NameList!$M:$M, 0)),"")</f>
        <v/>
      </c>
      <c r="N5" s="27"/>
      <c r="O5" s="28"/>
      <c r="P5" s="28"/>
      <c r="Q5" s="28"/>
      <c r="R5" s="28"/>
      <c r="S5" s="28"/>
      <c r="T5" s="28"/>
      <c r="U5" s="28"/>
      <c r="V5" s="28"/>
      <c r="W5" s="28"/>
      <c r="X5" s="28"/>
      <c r="Y5" s="62" t="str">
        <f>Table2[[#This Row],[Governorate
(Select from Dropdown)]]&amp;Table2[[#This Row],[Neighborhood
(Select from Dropdown)]]&amp;Table2[[#This Row],[Organization Name]]</f>
        <v/>
      </c>
      <c r="Z5" s="66"/>
      <c r="AA5" s="69"/>
    </row>
    <row r="6" spans="1:27" s="19" customFormat="1" ht="30" customHeight="1" x14ac:dyDescent="0.25">
      <c r="A6" s="21"/>
      <c r="B6" s="22"/>
      <c r="C6" s="22"/>
      <c r="D6" s="24"/>
      <c r="E6" s="24"/>
      <c r="F6" s="24"/>
      <c r="G6" s="24"/>
      <c r="H6" s="25"/>
      <c r="I6" s="25"/>
      <c r="J6" s="25"/>
      <c r="K6" s="25"/>
      <c r="L6" s="26"/>
      <c r="M6" s="59" t="str">
        <f>IFERROR(INDEX(Vocab_NameList!$O:$O,MATCH($J6, Vocab_NameList!$M:$M, 0)),"")</f>
        <v/>
      </c>
      <c r="N6" s="29"/>
      <c r="O6" s="28"/>
      <c r="P6" s="28"/>
      <c r="Q6" s="28"/>
      <c r="R6" s="28"/>
      <c r="S6" s="28"/>
      <c r="T6" s="28"/>
      <c r="U6" s="28"/>
      <c r="V6" s="28"/>
      <c r="W6" s="28"/>
      <c r="X6" s="28"/>
      <c r="Y6" s="62" t="str">
        <f>Table2[[#This Row],[Governorate
(Select from Dropdown)]]&amp;Table2[[#This Row],[Neighborhood
(Select from Dropdown)]]&amp;Table2[[#This Row],[Organization Name]]</f>
        <v/>
      </c>
      <c r="Z6" s="66"/>
      <c r="AA6" s="69"/>
    </row>
    <row r="7" spans="1:27" s="19" customFormat="1" ht="30" customHeight="1" x14ac:dyDescent="0.25">
      <c r="A7" s="21"/>
      <c r="B7" s="22"/>
      <c r="C7" s="22"/>
      <c r="D7" s="24"/>
      <c r="E7" s="24"/>
      <c r="F7" s="24"/>
      <c r="G7" s="24"/>
      <c r="H7" s="25"/>
      <c r="I7" s="25"/>
      <c r="J7" s="25"/>
      <c r="K7" s="25"/>
      <c r="L7" s="26"/>
      <c r="M7" s="59" t="str">
        <f>IFERROR(INDEX(Vocab_NameList!$O:$O,MATCH($J7, Vocab_NameList!$M:$M, 0)),"")</f>
        <v/>
      </c>
      <c r="N7" s="29"/>
      <c r="O7" s="28"/>
      <c r="P7" s="28"/>
      <c r="Q7" s="28"/>
      <c r="R7" s="28"/>
      <c r="S7" s="28"/>
      <c r="T7" s="28"/>
      <c r="U7" s="28"/>
      <c r="V7" s="28"/>
      <c r="W7" s="28"/>
      <c r="X7" s="28"/>
      <c r="Y7" s="62" t="str">
        <f>Table2[[#This Row],[Governorate
(Select from Dropdown)]]&amp;Table2[[#This Row],[Neighborhood
(Select from Dropdown)]]&amp;Table2[[#This Row],[Organization Name]]</f>
        <v/>
      </c>
      <c r="Z7" s="66"/>
      <c r="AA7" s="69"/>
    </row>
    <row r="8" spans="1:27" s="19" customFormat="1" ht="30" customHeight="1" x14ac:dyDescent="0.25">
      <c r="A8" s="21"/>
      <c r="B8" s="22"/>
      <c r="C8" s="22"/>
      <c r="D8" s="24"/>
      <c r="E8" s="24"/>
      <c r="F8" s="24"/>
      <c r="G8" s="24"/>
      <c r="H8" s="25"/>
      <c r="I8" s="25"/>
      <c r="J8" s="25"/>
      <c r="K8" s="25"/>
      <c r="L8" s="26"/>
      <c r="M8" s="59" t="str">
        <f>IFERROR(INDEX(Vocab_NameList!$O:$O,MATCH($J8, Vocab_NameList!$M:$M, 0)),"")</f>
        <v/>
      </c>
      <c r="N8" s="29"/>
      <c r="O8" s="28"/>
      <c r="P8" s="28"/>
      <c r="Q8" s="28"/>
      <c r="R8" s="28"/>
      <c r="S8" s="28"/>
      <c r="T8" s="28"/>
      <c r="U8" s="28"/>
      <c r="V8" s="28"/>
      <c r="W8" s="28"/>
      <c r="X8" s="28"/>
      <c r="Y8" s="62" t="str">
        <f>Table2[[#This Row],[Governorate
(Select from Dropdown)]]&amp;Table2[[#This Row],[Neighborhood
(Select from Dropdown)]]&amp;Table2[[#This Row],[Organization Name]]</f>
        <v/>
      </c>
      <c r="Z8" s="66"/>
      <c r="AA8" s="69"/>
    </row>
    <row r="9" spans="1:27" s="19" customFormat="1" ht="30" customHeight="1" x14ac:dyDescent="0.25">
      <c r="A9" s="21"/>
      <c r="B9" s="22"/>
      <c r="C9" s="22"/>
      <c r="D9" s="24"/>
      <c r="E9" s="24"/>
      <c r="F9" s="24"/>
      <c r="G9" s="24"/>
      <c r="H9" s="25"/>
      <c r="I9" s="25"/>
      <c r="J9" s="25"/>
      <c r="K9" s="25"/>
      <c r="L9" s="26"/>
      <c r="M9" s="59" t="str">
        <f>IFERROR(INDEX(Vocab_NameList!$O:$O,MATCH($J9, Vocab_NameList!$M:$M, 0)),"")</f>
        <v/>
      </c>
      <c r="N9" s="29"/>
      <c r="O9" s="28"/>
      <c r="P9" s="28"/>
      <c r="Q9" s="28"/>
      <c r="R9" s="28"/>
      <c r="S9" s="28"/>
      <c r="T9" s="28"/>
      <c r="U9" s="28"/>
      <c r="V9" s="28"/>
      <c r="W9" s="28"/>
      <c r="X9" s="28"/>
      <c r="Y9" s="62" t="str">
        <f>Table2[[#This Row],[Governorate
(Select from Dropdown)]]&amp;Table2[[#This Row],[Neighborhood
(Select from Dropdown)]]&amp;Table2[[#This Row],[Organization Name]]</f>
        <v/>
      </c>
      <c r="Z9" s="66"/>
      <c r="AA9" s="69"/>
    </row>
    <row r="10" spans="1:27" s="19" customFormat="1" ht="30" customHeight="1" x14ac:dyDescent="0.25">
      <c r="A10" s="21"/>
      <c r="B10" s="22"/>
      <c r="C10" s="22"/>
      <c r="D10" s="24"/>
      <c r="E10" s="24"/>
      <c r="F10" s="24"/>
      <c r="G10" s="24"/>
      <c r="H10" s="25"/>
      <c r="I10" s="25"/>
      <c r="J10" s="25"/>
      <c r="K10" s="25"/>
      <c r="L10" s="26"/>
      <c r="M10" s="59" t="str">
        <f>IFERROR(INDEX(Vocab_NameList!$O:$O,MATCH($J10, Vocab_NameList!$M:$M, 0)),"")</f>
        <v/>
      </c>
      <c r="N10" s="29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62" t="str">
        <f>Table2[[#This Row],[Governorate
(Select from Dropdown)]]&amp;Table2[[#This Row],[Neighborhood
(Select from Dropdown)]]&amp;Table2[[#This Row],[Organization Name]]</f>
        <v/>
      </c>
      <c r="Z10" s="66"/>
      <c r="AA10" s="69"/>
    </row>
    <row r="11" spans="1:27" s="19" customFormat="1" ht="30" customHeight="1" x14ac:dyDescent="0.25">
      <c r="A11" s="21"/>
      <c r="B11" s="22"/>
      <c r="C11" s="22"/>
      <c r="D11" s="24"/>
      <c r="E11" s="24"/>
      <c r="F11" s="24"/>
      <c r="G11" s="24"/>
      <c r="H11" s="25"/>
      <c r="I11" s="25"/>
      <c r="J11" s="25"/>
      <c r="K11" s="25"/>
      <c r="L11" s="26"/>
      <c r="M11" s="59" t="str">
        <f>IFERROR(INDEX(Vocab_NameList!$O:$O,MATCH($J11, Vocab_NameList!$M:$M, 0)),"")</f>
        <v/>
      </c>
      <c r="N11" s="29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62" t="str">
        <f>Table2[[#This Row],[Governorate
(Select from Dropdown)]]&amp;Table2[[#This Row],[Neighborhood
(Select from Dropdown)]]&amp;Table2[[#This Row],[Organization Name]]</f>
        <v/>
      </c>
      <c r="Z11" s="66"/>
      <c r="AA11" s="69"/>
    </row>
    <row r="12" spans="1:27" s="19" customFormat="1" ht="30" customHeight="1" x14ac:dyDescent="0.25">
      <c r="A12" s="21"/>
      <c r="B12" s="22"/>
      <c r="C12" s="22"/>
      <c r="D12" s="24"/>
      <c r="E12" s="24"/>
      <c r="F12" s="24"/>
      <c r="G12" s="24"/>
      <c r="H12" s="25"/>
      <c r="I12" s="25"/>
      <c r="J12" s="25"/>
      <c r="K12" s="25"/>
      <c r="L12" s="26"/>
      <c r="M12" s="59" t="str">
        <f>IFERROR(INDEX(Vocab_NameList!$O:$O,MATCH($J12, Vocab_NameList!$M:$M, 0)),"")</f>
        <v/>
      </c>
      <c r="N12" s="29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62" t="str">
        <f>Table2[[#This Row],[Governorate
(Select from Dropdown)]]&amp;Table2[[#This Row],[Neighborhood
(Select from Dropdown)]]&amp;Table2[[#This Row],[Organization Name]]</f>
        <v/>
      </c>
      <c r="Z12" s="66"/>
      <c r="AA12" s="69"/>
    </row>
    <row r="13" spans="1:27" s="19" customFormat="1" ht="30" customHeight="1" x14ac:dyDescent="0.25">
      <c r="A13" s="21"/>
      <c r="B13" s="22"/>
      <c r="C13" s="22"/>
      <c r="D13" s="24"/>
      <c r="E13" s="24"/>
      <c r="F13" s="24"/>
      <c r="G13" s="24"/>
      <c r="H13" s="25"/>
      <c r="I13" s="25"/>
      <c r="J13" s="25"/>
      <c r="K13" s="25"/>
      <c r="L13" s="26"/>
      <c r="M13" s="59" t="str">
        <f>IFERROR(INDEX(Vocab_NameList!$O:$O,MATCH($J13, Vocab_NameList!$M:$M, 0)),"")</f>
        <v/>
      </c>
      <c r="N13" s="29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62" t="str">
        <f>Table2[[#This Row],[Governorate
(Select from Dropdown)]]&amp;Table2[[#This Row],[Neighborhood
(Select from Dropdown)]]&amp;Table2[[#This Row],[Organization Name]]</f>
        <v/>
      </c>
      <c r="Z13" s="66"/>
      <c r="AA13" s="69"/>
    </row>
    <row r="14" spans="1:27" s="19" customFormat="1" ht="30" customHeight="1" x14ac:dyDescent="0.25">
      <c r="A14" s="21"/>
      <c r="B14" s="22"/>
      <c r="C14" s="22"/>
      <c r="D14" s="24"/>
      <c r="E14" s="24"/>
      <c r="F14" s="24"/>
      <c r="G14" s="24"/>
      <c r="H14" s="25"/>
      <c r="I14" s="25"/>
      <c r="J14" s="25"/>
      <c r="K14" s="25"/>
      <c r="L14" s="26"/>
      <c r="M14" s="59" t="str">
        <f>IFERROR(INDEX(Vocab_NameList!$O:$O,MATCH($J14, Vocab_NameList!$M:$M, 0)),"")</f>
        <v/>
      </c>
      <c r="N14" s="29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62" t="str">
        <f>Table2[[#This Row],[Governorate
(Select from Dropdown)]]&amp;Table2[[#This Row],[Neighborhood
(Select from Dropdown)]]&amp;Table2[[#This Row],[Organization Name]]</f>
        <v/>
      </c>
      <c r="Z14" s="66"/>
      <c r="AA14" s="69"/>
    </row>
    <row r="15" spans="1:27" s="19" customFormat="1" ht="30" customHeight="1" x14ac:dyDescent="0.25">
      <c r="A15" s="21"/>
      <c r="B15" s="22"/>
      <c r="C15" s="22"/>
      <c r="D15" s="24"/>
      <c r="E15" s="24"/>
      <c r="F15" s="24"/>
      <c r="G15" s="24"/>
      <c r="H15" s="25"/>
      <c r="I15" s="25"/>
      <c r="J15" s="25"/>
      <c r="K15" s="25"/>
      <c r="L15" s="26"/>
      <c r="M15" s="59" t="str">
        <f>IFERROR(INDEX(Vocab_NameList!$O:$O,MATCH($J15, Vocab_NameList!$M:$M, 0)),"")</f>
        <v/>
      </c>
      <c r="N15" s="29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62" t="str">
        <f>Table2[[#This Row],[Governorate
(Select from Dropdown)]]&amp;Table2[[#This Row],[Neighborhood
(Select from Dropdown)]]&amp;Table2[[#This Row],[Organization Name]]</f>
        <v/>
      </c>
      <c r="Z15" s="66"/>
      <c r="AA15" s="69"/>
    </row>
    <row r="16" spans="1:27" s="19" customFormat="1" ht="30" customHeight="1" x14ac:dyDescent="0.25">
      <c r="A16" s="21"/>
      <c r="B16" s="22"/>
      <c r="C16" s="22"/>
      <c r="D16" s="24"/>
      <c r="E16" s="24"/>
      <c r="F16" s="24"/>
      <c r="G16" s="24"/>
      <c r="H16" s="25"/>
      <c r="I16" s="25"/>
      <c r="J16" s="25"/>
      <c r="K16" s="25"/>
      <c r="L16" s="26"/>
      <c r="M16" s="59" t="str">
        <f>IFERROR(INDEX(Vocab_NameList!$O:$O,MATCH($J16, Vocab_NameList!$M:$M, 0)),"")</f>
        <v/>
      </c>
      <c r="N16" s="29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62" t="str">
        <f>Table2[[#This Row],[Governorate
(Select from Dropdown)]]&amp;Table2[[#This Row],[Neighborhood
(Select from Dropdown)]]&amp;Table2[[#This Row],[Organization Name]]</f>
        <v/>
      </c>
      <c r="Z16" s="66"/>
      <c r="AA16" s="69"/>
    </row>
    <row r="17" spans="1:27" s="19" customFormat="1" ht="30" customHeight="1" x14ac:dyDescent="0.25">
      <c r="A17" s="21"/>
      <c r="B17" s="22"/>
      <c r="C17" s="22"/>
      <c r="D17" s="24"/>
      <c r="E17" s="24"/>
      <c r="F17" s="24"/>
      <c r="G17" s="24"/>
      <c r="H17" s="25"/>
      <c r="I17" s="25"/>
      <c r="J17" s="25"/>
      <c r="K17" s="25"/>
      <c r="L17" s="26"/>
      <c r="M17" s="59" t="str">
        <f>IFERROR(INDEX(Vocab_NameList!$O:$O,MATCH($J17, Vocab_NameList!$M:$M, 0)),"")</f>
        <v/>
      </c>
      <c r="N17" s="29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62" t="str">
        <f>Table2[[#This Row],[Governorate
(Select from Dropdown)]]&amp;Table2[[#This Row],[Neighborhood
(Select from Dropdown)]]&amp;Table2[[#This Row],[Organization Name]]</f>
        <v/>
      </c>
      <c r="Z17" s="66"/>
      <c r="AA17" s="69"/>
    </row>
    <row r="18" spans="1:27" s="19" customFormat="1" ht="30" customHeight="1" x14ac:dyDescent="0.25">
      <c r="A18" s="21"/>
      <c r="B18" s="22"/>
      <c r="C18" s="22"/>
      <c r="D18" s="24"/>
      <c r="E18" s="24"/>
      <c r="F18" s="24"/>
      <c r="G18" s="24"/>
      <c r="H18" s="25"/>
      <c r="I18" s="25"/>
      <c r="J18" s="25"/>
      <c r="K18" s="25"/>
      <c r="L18" s="26"/>
      <c r="M18" s="59" t="str">
        <f>IFERROR(INDEX(Vocab_NameList!$O:$O,MATCH($J18, Vocab_NameList!$M:$M, 0)),"")</f>
        <v/>
      </c>
      <c r="N18" s="29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62" t="str">
        <f>Table2[[#This Row],[Governorate
(Select from Dropdown)]]&amp;Table2[[#This Row],[Neighborhood
(Select from Dropdown)]]&amp;Table2[[#This Row],[Organization Name]]</f>
        <v/>
      </c>
      <c r="Z18" s="66"/>
      <c r="AA18" s="69"/>
    </row>
    <row r="19" spans="1:27" s="19" customFormat="1" ht="30" customHeight="1" x14ac:dyDescent="0.25">
      <c r="A19" s="21"/>
      <c r="B19" s="22"/>
      <c r="C19" s="22"/>
      <c r="D19" s="24"/>
      <c r="E19" s="24"/>
      <c r="F19" s="24"/>
      <c r="G19" s="24"/>
      <c r="H19" s="25"/>
      <c r="I19" s="25"/>
      <c r="J19" s="25"/>
      <c r="K19" s="25"/>
      <c r="L19" s="26"/>
      <c r="M19" s="59" t="str">
        <f>IFERROR(INDEX(Vocab_NameList!$O:$O,MATCH($J19, Vocab_NameList!$M:$M, 0)),"")</f>
        <v/>
      </c>
      <c r="N19" s="29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62" t="str">
        <f>Table2[[#This Row],[Governorate
(Select from Dropdown)]]&amp;Table2[[#This Row],[Neighborhood
(Select from Dropdown)]]&amp;Table2[[#This Row],[Organization Name]]</f>
        <v/>
      </c>
      <c r="Z19" s="66"/>
      <c r="AA19" s="69"/>
    </row>
    <row r="20" spans="1:27" s="19" customFormat="1" ht="30" customHeight="1" x14ac:dyDescent="0.25">
      <c r="A20" s="21"/>
      <c r="B20" s="22"/>
      <c r="C20" s="22"/>
      <c r="D20" s="24"/>
      <c r="E20" s="24"/>
      <c r="F20" s="24"/>
      <c r="G20" s="24"/>
      <c r="H20" s="25"/>
      <c r="I20" s="25"/>
      <c r="J20" s="25"/>
      <c r="K20" s="25"/>
      <c r="L20" s="26"/>
      <c r="M20" s="59" t="str">
        <f>IFERROR(INDEX(Vocab_NameList!$O:$O,MATCH($J20, Vocab_NameList!$M:$M, 0)),"")</f>
        <v/>
      </c>
      <c r="N20" s="29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62" t="str">
        <f>Table2[[#This Row],[Governorate
(Select from Dropdown)]]&amp;Table2[[#This Row],[Neighborhood
(Select from Dropdown)]]&amp;Table2[[#This Row],[Organization Name]]</f>
        <v/>
      </c>
      <c r="Z20" s="66"/>
      <c r="AA20" s="69"/>
    </row>
    <row r="21" spans="1:27" s="19" customFormat="1" ht="30" customHeight="1" x14ac:dyDescent="0.25">
      <c r="A21" s="21"/>
      <c r="B21" s="22"/>
      <c r="C21" s="22"/>
      <c r="D21" s="24"/>
      <c r="E21" s="24"/>
      <c r="F21" s="24"/>
      <c r="G21" s="24"/>
      <c r="H21" s="25"/>
      <c r="I21" s="25"/>
      <c r="J21" s="25"/>
      <c r="K21" s="25"/>
      <c r="L21" s="26"/>
      <c r="M21" s="59" t="str">
        <f>IFERROR(INDEX(Vocab_NameList!$O:$O,MATCH($J21, Vocab_NameList!$M:$M, 0)),"")</f>
        <v/>
      </c>
      <c r="N21" s="29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62" t="str">
        <f>Table2[[#This Row],[Governorate
(Select from Dropdown)]]&amp;Table2[[#This Row],[Neighborhood
(Select from Dropdown)]]&amp;Table2[[#This Row],[Organization Name]]</f>
        <v/>
      </c>
      <c r="Z21" s="66"/>
      <c r="AA21" s="69"/>
    </row>
    <row r="22" spans="1:27" s="19" customFormat="1" ht="30" customHeight="1" x14ac:dyDescent="0.25">
      <c r="A22" s="21"/>
      <c r="B22" s="22"/>
      <c r="C22" s="22"/>
      <c r="D22" s="24"/>
      <c r="E22" s="24"/>
      <c r="F22" s="24"/>
      <c r="G22" s="24"/>
      <c r="H22" s="25"/>
      <c r="I22" s="25"/>
      <c r="J22" s="25"/>
      <c r="K22" s="25"/>
      <c r="L22" s="26"/>
      <c r="M22" s="59" t="str">
        <f>IFERROR(INDEX(Vocab_NameList!$O:$O,MATCH($J22, Vocab_NameList!$M:$M, 0)),"")</f>
        <v/>
      </c>
      <c r="N22" s="29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62" t="str">
        <f>Table2[[#This Row],[Governorate
(Select from Dropdown)]]&amp;Table2[[#This Row],[Neighborhood
(Select from Dropdown)]]&amp;Table2[[#This Row],[Organization Name]]</f>
        <v/>
      </c>
      <c r="Z22" s="66"/>
      <c r="AA22" s="69"/>
    </row>
    <row r="23" spans="1:27" s="19" customFormat="1" ht="30" customHeight="1" x14ac:dyDescent="0.25">
      <c r="A23" s="21"/>
      <c r="B23" s="22"/>
      <c r="C23" s="22"/>
      <c r="D23" s="24"/>
      <c r="E23" s="24"/>
      <c r="F23" s="24"/>
      <c r="G23" s="24"/>
      <c r="H23" s="25"/>
      <c r="I23" s="25"/>
      <c r="J23" s="25"/>
      <c r="K23" s="25"/>
      <c r="L23" s="26"/>
      <c r="M23" s="59" t="str">
        <f>IFERROR(INDEX(Vocab_NameList!$O:$O,MATCH($J23, Vocab_NameList!$M:$M, 0)),"")</f>
        <v/>
      </c>
      <c r="N23" s="29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62" t="str">
        <f>Table2[[#This Row],[Governorate
(Select from Dropdown)]]&amp;Table2[[#This Row],[Neighborhood
(Select from Dropdown)]]&amp;Table2[[#This Row],[Organization Name]]</f>
        <v/>
      </c>
      <c r="Z23" s="66"/>
      <c r="AA23" s="69"/>
    </row>
    <row r="24" spans="1:27" ht="30" customHeight="1" x14ac:dyDescent="0.25">
      <c r="A24" s="21"/>
      <c r="B24" s="33"/>
      <c r="C24" s="33"/>
      <c r="D24" s="24"/>
      <c r="E24" s="24"/>
      <c r="F24" s="24"/>
      <c r="G24" s="24"/>
      <c r="H24" s="34"/>
      <c r="I24" s="25"/>
      <c r="J24" s="25"/>
      <c r="K24" s="25"/>
      <c r="L24" s="26"/>
      <c r="M24" s="59" t="str">
        <f>IFERROR(INDEX(Vocab_NameList!$O:$O,MATCH($J24, Vocab_NameList!$M:$M, 0)),"")</f>
        <v/>
      </c>
      <c r="N24" s="29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63" t="str">
        <f>Table2[[#This Row],[Governorate
(Select from Dropdown)]]&amp;Table2[[#This Row],[Neighborhood
(Select from Dropdown)]]&amp;Table2[[#This Row],[Organization Name]]</f>
        <v/>
      </c>
      <c r="Z24" s="67"/>
    </row>
    <row r="25" spans="1:27" ht="30" customHeight="1" x14ac:dyDescent="0.25">
      <c r="A25" s="21"/>
      <c r="B25" s="33"/>
      <c r="C25" s="33"/>
      <c r="D25" s="24"/>
      <c r="E25" s="24"/>
      <c r="F25" s="24"/>
      <c r="G25" s="24"/>
      <c r="H25" s="34"/>
      <c r="I25" s="25"/>
      <c r="J25" s="25"/>
      <c r="K25" s="25"/>
      <c r="L25" s="26"/>
      <c r="M25" s="59" t="str">
        <f>IFERROR(INDEX(Vocab_NameList!$O:$O,MATCH($J25, Vocab_NameList!$M:$M, 0)),"")</f>
        <v/>
      </c>
      <c r="N25" s="29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63" t="str">
        <f>Table2[[#This Row],[Governorate
(Select from Dropdown)]]&amp;Table2[[#This Row],[Neighborhood
(Select from Dropdown)]]&amp;Table2[[#This Row],[Organization Name]]</f>
        <v/>
      </c>
      <c r="Z25" s="67"/>
    </row>
    <row r="26" spans="1:27" ht="30" customHeight="1" x14ac:dyDescent="0.25">
      <c r="A26" s="21"/>
      <c r="B26" s="33"/>
      <c r="C26" s="33"/>
      <c r="D26" s="24"/>
      <c r="E26" s="24"/>
      <c r="F26" s="24"/>
      <c r="G26" s="24"/>
      <c r="H26" s="34"/>
      <c r="I26" s="25"/>
      <c r="J26" s="25"/>
      <c r="K26" s="25"/>
      <c r="L26" s="26"/>
      <c r="M26" s="59" t="str">
        <f>IFERROR(INDEX(Vocab_NameList!$O:$O,MATCH($J26, Vocab_NameList!$M:$M, 0)),"")</f>
        <v/>
      </c>
      <c r="N26" s="29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63" t="str">
        <f>Table2[[#This Row],[Governorate
(Select from Dropdown)]]&amp;Table2[[#This Row],[Neighborhood
(Select from Dropdown)]]&amp;Table2[[#This Row],[Organization Name]]</f>
        <v/>
      </c>
      <c r="Z26" s="67"/>
    </row>
    <row r="27" spans="1:27" ht="30" customHeight="1" x14ac:dyDescent="0.25">
      <c r="A27" s="21"/>
      <c r="B27" s="33"/>
      <c r="C27" s="33"/>
      <c r="D27" s="24"/>
      <c r="E27" s="24"/>
      <c r="F27" s="24"/>
      <c r="G27" s="24"/>
      <c r="H27" s="34"/>
      <c r="I27" s="25"/>
      <c r="J27" s="25"/>
      <c r="K27" s="25"/>
      <c r="L27" s="26"/>
      <c r="M27" s="59" t="str">
        <f>IFERROR(INDEX(Vocab_NameList!$O:$O,MATCH($J27, Vocab_NameList!$M:$M, 0)),"")</f>
        <v/>
      </c>
      <c r="N27" s="29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63" t="str">
        <f>Table2[[#This Row],[Governorate
(Select from Dropdown)]]&amp;Table2[[#This Row],[Neighborhood
(Select from Dropdown)]]&amp;Table2[[#This Row],[Organization Name]]</f>
        <v/>
      </c>
      <c r="Z27" s="67"/>
    </row>
    <row r="28" spans="1:27" ht="30" customHeight="1" x14ac:dyDescent="0.25">
      <c r="A28" s="21"/>
      <c r="B28" s="33"/>
      <c r="C28" s="33"/>
      <c r="D28" s="24"/>
      <c r="E28" s="24"/>
      <c r="F28" s="24"/>
      <c r="G28" s="24"/>
      <c r="H28" s="34"/>
      <c r="I28" s="25"/>
      <c r="J28" s="25"/>
      <c r="K28" s="25"/>
      <c r="L28" s="26"/>
      <c r="M28" s="59" t="str">
        <f>IFERROR(INDEX(Vocab_NameList!$O:$O,MATCH($J28, Vocab_NameList!$M:$M, 0)),"")</f>
        <v/>
      </c>
      <c r="N28" s="29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63" t="str">
        <f>Table2[[#This Row],[Governorate
(Select from Dropdown)]]&amp;Table2[[#This Row],[Neighborhood
(Select from Dropdown)]]&amp;Table2[[#This Row],[Organization Name]]</f>
        <v/>
      </c>
      <c r="Z28" s="67"/>
    </row>
    <row r="29" spans="1:27" ht="30" customHeight="1" x14ac:dyDescent="0.25">
      <c r="A29" s="21"/>
      <c r="B29" s="33"/>
      <c r="C29" s="33"/>
      <c r="D29" s="24"/>
      <c r="E29" s="24"/>
      <c r="F29" s="24"/>
      <c r="G29" s="24"/>
      <c r="H29" s="34"/>
      <c r="I29" s="25"/>
      <c r="J29" s="25"/>
      <c r="K29" s="25"/>
      <c r="L29" s="26"/>
      <c r="M29" s="59" t="str">
        <f>IFERROR(INDEX(Vocab_NameList!$O:$O,MATCH($J29, Vocab_NameList!$M:$M, 0)),"")</f>
        <v/>
      </c>
      <c r="N29" s="29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63" t="str">
        <f>Table2[[#This Row],[Governorate
(Select from Dropdown)]]&amp;Table2[[#This Row],[Neighborhood
(Select from Dropdown)]]&amp;Table2[[#This Row],[Organization Name]]</f>
        <v/>
      </c>
      <c r="Z29" s="67"/>
    </row>
    <row r="30" spans="1:27" ht="30" customHeight="1" x14ac:dyDescent="0.25">
      <c r="A30" s="21"/>
      <c r="B30" s="33"/>
      <c r="C30" s="33"/>
      <c r="D30" s="24"/>
      <c r="E30" s="24"/>
      <c r="F30" s="24"/>
      <c r="G30" s="24"/>
      <c r="H30" s="34"/>
      <c r="I30" s="25"/>
      <c r="J30" s="25"/>
      <c r="K30" s="25"/>
      <c r="L30" s="26"/>
      <c r="M30" s="59" t="str">
        <f>IFERROR(INDEX(Vocab_NameList!$O:$O,MATCH($J30, Vocab_NameList!$M:$M, 0)),"")</f>
        <v/>
      </c>
      <c r="N30" s="29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63" t="str">
        <f>Table2[[#This Row],[Governorate
(Select from Dropdown)]]&amp;Table2[[#This Row],[Neighborhood
(Select from Dropdown)]]&amp;Table2[[#This Row],[Organization Name]]</f>
        <v/>
      </c>
      <c r="Z30" s="67"/>
    </row>
    <row r="31" spans="1:27" ht="30" customHeight="1" x14ac:dyDescent="0.25">
      <c r="A31" s="21"/>
      <c r="B31" s="33"/>
      <c r="C31" s="33"/>
      <c r="D31" s="24"/>
      <c r="E31" s="24"/>
      <c r="F31" s="24"/>
      <c r="G31" s="24"/>
      <c r="H31" s="34"/>
      <c r="I31" s="25"/>
      <c r="J31" s="25"/>
      <c r="K31" s="25"/>
      <c r="L31" s="26"/>
      <c r="M31" s="59" t="str">
        <f>IFERROR(INDEX(Vocab_NameList!$O:$O,MATCH($J31, Vocab_NameList!$M:$M, 0)),"")</f>
        <v/>
      </c>
      <c r="N31" s="29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63" t="str">
        <f>Table2[[#This Row],[Governorate
(Select from Dropdown)]]&amp;Table2[[#This Row],[Neighborhood
(Select from Dropdown)]]&amp;Table2[[#This Row],[Organization Name]]</f>
        <v/>
      </c>
      <c r="Z31" s="67"/>
    </row>
    <row r="32" spans="1:27" ht="30" customHeight="1" x14ac:dyDescent="0.25">
      <c r="A32" s="21"/>
      <c r="B32" s="33"/>
      <c r="C32" s="33"/>
      <c r="D32" s="24"/>
      <c r="E32" s="24"/>
      <c r="F32" s="24"/>
      <c r="G32" s="24"/>
      <c r="H32" s="34"/>
      <c r="I32" s="25"/>
      <c r="J32" s="25"/>
      <c r="K32" s="25"/>
      <c r="L32" s="26"/>
      <c r="M32" s="59" t="str">
        <f>IFERROR(INDEX(Vocab_NameList!$O:$O,MATCH($J32, Vocab_NameList!$M:$M, 0)),"")</f>
        <v/>
      </c>
      <c r="N32" s="29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63" t="str">
        <f>Table2[[#This Row],[Governorate
(Select from Dropdown)]]&amp;Table2[[#This Row],[Neighborhood
(Select from Dropdown)]]&amp;Table2[[#This Row],[Organization Name]]</f>
        <v/>
      </c>
      <c r="Z32" s="67"/>
    </row>
    <row r="33" spans="1:26" ht="30" customHeight="1" x14ac:dyDescent="0.25">
      <c r="A33" s="21"/>
      <c r="B33" s="33"/>
      <c r="C33" s="33"/>
      <c r="D33" s="24"/>
      <c r="E33" s="24"/>
      <c r="F33" s="24"/>
      <c r="G33" s="24"/>
      <c r="H33" s="34"/>
      <c r="I33" s="25"/>
      <c r="J33" s="25"/>
      <c r="K33" s="25"/>
      <c r="L33" s="26"/>
      <c r="M33" s="59" t="str">
        <f>IFERROR(INDEX(Vocab_NameList!$O:$O,MATCH($J33, Vocab_NameList!$M:$M, 0)),"")</f>
        <v/>
      </c>
      <c r="N33" s="29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63" t="str">
        <f>Table2[[#This Row],[Governorate
(Select from Dropdown)]]&amp;Table2[[#This Row],[Neighborhood
(Select from Dropdown)]]&amp;Table2[[#This Row],[Organization Name]]</f>
        <v/>
      </c>
      <c r="Z33" s="67"/>
    </row>
    <row r="34" spans="1:26" ht="30" customHeight="1" x14ac:dyDescent="0.25">
      <c r="A34" s="21"/>
      <c r="B34" s="33"/>
      <c r="C34" s="33"/>
      <c r="D34" s="24"/>
      <c r="E34" s="24"/>
      <c r="F34" s="24"/>
      <c r="G34" s="24"/>
      <c r="H34" s="34"/>
      <c r="I34" s="25"/>
      <c r="J34" s="25"/>
      <c r="K34" s="25"/>
      <c r="L34" s="26"/>
      <c r="M34" s="59" t="str">
        <f>IFERROR(INDEX(Vocab_NameList!$O:$O,MATCH($J34, Vocab_NameList!$M:$M, 0)),"")</f>
        <v/>
      </c>
      <c r="N34" s="29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63" t="str">
        <f>Table2[[#This Row],[Governorate
(Select from Dropdown)]]&amp;Table2[[#This Row],[Neighborhood
(Select from Dropdown)]]&amp;Table2[[#This Row],[Organization Name]]</f>
        <v/>
      </c>
      <c r="Z34" s="67"/>
    </row>
    <row r="35" spans="1:26" ht="30" customHeight="1" x14ac:dyDescent="0.25">
      <c r="A35" s="21"/>
      <c r="B35" s="33"/>
      <c r="C35" s="33"/>
      <c r="D35" s="24"/>
      <c r="E35" s="24"/>
      <c r="F35" s="24"/>
      <c r="G35" s="24"/>
      <c r="H35" s="34"/>
      <c r="I35" s="25"/>
      <c r="J35" s="25"/>
      <c r="K35" s="25"/>
      <c r="L35" s="26"/>
      <c r="M35" s="59" t="str">
        <f>IFERROR(INDEX(Vocab_NameList!$O:$O,MATCH($J35, Vocab_NameList!$M:$M, 0)),"")</f>
        <v/>
      </c>
      <c r="N35" s="29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63" t="str">
        <f>Table2[[#This Row],[Governorate
(Select from Dropdown)]]&amp;Table2[[#This Row],[Neighborhood
(Select from Dropdown)]]&amp;Table2[[#This Row],[Organization Name]]</f>
        <v/>
      </c>
      <c r="Z35" s="67"/>
    </row>
    <row r="36" spans="1:26" ht="30" customHeight="1" x14ac:dyDescent="0.25">
      <c r="A36" s="21"/>
      <c r="B36" s="33"/>
      <c r="C36" s="33"/>
      <c r="D36" s="24"/>
      <c r="E36" s="24"/>
      <c r="F36" s="24"/>
      <c r="G36" s="24"/>
      <c r="H36" s="34"/>
      <c r="I36" s="25"/>
      <c r="J36" s="25"/>
      <c r="K36" s="25"/>
      <c r="L36" s="26"/>
      <c r="M36" s="59" t="str">
        <f>IFERROR(INDEX(Vocab_NameList!$O:$O,MATCH($J36, Vocab_NameList!$M:$M, 0)),"")</f>
        <v/>
      </c>
      <c r="N36" s="29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63" t="str">
        <f>Table2[[#This Row],[Governorate
(Select from Dropdown)]]&amp;Table2[[#This Row],[Neighborhood
(Select from Dropdown)]]&amp;Table2[[#This Row],[Organization Name]]</f>
        <v/>
      </c>
      <c r="Z36" s="67"/>
    </row>
    <row r="37" spans="1:26" ht="30" customHeight="1" x14ac:dyDescent="0.25">
      <c r="A37" s="21"/>
      <c r="B37" s="33"/>
      <c r="C37" s="33"/>
      <c r="D37" s="24"/>
      <c r="E37" s="24"/>
      <c r="F37" s="24"/>
      <c r="G37" s="24"/>
      <c r="H37" s="34"/>
      <c r="I37" s="25"/>
      <c r="J37" s="25"/>
      <c r="K37" s="25"/>
      <c r="L37" s="26"/>
      <c r="M37" s="59" t="str">
        <f>IFERROR(INDEX(Vocab_NameList!$O:$O,MATCH($J37, Vocab_NameList!$M:$M, 0)),"")</f>
        <v/>
      </c>
      <c r="N37" s="29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63" t="str">
        <f>Table2[[#This Row],[Governorate
(Select from Dropdown)]]&amp;Table2[[#This Row],[Neighborhood
(Select from Dropdown)]]&amp;Table2[[#This Row],[Organization Name]]</f>
        <v/>
      </c>
      <c r="Z37" s="67"/>
    </row>
    <row r="38" spans="1:26" ht="30" customHeight="1" x14ac:dyDescent="0.25">
      <c r="A38" s="21"/>
      <c r="B38" s="33"/>
      <c r="C38" s="33"/>
      <c r="D38" s="24"/>
      <c r="E38" s="24"/>
      <c r="F38" s="24"/>
      <c r="G38" s="24"/>
      <c r="H38" s="34"/>
      <c r="I38" s="25"/>
      <c r="J38" s="25"/>
      <c r="K38" s="25"/>
      <c r="L38" s="26"/>
      <c r="M38" s="59" t="str">
        <f>IFERROR(INDEX(Vocab_NameList!$O:$O,MATCH($J38, Vocab_NameList!$M:$M, 0)),"")</f>
        <v/>
      </c>
      <c r="N38" s="29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63" t="str">
        <f>Table2[[#This Row],[Governorate
(Select from Dropdown)]]&amp;Table2[[#This Row],[Neighborhood
(Select from Dropdown)]]&amp;Table2[[#This Row],[Organization Name]]</f>
        <v/>
      </c>
      <c r="Z38" s="67"/>
    </row>
    <row r="39" spans="1:26" ht="30" customHeight="1" x14ac:dyDescent="0.25">
      <c r="A39" s="21"/>
      <c r="B39" s="33"/>
      <c r="C39" s="33"/>
      <c r="D39" s="24"/>
      <c r="E39" s="24"/>
      <c r="F39" s="24"/>
      <c r="G39" s="24"/>
      <c r="H39" s="34"/>
      <c r="I39" s="25"/>
      <c r="J39" s="25"/>
      <c r="K39" s="25"/>
      <c r="L39" s="26"/>
      <c r="M39" s="59" t="str">
        <f>IFERROR(INDEX(Vocab_NameList!$O:$O,MATCH($J39, Vocab_NameList!$M:$M, 0)),"")</f>
        <v/>
      </c>
      <c r="N39" s="29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63" t="str">
        <f>Table2[[#This Row],[Governorate
(Select from Dropdown)]]&amp;Table2[[#This Row],[Neighborhood
(Select from Dropdown)]]&amp;Table2[[#This Row],[Organization Name]]</f>
        <v/>
      </c>
      <c r="Z39" s="67"/>
    </row>
    <row r="40" spans="1:26" ht="30" customHeight="1" x14ac:dyDescent="0.25">
      <c r="A40" s="21"/>
      <c r="B40" s="33"/>
      <c r="C40" s="33"/>
      <c r="D40" s="24"/>
      <c r="E40" s="24"/>
      <c r="F40" s="24"/>
      <c r="G40" s="24"/>
      <c r="H40" s="34"/>
      <c r="I40" s="25"/>
      <c r="J40" s="25"/>
      <c r="K40" s="25"/>
      <c r="L40" s="26"/>
      <c r="M40" s="59" t="str">
        <f>IFERROR(INDEX(Vocab_NameList!$O:$O,MATCH($J40, Vocab_NameList!$M:$M, 0)),"")</f>
        <v/>
      </c>
      <c r="N40" s="29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63" t="str">
        <f>Table2[[#This Row],[Governorate
(Select from Dropdown)]]&amp;Table2[[#This Row],[Neighborhood
(Select from Dropdown)]]&amp;Table2[[#This Row],[Organization Name]]</f>
        <v/>
      </c>
      <c r="Z40" s="67"/>
    </row>
    <row r="41" spans="1:26" ht="30" customHeight="1" x14ac:dyDescent="0.25">
      <c r="A41" s="21"/>
      <c r="B41" s="33"/>
      <c r="C41" s="33"/>
      <c r="D41" s="24"/>
      <c r="E41" s="24"/>
      <c r="F41" s="24"/>
      <c r="G41" s="24"/>
      <c r="H41" s="34"/>
      <c r="I41" s="25"/>
      <c r="J41" s="25"/>
      <c r="K41" s="25"/>
      <c r="L41" s="26"/>
      <c r="M41" s="59" t="str">
        <f>IFERROR(INDEX(Vocab_NameList!$O:$O,MATCH($J41, Vocab_NameList!$M:$M, 0)),"")</f>
        <v/>
      </c>
      <c r="N41" s="29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63" t="str">
        <f>Table2[[#This Row],[Governorate
(Select from Dropdown)]]&amp;Table2[[#This Row],[Neighborhood
(Select from Dropdown)]]&amp;Table2[[#This Row],[Organization Name]]</f>
        <v/>
      </c>
      <c r="Z41" s="67"/>
    </row>
    <row r="42" spans="1:26" ht="30" customHeight="1" x14ac:dyDescent="0.25">
      <c r="A42" s="21"/>
      <c r="B42" s="33"/>
      <c r="C42" s="33"/>
      <c r="D42" s="24"/>
      <c r="E42" s="24"/>
      <c r="F42" s="24"/>
      <c r="G42" s="24"/>
      <c r="H42" s="34"/>
      <c r="I42" s="25"/>
      <c r="J42" s="25"/>
      <c r="K42" s="25"/>
      <c r="L42" s="26"/>
      <c r="M42" s="59" t="str">
        <f>IFERROR(INDEX(Vocab_NameList!$O:$O,MATCH($J42, Vocab_NameList!$M:$M, 0)),"")</f>
        <v/>
      </c>
      <c r="N42" s="29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63" t="str">
        <f>Table2[[#This Row],[Governorate
(Select from Dropdown)]]&amp;Table2[[#This Row],[Neighborhood
(Select from Dropdown)]]&amp;Table2[[#This Row],[Organization Name]]</f>
        <v/>
      </c>
      <c r="Z42" s="67"/>
    </row>
    <row r="43" spans="1:26" ht="30" customHeight="1" x14ac:dyDescent="0.25">
      <c r="A43" s="21"/>
      <c r="B43" s="33"/>
      <c r="C43" s="33"/>
      <c r="D43" s="24"/>
      <c r="E43" s="24"/>
      <c r="F43" s="24"/>
      <c r="G43" s="24"/>
      <c r="H43" s="34"/>
      <c r="I43" s="25"/>
      <c r="J43" s="25"/>
      <c r="K43" s="25"/>
      <c r="L43" s="26"/>
      <c r="M43" s="59" t="str">
        <f>IFERROR(INDEX(Vocab_NameList!$O:$O,MATCH($J43, Vocab_NameList!$M:$M, 0)),"")</f>
        <v/>
      </c>
      <c r="N43" s="29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63" t="str">
        <f>Table2[[#This Row],[Governorate
(Select from Dropdown)]]&amp;Table2[[#This Row],[Neighborhood
(Select from Dropdown)]]&amp;Table2[[#This Row],[Organization Name]]</f>
        <v/>
      </c>
      <c r="Z43" s="67"/>
    </row>
    <row r="44" spans="1:26" ht="30" customHeight="1" x14ac:dyDescent="0.25">
      <c r="A44" s="21"/>
      <c r="B44" s="33"/>
      <c r="C44" s="33"/>
      <c r="D44" s="24"/>
      <c r="E44" s="24"/>
      <c r="F44" s="24"/>
      <c r="G44" s="24"/>
      <c r="H44" s="34"/>
      <c r="I44" s="25"/>
      <c r="J44" s="25"/>
      <c r="K44" s="25"/>
      <c r="L44" s="26"/>
      <c r="M44" s="59" t="str">
        <f>IFERROR(INDEX(Vocab_NameList!$O:$O,MATCH($J44, Vocab_NameList!$M:$M, 0)),"")</f>
        <v/>
      </c>
      <c r="N44" s="29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63" t="str">
        <f>Table2[[#This Row],[Governorate
(Select from Dropdown)]]&amp;Table2[[#This Row],[Neighborhood
(Select from Dropdown)]]&amp;Table2[[#This Row],[Organization Name]]</f>
        <v/>
      </c>
      <c r="Z44" s="67"/>
    </row>
    <row r="45" spans="1:26" ht="30" customHeight="1" x14ac:dyDescent="0.25">
      <c r="A45" s="21"/>
      <c r="B45" s="33"/>
      <c r="C45" s="33"/>
      <c r="D45" s="24"/>
      <c r="E45" s="24"/>
      <c r="F45" s="24"/>
      <c r="G45" s="24"/>
      <c r="H45" s="34"/>
      <c r="I45" s="25"/>
      <c r="J45" s="25"/>
      <c r="K45" s="25"/>
      <c r="L45" s="26"/>
      <c r="M45" s="59" t="str">
        <f>IFERROR(INDEX(Vocab_NameList!$O:$O,MATCH($J45, Vocab_NameList!$M:$M, 0)),"")</f>
        <v/>
      </c>
      <c r="N45" s="29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63" t="str">
        <f>Table2[[#This Row],[Governorate
(Select from Dropdown)]]&amp;Table2[[#This Row],[Neighborhood
(Select from Dropdown)]]&amp;Table2[[#This Row],[Organization Name]]</f>
        <v/>
      </c>
      <c r="Z45" s="67"/>
    </row>
    <row r="46" spans="1:26" ht="30" customHeight="1" x14ac:dyDescent="0.25">
      <c r="A46" s="21"/>
      <c r="B46" s="33"/>
      <c r="C46" s="33"/>
      <c r="D46" s="24"/>
      <c r="E46" s="24"/>
      <c r="F46" s="24"/>
      <c r="G46" s="24"/>
      <c r="H46" s="34"/>
      <c r="I46" s="25"/>
      <c r="J46" s="25"/>
      <c r="K46" s="25"/>
      <c r="L46" s="26"/>
      <c r="M46" s="59" t="str">
        <f>IFERROR(INDEX(Vocab_NameList!$O:$O,MATCH($J46, Vocab_NameList!$M:$M, 0)),"")</f>
        <v/>
      </c>
      <c r="N46" s="29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63" t="str">
        <f>Table2[[#This Row],[Governorate
(Select from Dropdown)]]&amp;Table2[[#This Row],[Neighborhood
(Select from Dropdown)]]&amp;Table2[[#This Row],[Organization Name]]</f>
        <v/>
      </c>
      <c r="Z46" s="67"/>
    </row>
    <row r="47" spans="1:26" ht="30" customHeight="1" x14ac:dyDescent="0.25">
      <c r="A47" s="21"/>
      <c r="B47" s="33"/>
      <c r="C47" s="33"/>
      <c r="D47" s="24"/>
      <c r="E47" s="24"/>
      <c r="F47" s="24"/>
      <c r="G47" s="24"/>
      <c r="H47" s="34"/>
      <c r="I47" s="25"/>
      <c r="J47" s="25"/>
      <c r="K47" s="25"/>
      <c r="L47" s="26"/>
      <c r="M47" s="59" t="str">
        <f>IFERROR(INDEX(Vocab_NameList!$O:$O,MATCH($J47, Vocab_NameList!$M:$M, 0)),"")</f>
        <v/>
      </c>
      <c r="N47" s="29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63" t="str">
        <f>Table2[[#This Row],[Governorate
(Select from Dropdown)]]&amp;Table2[[#This Row],[Neighborhood
(Select from Dropdown)]]&amp;Table2[[#This Row],[Organization Name]]</f>
        <v/>
      </c>
      <c r="Z47" s="67"/>
    </row>
    <row r="48" spans="1:26" ht="30" customHeight="1" x14ac:dyDescent="0.25">
      <c r="A48" s="21"/>
      <c r="B48" s="33"/>
      <c r="C48" s="33"/>
      <c r="D48" s="24"/>
      <c r="E48" s="24"/>
      <c r="F48" s="24"/>
      <c r="G48" s="24"/>
      <c r="H48" s="34"/>
      <c r="I48" s="25"/>
      <c r="J48" s="25"/>
      <c r="K48" s="25"/>
      <c r="L48" s="26"/>
      <c r="M48" s="59" t="str">
        <f>IFERROR(INDEX(Vocab_NameList!$O:$O,MATCH($J48, Vocab_NameList!$M:$M, 0)),"")</f>
        <v/>
      </c>
      <c r="N48" s="29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63" t="str">
        <f>Table2[[#This Row],[Governorate
(Select from Dropdown)]]&amp;Table2[[#This Row],[Neighborhood
(Select from Dropdown)]]&amp;Table2[[#This Row],[Organization Name]]</f>
        <v/>
      </c>
      <c r="Z48" s="67"/>
    </row>
    <row r="49" spans="1:26" ht="30" customHeight="1" x14ac:dyDescent="0.25">
      <c r="A49" s="21"/>
      <c r="B49" s="33"/>
      <c r="C49" s="33"/>
      <c r="D49" s="24"/>
      <c r="E49" s="24"/>
      <c r="F49" s="24"/>
      <c r="G49" s="24"/>
      <c r="H49" s="34"/>
      <c r="I49" s="25"/>
      <c r="J49" s="25"/>
      <c r="K49" s="25"/>
      <c r="L49" s="26"/>
      <c r="M49" s="59" t="str">
        <f>IFERROR(INDEX(Vocab_NameList!$O:$O,MATCH($J49, Vocab_NameList!$M:$M, 0)),"")</f>
        <v/>
      </c>
      <c r="N49" s="29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63" t="str">
        <f>Table2[[#This Row],[Governorate
(Select from Dropdown)]]&amp;Table2[[#This Row],[Neighborhood
(Select from Dropdown)]]&amp;Table2[[#This Row],[Organization Name]]</f>
        <v/>
      </c>
      <c r="Z49" s="67"/>
    </row>
    <row r="50" spans="1:26" ht="30" customHeight="1" x14ac:dyDescent="0.25">
      <c r="A50" s="21"/>
      <c r="B50" s="33"/>
      <c r="C50" s="33"/>
      <c r="D50" s="24"/>
      <c r="E50" s="24"/>
      <c r="F50" s="24"/>
      <c r="G50" s="24"/>
      <c r="H50" s="34"/>
      <c r="I50" s="25"/>
      <c r="J50" s="25"/>
      <c r="K50" s="25"/>
      <c r="L50" s="26"/>
      <c r="M50" s="59" t="str">
        <f>IFERROR(INDEX(Vocab_NameList!$O:$O,MATCH($J50, Vocab_NameList!$M:$M, 0)),"")</f>
        <v/>
      </c>
      <c r="N50" s="29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63" t="str">
        <f>Table2[[#This Row],[Governorate
(Select from Dropdown)]]&amp;Table2[[#This Row],[Neighborhood
(Select from Dropdown)]]&amp;Table2[[#This Row],[Organization Name]]</f>
        <v/>
      </c>
      <c r="Z50" s="67"/>
    </row>
    <row r="51" spans="1:26" ht="30" customHeight="1" x14ac:dyDescent="0.25">
      <c r="A51" s="21"/>
      <c r="B51" s="33"/>
      <c r="C51" s="33"/>
      <c r="D51" s="24"/>
      <c r="E51" s="24"/>
      <c r="F51" s="24"/>
      <c r="G51" s="24"/>
      <c r="H51" s="34"/>
      <c r="I51" s="25"/>
      <c r="J51" s="25"/>
      <c r="K51" s="25"/>
      <c r="L51" s="26"/>
      <c r="M51" s="59" t="str">
        <f>IFERROR(INDEX(Vocab_NameList!$O:$O,MATCH($J51, Vocab_NameList!$M:$M, 0)),"")</f>
        <v/>
      </c>
      <c r="N51" s="29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63" t="str">
        <f>Table2[[#This Row],[Governorate
(Select from Dropdown)]]&amp;Table2[[#This Row],[Neighborhood
(Select from Dropdown)]]&amp;Table2[[#This Row],[Organization Name]]</f>
        <v/>
      </c>
      <c r="Z51" s="67"/>
    </row>
    <row r="52" spans="1:26" ht="30" customHeight="1" x14ac:dyDescent="0.25">
      <c r="A52" s="21"/>
      <c r="B52" s="33"/>
      <c r="C52" s="33"/>
      <c r="D52" s="24"/>
      <c r="E52" s="24"/>
      <c r="F52" s="24"/>
      <c r="G52" s="24"/>
      <c r="H52" s="34"/>
      <c r="I52" s="25"/>
      <c r="J52" s="25"/>
      <c r="K52" s="25"/>
      <c r="L52" s="26"/>
      <c r="M52" s="59" t="str">
        <f>IFERROR(INDEX(Vocab_NameList!$O:$O,MATCH($J52, Vocab_NameList!$M:$M, 0)),"")</f>
        <v/>
      </c>
      <c r="N52" s="29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63" t="str">
        <f>Table2[[#This Row],[Governorate
(Select from Dropdown)]]&amp;Table2[[#This Row],[Neighborhood
(Select from Dropdown)]]&amp;Table2[[#This Row],[Organization Name]]</f>
        <v/>
      </c>
      <c r="Z52" s="67"/>
    </row>
    <row r="53" spans="1:26" ht="30" customHeight="1" x14ac:dyDescent="0.25">
      <c r="A53" s="21"/>
      <c r="B53" s="33"/>
      <c r="C53" s="33"/>
      <c r="D53" s="24"/>
      <c r="E53" s="24"/>
      <c r="F53" s="24"/>
      <c r="G53" s="24"/>
      <c r="H53" s="34"/>
      <c r="I53" s="25"/>
      <c r="J53" s="25"/>
      <c r="K53" s="25"/>
      <c r="L53" s="26"/>
      <c r="M53" s="59" t="str">
        <f>IFERROR(INDEX(Vocab_NameList!$O:$O,MATCH($J53, Vocab_NameList!$M:$M, 0)),"")</f>
        <v/>
      </c>
      <c r="N53" s="29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63" t="str">
        <f>Table2[[#This Row],[Governorate
(Select from Dropdown)]]&amp;Table2[[#This Row],[Neighborhood
(Select from Dropdown)]]&amp;Table2[[#This Row],[Organization Name]]</f>
        <v/>
      </c>
      <c r="Z53" s="67"/>
    </row>
    <row r="54" spans="1:26" ht="30" customHeight="1" x14ac:dyDescent="0.25">
      <c r="A54" s="21"/>
      <c r="B54" s="33"/>
      <c r="C54" s="33"/>
      <c r="D54" s="24"/>
      <c r="E54" s="24"/>
      <c r="F54" s="24"/>
      <c r="G54" s="24"/>
      <c r="H54" s="34"/>
      <c r="I54" s="25"/>
      <c r="J54" s="25"/>
      <c r="K54" s="25"/>
      <c r="L54" s="26"/>
      <c r="M54" s="59" t="str">
        <f>IFERROR(INDEX(Vocab_NameList!$O:$O,MATCH($J54, Vocab_NameList!$M:$M, 0)),"")</f>
        <v/>
      </c>
      <c r="N54" s="29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63" t="str">
        <f>Table2[[#This Row],[Governorate
(Select from Dropdown)]]&amp;Table2[[#This Row],[Neighborhood
(Select from Dropdown)]]&amp;Table2[[#This Row],[Organization Name]]</f>
        <v/>
      </c>
      <c r="Z54" s="67"/>
    </row>
    <row r="55" spans="1:26" ht="30" customHeight="1" x14ac:dyDescent="0.25">
      <c r="A55" s="21"/>
      <c r="B55" s="33"/>
      <c r="C55" s="33"/>
      <c r="D55" s="24"/>
      <c r="E55" s="24"/>
      <c r="F55" s="24"/>
      <c r="G55" s="24"/>
      <c r="H55" s="34"/>
      <c r="I55" s="25"/>
      <c r="J55" s="25"/>
      <c r="K55" s="25"/>
      <c r="L55" s="26"/>
      <c r="M55" s="59" t="str">
        <f>IFERROR(INDEX(Vocab_NameList!$O:$O,MATCH($J55, Vocab_NameList!$M:$M, 0)),"")</f>
        <v/>
      </c>
      <c r="N55" s="29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63" t="str">
        <f>Table2[[#This Row],[Governorate
(Select from Dropdown)]]&amp;Table2[[#This Row],[Neighborhood
(Select from Dropdown)]]&amp;Table2[[#This Row],[Organization Name]]</f>
        <v/>
      </c>
      <c r="Z55" s="67"/>
    </row>
    <row r="56" spans="1:26" ht="30" customHeight="1" x14ac:dyDescent="0.25">
      <c r="A56" s="21"/>
      <c r="B56" s="33"/>
      <c r="C56" s="33"/>
      <c r="D56" s="24"/>
      <c r="E56" s="24"/>
      <c r="F56" s="24"/>
      <c r="G56" s="24"/>
      <c r="H56" s="34"/>
      <c r="I56" s="25"/>
      <c r="J56" s="25"/>
      <c r="K56" s="25"/>
      <c r="L56" s="26"/>
      <c r="M56" s="59" t="str">
        <f>IFERROR(INDEX(Vocab_NameList!$O:$O,MATCH($J56, Vocab_NameList!$M:$M, 0)),"")</f>
        <v/>
      </c>
      <c r="N56" s="29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63" t="str">
        <f>Table2[[#This Row],[Governorate
(Select from Dropdown)]]&amp;Table2[[#This Row],[Neighborhood
(Select from Dropdown)]]&amp;Table2[[#This Row],[Organization Name]]</f>
        <v/>
      </c>
      <c r="Z56" s="67"/>
    </row>
    <row r="57" spans="1:26" ht="30" customHeight="1" x14ac:dyDescent="0.25">
      <c r="A57" s="21"/>
      <c r="B57" s="33"/>
      <c r="C57" s="33"/>
      <c r="D57" s="24"/>
      <c r="E57" s="24"/>
      <c r="F57" s="24"/>
      <c r="G57" s="24"/>
      <c r="H57" s="34"/>
      <c r="I57" s="25"/>
      <c r="J57" s="25"/>
      <c r="K57" s="25"/>
      <c r="L57" s="26"/>
      <c r="M57" s="59" t="str">
        <f>IFERROR(INDEX(Vocab_NameList!$O:$O,MATCH($J57, Vocab_NameList!$M:$M, 0)),"")</f>
        <v/>
      </c>
      <c r="N57" s="29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63" t="str">
        <f>Table2[[#This Row],[Governorate
(Select from Dropdown)]]&amp;Table2[[#This Row],[Neighborhood
(Select from Dropdown)]]&amp;Table2[[#This Row],[Organization Name]]</f>
        <v/>
      </c>
      <c r="Z57" s="67"/>
    </row>
    <row r="58" spans="1:26" ht="30" customHeight="1" x14ac:dyDescent="0.25">
      <c r="A58" s="21"/>
      <c r="B58" s="33"/>
      <c r="C58" s="33"/>
      <c r="D58" s="24"/>
      <c r="E58" s="24"/>
      <c r="F58" s="24"/>
      <c r="G58" s="24"/>
      <c r="H58" s="34"/>
      <c r="I58" s="25"/>
      <c r="J58" s="25"/>
      <c r="K58" s="25"/>
      <c r="L58" s="26"/>
      <c r="M58" s="59" t="str">
        <f>IFERROR(INDEX(Vocab_NameList!$O:$O,MATCH($J58, Vocab_NameList!$M:$M, 0)),"")</f>
        <v/>
      </c>
      <c r="N58" s="29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63" t="str">
        <f>Table2[[#This Row],[Governorate
(Select from Dropdown)]]&amp;Table2[[#This Row],[Neighborhood
(Select from Dropdown)]]&amp;Table2[[#This Row],[Organization Name]]</f>
        <v/>
      </c>
      <c r="Z58" s="67"/>
    </row>
    <row r="59" spans="1:26" ht="30" customHeight="1" x14ac:dyDescent="0.25">
      <c r="A59" s="21"/>
      <c r="B59" s="33"/>
      <c r="C59" s="33"/>
      <c r="D59" s="24"/>
      <c r="E59" s="24"/>
      <c r="F59" s="24"/>
      <c r="G59" s="24"/>
      <c r="H59" s="34"/>
      <c r="I59" s="25"/>
      <c r="J59" s="25"/>
      <c r="K59" s="25"/>
      <c r="L59" s="26"/>
      <c r="M59" s="59" t="str">
        <f>IFERROR(INDEX(Vocab_NameList!$O:$O,MATCH($J59, Vocab_NameList!$M:$M, 0)),"")</f>
        <v/>
      </c>
      <c r="N59" s="29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63" t="str">
        <f>Table2[[#This Row],[Governorate
(Select from Dropdown)]]&amp;Table2[[#This Row],[Neighborhood
(Select from Dropdown)]]&amp;Table2[[#This Row],[Organization Name]]</f>
        <v/>
      </c>
      <c r="Z59" s="67"/>
    </row>
    <row r="60" spans="1:26" ht="30" customHeight="1" x14ac:dyDescent="0.25">
      <c r="A60" s="21"/>
      <c r="B60" s="33"/>
      <c r="C60" s="33"/>
      <c r="D60" s="24"/>
      <c r="E60" s="24"/>
      <c r="F60" s="24"/>
      <c r="G60" s="24"/>
      <c r="H60" s="34"/>
      <c r="I60" s="25"/>
      <c r="J60" s="25"/>
      <c r="K60" s="25"/>
      <c r="L60" s="26"/>
      <c r="M60" s="59" t="str">
        <f>IFERROR(INDEX(Vocab_NameList!$O:$O,MATCH($J60, Vocab_NameList!$M:$M, 0)),"")</f>
        <v/>
      </c>
      <c r="N60" s="29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63" t="str">
        <f>Table2[[#This Row],[Governorate
(Select from Dropdown)]]&amp;Table2[[#This Row],[Neighborhood
(Select from Dropdown)]]&amp;Table2[[#This Row],[Organization Name]]</f>
        <v/>
      </c>
      <c r="Z60" s="67"/>
    </row>
    <row r="61" spans="1:26" ht="30" customHeight="1" x14ac:dyDescent="0.25">
      <c r="A61" s="21"/>
      <c r="B61" s="33"/>
      <c r="C61" s="33"/>
      <c r="D61" s="24"/>
      <c r="E61" s="24"/>
      <c r="F61" s="24"/>
      <c r="G61" s="24"/>
      <c r="H61" s="34"/>
      <c r="I61" s="25"/>
      <c r="J61" s="25"/>
      <c r="K61" s="25"/>
      <c r="L61" s="26"/>
      <c r="M61" s="59" t="str">
        <f>IFERROR(INDEX(Vocab_NameList!$O:$O,MATCH($J61, Vocab_NameList!$M:$M, 0)),"")</f>
        <v/>
      </c>
      <c r="N61" s="29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63" t="str">
        <f>Table2[[#This Row],[Governorate
(Select from Dropdown)]]&amp;Table2[[#This Row],[Neighborhood
(Select from Dropdown)]]&amp;Table2[[#This Row],[Organization Name]]</f>
        <v/>
      </c>
      <c r="Z61" s="67"/>
    </row>
    <row r="62" spans="1:26" ht="30" customHeight="1" x14ac:dyDescent="0.25">
      <c r="A62" s="21"/>
      <c r="B62" s="33"/>
      <c r="C62" s="33"/>
      <c r="D62" s="24"/>
      <c r="E62" s="24"/>
      <c r="F62" s="24"/>
      <c r="G62" s="24"/>
      <c r="H62" s="34"/>
      <c r="I62" s="25"/>
      <c r="J62" s="25"/>
      <c r="K62" s="25"/>
      <c r="L62" s="26"/>
      <c r="M62" s="59" t="str">
        <f>IFERROR(INDEX(Vocab_NameList!$O:$O,MATCH($J62, Vocab_NameList!$M:$M, 0)),"")</f>
        <v/>
      </c>
      <c r="N62" s="29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63" t="str">
        <f>Table2[[#This Row],[Governorate
(Select from Dropdown)]]&amp;Table2[[#This Row],[Neighborhood
(Select from Dropdown)]]&amp;Table2[[#This Row],[Organization Name]]</f>
        <v/>
      </c>
      <c r="Z62" s="67"/>
    </row>
    <row r="63" spans="1:26" ht="30" customHeight="1" x14ac:dyDescent="0.25">
      <c r="A63" s="21"/>
      <c r="B63" s="33"/>
      <c r="C63" s="33"/>
      <c r="D63" s="24"/>
      <c r="E63" s="24"/>
      <c r="F63" s="24"/>
      <c r="G63" s="24"/>
      <c r="H63" s="34"/>
      <c r="I63" s="25"/>
      <c r="J63" s="25"/>
      <c r="K63" s="25"/>
      <c r="L63" s="26"/>
      <c r="M63" s="59" t="str">
        <f>IFERROR(INDEX(Vocab_NameList!$O:$O,MATCH($J63, Vocab_NameList!$M:$M, 0)),"")</f>
        <v/>
      </c>
      <c r="N63" s="29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63" t="str">
        <f>Table2[[#This Row],[Governorate
(Select from Dropdown)]]&amp;Table2[[#This Row],[Neighborhood
(Select from Dropdown)]]&amp;Table2[[#This Row],[Organization Name]]</f>
        <v/>
      </c>
      <c r="Z63" s="67"/>
    </row>
    <row r="64" spans="1:26" ht="30" customHeight="1" x14ac:dyDescent="0.25">
      <c r="A64" s="21"/>
      <c r="B64" s="33"/>
      <c r="C64" s="33"/>
      <c r="D64" s="24"/>
      <c r="E64" s="24"/>
      <c r="F64" s="24"/>
      <c r="G64" s="24"/>
      <c r="H64" s="34"/>
      <c r="I64" s="25"/>
      <c r="J64" s="25"/>
      <c r="K64" s="25"/>
      <c r="L64" s="26"/>
      <c r="M64" s="59" t="str">
        <f>IFERROR(INDEX(Vocab_NameList!$O:$O,MATCH($J64, Vocab_NameList!$M:$M, 0)),"")</f>
        <v/>
      </c>
      <c r="N64" s="29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63" t="str">
        <f>Table2[[#This Row],[Governorate
(Select from Dropdown)]]&amp;Table2[[#This Row],[Neighborhood
(Select from Dropdown)]]&amp;Table2[[#This Row],[Organization Name]]</f>
        <v/>
      </c>
      <c r="Z64" s="67"/>
    </row>
    <row r="65" spans="1:26" ht="30" customHeight="1" x14ac:dyDescent="0.25">
      <c r="A65" s="21"/>
      <c r="B65" s="33"/>
      <c r="C65" s="33"/>
      <c r="D65" s="24"/>
      <c r="E65" s="24"/>
      <c r="F65" s="24"/>
      <c r="G65" s="24"/>
      <c r="H65" s="34"/>
      <c r="I65" s="25"/>
      <c r="J65" s="25"/>
      <c r="K65" s="25"/>
      <c r="L65" s="26"/>
      <c r="M65" s="59" t="str">
        <f>IFERROR(INDEX(Vocab_NameList!$O:$O,MATCH($J65, Vocab_NameList!$M:$M, 0)),"")</f>
        <v/>
      </c>
      <c r="N65" s="29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63" t="str">
        <f>Table2[[#This Row],[Governorate
(Select from Dropdown)]]&amp;Table2[[#This Row],[Neighborhood
(Select from Dropdown)]]&amp;Table2[[#This Row],[Organization Name]]</f>
        <v/>
      </c>
      <c r="Z65" s="67"/>
    </row>
    <row r="66" spans="1:26" ht="30" customHeight="1" x14ac:dyDescent="0.25">
      <c r="A66" s="21"/>
      <c r="B66" s="33"/>
      <c r="C66" s="33"/>
      <c r="D66" s="24"/>
      <c r="E66" s="24"/>
      <c r="F66" s="24"/>
      <c r="G66" s="24"/>
      <c r="H66" s="34"/>
      <c r="I66" s="25"/>
      <c r="J66" s="25"/>
      <c r="K66" s="25"/>
      <c r="L66" s="26"/>
      <c r="M66" s="59" t="str">
        <f>IFERROR(INDEX(Vocab_NameList!$O:$O,MATCH($J66, Vocab_NameList!$M:$M, 0)),"")</f>
        <v/>
      </c>
      <c r="N66" s="29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63" t="str">
        <f>Table2[[#This Row],[Governorate
(Select from Dropdown)]]&amp;Table2[[#This Row],[Neighborhood
(Select from Dropdown)]]&amp;Table2[[#This Row],[Organization Name]]</f>
        <v/>
      </c>
      <c r="Z66" s="67"/>
    </row>
    <row r="67" spans="1:26" ht="30" customHeight="1" x14ac:dyDescent="0.25">
      <c r="A67" s="21"/>
      <c r="B67" s="33"/>
      <c r="C67" s="33"/>
      <c r="D67" s="24"/>
      <c r="E67" s="24"/>
      <c r="F67" s="24"/>
      <c r="G67" s="24"/>
      <c r="H67" s="34"/>
      <c r="I67" s="25"/>
      <c r="J67" s="25"/>
      <c r="K67" s="25"/>
      <c r="L67" s="26"/>
      <c r="M67" s="59" t="str">
        <f>IFERROR(INDEX(Vocab_NameList!$O:$O,MATCH($J67, Vocab_NameList!$M:$M, 0)),"")</f>
        <v/>
      </c>
      <c r="N67" s="29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63" t="str">
        <f>Table2[[#This Row],[Governorate
(Select from Dropdown)]]&amp;Table2[[#This Row],[Neighborhood
(Select from Dropdown)]]&amp;Table2[[#This Row],[Organization Name]]</f>
        <v/>
      </c>
      <c r="Z67" s="67"/>
    </row>
    <row r="68" spans="1:26" ht="30" customHeight="1" x14ac:dyDescent="0.25">
      <c r="A68" s="21"/>
      <c r="B68" s="33"/>
      <c r="C68" s="33"/>
      <c r="D68" s="24"/>
      <c r="E68" s="24"/>
      <c r="F68" s="24"/>
      <c r="G68" s="24"/>
      <c r="H68" s="34"/>
      <c r="I68" s="25"/>
      <c r="J68" s="25"/>
      <c r="K68" s="25"/>
      <c r="L68" s="26"/>
      <c r="M68" s="59" t="str">
        <f>IFERROR(INDEX(Vocab_NameList!$O:$O,MATCH($J68, Vocab_NameList!$M:$M, 0)),"")</f>
        <v/>
      </c>
      <c r="N68" s="29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63" t="str">
        <f>Table2[[#This Row],[Governorate
(Select from Dropdown)]]&amp;Table2[[#This Row],[Neighborhood
(Select from Dropdown)]]&amp;Table2[[#This Row],[Organization Name]]</f>
        <v/>
      </c>
      <c r="Z68" s="67"/>
    </row>
    <row r="69" spans="1:26" ht="30" customHeight="1" x14ac:dyDescent="0.25">
      <c r="A69" s="21"/>
      <c r="B69" s="33"/>
      <c r="C69" s="33"/>
      <c r="D69" s="24"/>
      <c r="E69" s="24"/>
      <c r="F69" s="24"/>
      <c r="G69" s="24"/>
      <c r="H69" s="34"/>
      <c r="I69" s="25"/>
      <c r="J69" s="25"/>
      <c r="K69" s="25"/>
      <c r="L69" s="26"/>
      <c r="M69" s="59" t="str">
        <f>IFERROR(INDEX(Vocab_NameList!$O:$O,MATCH($J69, Vocab_NameList!$M:$M, 0)),"")</f>
        <v/>
      </c>
      <c r="N69" s="29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63" t="str">
        <f>Table2[[#This Row],[Governorate
(Select from Dropdown)]]&amp;Table2[[#This Row],[Neighborhood
(Select from Dropdown)]]&amp;Table2[[#This Row],[Organization Name]]</f>
        <v/>
      </c>
      <c r="Z69" s="67"/>
    </row>
    <row r="70" spans="1:26" ht="30" customHeight="1" x14ac:dyDescent="0.25">
      <c r="A70" s="21"/>
      <c r="B70" s="33"/>
      <c r="C70" s="33"/>
      <c r="D70" s="24"/>
      <c r="E70" s="24"/>
      <c r="F70" s="24"/>
      <c r="G70" s="24"/>
      <c r="H70" s="34"/>
      <c r="I70" s="25"/>
      <c r="J70" s="25"/>
      <c r="K70" s="25"/>
      <c r="L70" s="26"/>
      <c r="M70" s="59" t="str">
        <f>IFERROR(INDEX(Vocab_NameList!$O:$O,MATCH($J70, Vocab_NameList!$M:$M, 0)),"")</f>
        <v/>
      </c>
      <c r="N70" s="29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63" t="str">
        <f>Table2[[#This Row],[Governorate
(Select from Dropdown)]]&amp;Table2[[#This Row],[Neighborhood
(Select from Dropdown)]]&amp;Table2[[#This Row],[Organization Name]]</f>
        <v/>
      </c>
      <c r="Z70" s="67"/>
    </row>
    <row r="71" spans="1:26" ht="30" customHeight="1" x14ac:dyDescent="0.25">
      <c r="A71" s="21"/>
      <c r="B71" s="33"/>
      <c r="C71" s="33"/>
      <c r="D71" s="24"/>
      <c r="E71" s="24"/>
      <c r="F71" s="24"/>
      <c r="G71" s="24"/>
      <c r="H71" s="34"/>
      <c r="I71" s="25"/>
      <c r="J71" s="25"/>
      <c r="K71" s="25"/>
      <c r="L71" s="26"/>
      <c r="M71" s="59" t="str">
        <f>IFERROR(INDEX(Vocab_NameList!$O:$O,MATCH($J71, Vocab_NameList!$M:$M, 0)),"")</f>
        <v/>
      </c>
      <c r="N71" s="29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63" t="str">
        <f>Table2[[#This Row],[Governorate
(Select from Dropdown)]]&amp;Table2[[#This Row],[Neighborhood
(Select from Dropdown)]]&amp;Table2[[#This Row],[Organization Name]]</f>
        <v/>
      </c>
      <c r="Z71" s="67"/>
    </row>
    <row r="72" spans="1:26" ht="30" customHeight="1" x14ac:dyDescent="0.25">
      <c r="A72" s="21"/>
      <c r="B72" s="33"/>
      <c r="C72" s="33"/>
      <c r="D72" s="24"/>
      <c r="E72" s="24"/>
      <c r="F72" s="24"/>
      <c r="G72" s="24"/>
      <c r="H72" s="34"/>
      <c r="I72" s="25"/>
      <c r="J72" s="25"/>
      <c r="K72" s="25"/>
      <c r="L72" s="26"/>
      <c r="M72" s="59" t="str">
        <f>IFERROR(INDEX(Vocab_NameList!$O:$O,MATCH($J72, Vocab_NameList!$M:$M, 0)),"")</f>
        <v/>
      </c>
      <c r="N72" s="29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63" t="str">
        <f>Table2[[#This Row],[Governorate
(Select from Dropdown)]]&amp;Table2[[#This Row],[Neighborhood
(Select from Dropdown)]]&amp;Table2[[#This Row],[Organization Name]]</f>
        <v/>
      </c>
      <c r="Z72" s="67"/>
    </row>
    <row r="73" spans="1:26" ht="30" customHeight="1" x14ac:dyDescent="0.25">
      <c r="A73" s="21"/>
      <c r="B73" s="33"/>
      <c r="C73" s="33"/>
      <c r="D73" s="24"/>
      <c r="E73" s="24"/>
      <c r="F73" s="24"/>
      <c r="G73" s="24"/>
      <c r="H73" s="34"/>
      <c r="I73" s="25"/>
      <c r="J73" s="25"/>
      <c r="K73" s="25"/>
      <c r="L73" s="26"/>
      <c r="M73" s="59" t="str">
        <f>IFERROR(INDEX(Vocab_NameList!$O:$O,MATCH($J73, Vocab_NameList!$M:$M, 0)),"")</f>
        <v/>
      </c>
      <c r="N73" s="29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63" t="str">
        <f>Table2[[#This Row],[Governorate
(Select from Dropdown)]]&amp;Table2[[#This Row],[Neighborhood
(Select from Dropdown)]]&amp;Table2[[#This Row],[Organization Name]]</f>
        <v/>
      </c>
      <c r="Z73" s="67"/>
    </row>
    <row r="74" spans="1:26" ht="30" customHeight="1" x14ac:dyDescent="0.25">
      <c r="A74" s="21"/>
      <c r="B74" s="33"/>
      <c r="C74" s="33"/>
      <c r="D74" s="24"/>
      <c r="E74" s="24"/>
      <c r="F74" s="24"/>
      <c r="G74" s="24"/>
      <c r="H74" s="34"/>
      <c r="I74" s="25"/>
      <c r="J74" s="25"/>
      <c r="K74" s="25"/>
      <c r="L74" s="26"/>
      <c r="M74" s="59" t="str">
        <f>IFERROR(INDEX(Vocab_NameList!$O:$O,MATCH($J74, Vocab_NameList!$M:$M, 0)),"")</f>
        <v/>
      </c>
      <c r="N74" s="29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63" t="str">
        <f>Table2[[#This Row],[Governorate
(Select from Dropdown)]]&amp;Table2[[#This Row],[Neighborhood
(Select from Dropdown)]]&amp;Table2[[#This Row],[Organization Name]]</f>
        <v/>
      </c>
      <c r="Z74" s="67"/>
    </row>
    <row r="75" spans="1:26" ht="30" customHeight="1" x14ac:dyDescent="0.25">
      <c r="A75" s="21"/>
      <c r="B75" s="33"/>
      <c r="C75" s="33"/>
      <c r="D75" s="24"/>
      <c r="E75" s="24"/>
      <c r="F75" s="24"/>
      <c r="G75" s="24"/>
      <c r="H75" s="34"/>
      <c r="I75" s="25"/>
      <c r="J75" s="25"/>
      <c r="K75" s="25"/>
      <c r="L75" s="26"/>
      <c r="M75" s="59" t="str">
        <f>IFERROR(INDEX(Vocab_NameList!$O:$O,MATCH($J75, Vocab_NameList!$M:$M, 0)),"")</f>
        <v/>
      </c>
      <c r="N75" s="29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63" t="str">
        <f>Table2[[#This Row],[Governorate
(Select from Dropdown)]]&amp;Table2[[#This Row],[Neighborhood
(Select from Dropdown)]]&amp;Table2[[#This Row],[Organization Name]]</f>
        <v/>
      </c>
      <c r="Z75" s="67"/>
    </row>
    <row r="76" spans="1:26" ht="30" customHeight="1" x14ac:dyDescent="0.25">
      <c r="A76" s="21"/>
      <c r="B76" s="33"/>
      <c r="C76" s="33"/>
      <c r="D76" s="24"/>
      <c r="E76" s="24"/>
      <c r="F76" s="24"/>
      <c r="G76" s="24"/>
      <c r="H76" s="34"/>
      <c r="I76" s="25"/>
      <c r="J76" s="25"/>
      <c r="K76" s="25"/>
      <c r="L76" s="26"/>
      <c r="M76" s="59" t="str">
        <f>IFERROR(INDEX(Vocab_NameList!$O:$O,MATCH($J76, Vocab_NameList!$M:$M, 0)),"")</f>
        <v/>
      </c>
      <c r="N76" s="29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63" t="str">
        <f>Table2[[#This Row],[Governorate
(Select from Dropdown)]]&amp;Table2[[#This Row],[Neighborhood
(Select from Dropdown)]]&amp;Table2[[#This Row],[Organization Name]]</f>
        <v/>
      </c>
      <c r="Z76" s="67"/>
    </row>
    <row r="77" spans="1:26" ht="30" customHeight="1" x14ac:dyDescent="0.25">
      <c r="A77" s="21"/>
      <c r="B77" s="33"/>
      <c r="C77" s="33"/>
      <c r="D77" s="24"/>
      <c r="E77" s="24"/>
      <c r="F77" s="24"/>
      <c r="G77" s="24"/>
      <c r="H77" s="34"/>
      <c r="I77" s="25"/>
      <c r="J77" s="25"/>
      <c r="K77" s="25"/>
      <c r="L77" s="26"/>
      <c r="M77" s="59" t="str">
        <f>IFERROR(INDEX(Vocab_NameList!$O:$O,MATCH($J77, Vocab_NameList!$M:$M, 0)),"")</f>
        <v/>
      </c>
      <c r="N77" s="29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63" t="str">
        <f>Table2[[#This Row],[Governorate
(Select from Dropdown)]]&amp;Table2[[#This Row],[Neighborhood
(Select from Dropdown)]]&amp;Table2[[#This Row],[Organization Name]]</f>
        <v/>
      </c>
      <c r="Z77" s="67"/>
    </row>
    <row r="78" spans="1:26" ht="30" customHeight="1" x14ac:dyDescent="0.25">
      <c r="A78" s="21"/>
      <c r="B78" s="33"/>
      <c r="C78" s="33"/>
      <c r="D78" s="24"/>
      <c r="E78" s="24"/>
      <c r="F78" s="24"/>
      <c r="G78" s="24"/>
      <c r="H78" s="34"/>
      <c r="I78" s="25"/>
      <c r="J78" s="25"/>
      <c r="K78" s="25"/>
      <c r="L78" s="26"/>
      <c r="M78" s="59" t="str">
        <f>IFERROR(INDEX(Vocab_NameList!$O:$O,MATCH($J78, Vocab_NameList!$M:$M, 0)),"")</f>
        <v/>
      </c>
      <c r="N78" s="29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63" t="str">
        <f>Table2[[#This Row],[Governorate
(Select from Dropdown)]]&amp;Table2[[#This Row],[Neighborhood
(Select from Dropdown)]]&amp;Table2[[#This Row],[Organization Name]]</f>
        <v/>
      </c>
      <c r="Z78" s="67"/>
    </row>
    <row r="79" spans="1:26" ht="30" customHeight="1" x14ac:dyDescent="0.25">
      <c r="A79" s="21"/>
      <c r="B79" s="33"/>
      <c r="C79" s="33"/>
      <c r="D79" s="24"/>
      <c r="E79" s="24"/>
      <c r="F79" s="24"/>
      <c r="G79" s="24"/>
      <c r="H79" s="34"/>
      <c r="I79" s="25"/>
      <c r="J79" s="25"/>
      <c r="K79" s="25"/>
      <c r="L79" s="26"/>
      <c r="M79" s="59" t="str">
        <f>IFERROR(INDEX(Vocab_NameList!$O:$O,MATCH($J79, Vocab_NameList!$M:$M, 0)),"")</f>
        <v/>
      </c>
      <c r="N79" s="29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63" t="str">
        <f>Table2[[#This Row],[Governorate
(Select from Dropdown)]]&amp;Table2[[#This Row],[Neighborhood
(Select from Dropdown)]]&amp;Table2[[#This Row],[Organization Name]]</f>
        <v/>
      </c>
      <c r="Z79" s="67"/>
    </row>
    <row r="80" spans="1:26" ht="30" customHeight="1" x14ac:dyDescent="0.25">
      <c r="A80" s="21"/>
      <c r="B80" s="33"/>
      <c r="C80" s="33"/>
      <c r="D80" s="24"/>
      <c r="E80" s="24"/>
      <c r="F80" s="24"/>
      <c r="G80" s="24"/>
      <c r="H80" s="34"/>
      <c r="I80" s="25"/>
      <c r="J80" s="25"/>
      <c r="K80" s="25"/>
      <c r="L80" s="26"/>
      <c r="M80" s="59" t="str">
        <f>IFERROR(INDEX(Vocab_NameList!$O:$O,MATCH($J80, Vocab_NameList!$M:$M, 0)),"")</f>
        <v/>
      </c>
      <c r="N80" s="29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63" t="str">
        <f>Table2[[#This Row],[Governorate
(Select from Dropdown)]]&amp;Table2[[#This Row],[Neighborhood
(Select from Dropdown)]]&amp;Table2[[#This Row],[Organization Name]]</f>
        <v/>
      </c>
      <c r="Z80" s="67"/>
    </row>
    <row r="81" spans="1:26" ht="30" customHeight="1" x14ac:dyDescent="0.25">
      <c r="A81" s="21"/>
      <c r="B81" s="33"/>
      <c r="C81" s="33"/>
      <c r="D81" s="24"/>
      <c r="E81" s="24"/>
      <c r="F81" s="24"/>
      <c r="G81" s="24"/>
      <c r="H81" s="34"/>
      <c r="I81" s="25"/>
      <c r="J81" s="25"/>
      <c r="K81" s="25"/>
      <c r="L81" s="26"/>
      <c r="M81" s="59" t="str">
        <f>IFERROR(INDEX(Vocab_NameList!$O:$O,MATCH($J81, Vocab_NameList!$M:$M, 0)),"")</f>
        <v/>
      </c>
      <c r="N81" s="29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63" t="str">
        <f>Table2[[#This Row],[Governorate
(Select from Dropdown)]]&amp;Table2[[#This Row],[Neighborhood
(Select from Dropdown)]]&amp;Table2[[#This Row],[Organization Name]]</f>
        <v/>
      </c>
      <c r="Z81" s="67"/>
    </row>
    <row r="82" spans="1:26" ht="30" customHeight="1" x14ac:dyDescent="0.25">
      <c r="A82" s="21"/>
      <c r="B82" s="33"/>
      <c r="C82" s="33"/>
      <c r="D82" s="24"/>
      <c r="E82" s="24"/>
      <c r="F82" s="24"/>
      <c r="G82" s="24"/>
      <c r="H82" s="34"/>
      <c r="I82" s="25"/>
      <c r="J82" s="25"/>
      <c r="K82" s="25"/>
      <c r="L82" s="26"/>
      <c r="M82" s="59" t="str">
        <f>IFERROR(INDEX(Vocab_NameList!$O:$O,MATCH($J82, Vocab_NameList!$M:$M, 0)),"")</f>
        <v/>
      </c>
      <c r="N82" s="29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63" t="str">
        <f>Table2[[#This Row],[Governorate
(Select from Dropdown)]]&amp;Table2[[#This Row],[Neighborhood
(Select from Dropdown)]]&amp;Table2[[#This Row],[Organization Name]]</f>
        <v/>
      </c>
      <c r="Z82" s="67"/>
    </row>
    <row r="83" spans="1:26" ht="30" customHeight="1" x14ac:dyDescent="0.25">
      <c r="A83" s="21"/>
      <c r="B83" s="33"/>
      <c r="C83" s="33"/>
      <c r="D83" s="24"/>
      <c r="E83" s="24"/>
      <c r="F83" s="24"/>
      <c r="G83" s="24"/>
      <c r="H83" s="34"/>
      <c r="I83" s="25"/>
      <c r="J83" s="25"/>
      <c r="K83" s="25"/>
      <c r="L83" s="26"/>
      <c r="M83" s="59" t="str">
        <f>IFERROR(INDEX(Vocab_NameList!$O:$O,MATCH($J83, Vocab_NameList!$M:$M, 0)),"")</f>
        <v/>
      </c>
      <c r="N83" s="29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63" t="str">
        <f>Table2[[#This Row],[Governorate
(Select from Dropdown)]]&amp;Table2[[#This Row],[Neighborhood
(Select from Dropdown)]]&amp;Table2[[#This Row],[Organization Name]]</f>
        <v/>
      </c>
      <c r="Z83" s="67"/>
    </row>
    <row r="84" spans="1:26" ht="30" customHeight="1" x14ac:dyDescent="0.25">
      <c r="A84" s="21"/>
      <c r="B84" s="33"/>
      <c r="C84" s="33"/>
      <c r="D84" s="24"/>
      <c r="E84" s="24"/>
      <c r="F84" s="24"/>
      <c r="G84" s="24"/>
      <c r="H84" s="34"/>
      <c r="I84" s="25"/>
      <c r="J84" s="25"/>
      <c r="K84" s="25"/>
      <c r="L84" s="26"/>
      <c r="M84" s="59" t="str">
        <f>IFERROR(INDEX(Vocab_NameList!$O:$O,MATCH($J84, Vocab_NameList!$M:$M, 0)),"")</f>
        <v/>
      </c>
      <c r="N84" s="29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63" t="str">
        <f>Table2[[#This Row],[Governorate
(Select from Dropdown)]]&amp;Table2[[#This Row],[Neighborhood
(Select from Dropdown)]]&amp;Table2[[#This Row],[Organization Name]]</f>
        <v/>
      </c>
      <c r="Z84" s="67"/>
    </row>
    <row r="85" spans="1:26" ht="30" customHeight="1" x14ac:dyDescent="0.25">
      <c r="A85" s="21"/>
      <c r="B85" s="33"/>
      <c r="C85" s="33"/>
      <c r="D85" s="24"/>
      <c r="E85" s="24"/>
      <c r="F85" s="24"/>
      <c r="G85" s="24"/>
      <c r="H85" s="34"/>
      <c r="I85" s="25"/>
      <c r="J85" s="25"/>
      <c r="K85" s="25"/>
      <c r="L85" s="26"/>
      <c r="M85" s="59" t="str">
        <f>IFERROR(INDEX(Vocab_NameList!$O:$O,MATCH($J85, Vocab_NameList!$M:$M, 0)),"")</f>
        <v/>
      </c>
      <c r="N85" s="29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63" t="str">
        <f>Table2[[#This Row],[Governorate
(Select from Dropdown)]]&amp;Table2[[#This Row],[Neighborhood
(Select from Dropdown)]]&amp;Table2[[#This Row],[Organization Name]]</f>
        <v/>
      </c>
      <c r="Z85" s="67"/>
    </row>
    <row r="86" spans="1:26" ht="30" customHeight="1" x14ac:dyDescent="0.25">
      <c r="A86" s="21"/>
      <c r="B86" s="33"/>
      <c r="C86" s="33"/>
      <c r="D86" s="24"/>
      <c r="E86" s="24"/>
      <c r="F86" s="24"/>
      <c r="G86" s="24"/>
      <c r="H86" s="34"/>
      <c r="I86" s="25"/>
      <c r="J86" s="25"/>
      <c r="K86" s="25"/>
      <c r="L86" s="26"/>
      <c r="M86" s="59" t="str">
        <f>IFERROR(INDEX(Vocab_NameList!$O:$O,MATCH($J86, Vocab_NameList!$M:$M, 0)),"")</f>
        <v/>
      </c>
      <c r="N86" s="29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63" t="str">
        <f>Table2[[#This Row],[Governorate
(Select from Dropdown)]]&amp;Table2[[#This Row],[Neighborhood
(Select from Dropdown)]]&amp;Table2[[#This Row],[Organization Name]]</f>
        <v/>
      </c>
      <c r="Z86" s="67"/>
    </row>
    <row r="87" spans="1:26" ht="30" customHeight="1" x14ac:dyDescent="0.25">
      <c r="A87" s="21"/>
      <c r="B87" s="33"/>
      <c r="C87" s="33"/>
      <c r="D87" s="24"/>
      <c r="E87" s="24"/>
      <c r="F87" s="24"/>
      <c r="G87" s="24"/>
      <c r="H87" s="34"/>
      <c r="I87" s="25"/>
      <c r="J87" s="25"/>
      <c r="K87" s="25"/>
      <c r="L87" s="26"/>
      <c r="M87" s="59" t="str">
        <f>IFERROR(INDEX(Vocab_NameList!$O:$O,MATCH($J87, Vocab_NameList!$M:$M, 0)),"")</f>
        <v/>
      </c>
      <c r="N87" s="29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63" t="str">
        <f>Table2[[#This Row],[Governorate
(Select from Dropdown)]]&amp;Table2[[#This Row],[Neighborhood
(Select from Dropdown)]]&amp;Table2[[#This Row],[Organization Name]]</f>
        <v/>
      </c>
      <c r="Z87" s="67"/>
    </row>
    <row r="88" spans="1:26" ht="30" customHeight="1" x14ac:dyDescent="0.25">
      <c r="A88" s="21"/>
      <c r="B88" s="33"/>
      <c r="C88" s="33"/>
      <c r="D88" s="24"/>
      <c r="E88" s="24"/>
      <c r="F88" s="24"/>
      <c r="G88" s="24"/>
      <c r="H88" s="34"/>
      <c r="I88" s="25"/>
      <c r="J88" s="25"/>
      <c r="K88" s="25"/>
      <c r="L88" s="26"/>
      <c r="M88" s="59" t="str">
        <f>IFERROR(INDEX(Vocab_NameList!$O:$O,MATCH($J88, Vocab_NameList!$M:$M, 0)),"")</f>
        <v/>
      </c>
      <c r="N88" s="29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63" t="str">
        <f>Table2[[#This Row],[Governorate
(Select from Dropdown)]]&amp;Table2[[#This Row],[Neighborhood
(Select from Dropdown)]]&amp;Table2[[#This Row],[Organization Name]]</f>
        <v/>
      </c>
      <c r="Z88" s="67"/>
    </row>
    <row r="89" spans="1:26" ht="30" customHeight="1" x14ac:dyDescent="0.25">
      <c r="A89" s="21"/>
      <c r="B89" s="33"/>
      <c r="C89" s="33"/>
      <c r="D89" s="24"/>
      <c r="E89" s="24"/>
      <c r="F89" s="24"/>
      <c r="G89" s="24"/>
      <c r="H89" s="34"/>
      <c r="I89" s="25"/>
      <c r="J89" s="25"/>
      <c r="K89" s="25"/>
      <c r="L89" s="26"/>
      <c r="M89" s="59" t="str">
        <f>IFERROR(INDEX(Vocab_NameList!$O:$O,MATCH($J89, Vocab_NameList!$M:$M, 0)),"")</f>
        <v/>
      </c>
      <c r="N89" s="29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63" t="str">
        <f>Table2[[#This Row],[Governorate
(Select from Dropdown)]]&amp;Table2[[#This Row],[Neighborhood
(Select from Dropdown)]]&amp;Table2[[#This Row],[Organization Name]]</f>
        <v/>
      </c>
      <c r="Z89" s="67"/>
    </row>
    <row r="90" spans="1:26" ht="30" customHeight="1" x14ac:dyDescent="0.25">
      <c r="A90" s="21"/>
      <c r="B90" s="33"/>
      <c r="C90" s="33"/>
      <c r="D90" s="24"/>
      <c r="E90" s="24"/>
      <c r="F90" s="24"/>
      <c r="G90" s="24"/>
      <c r="H90" s="34"/>
      <c r="I90" s="25"/>
      <c r="J90" s="25"/>
      <c r="K90" s="25"/>
      <c r="L90" s="26"/>
      <c r="M90" s="59" t="str">
        <f>IFERROR(INDEX(Vocab_NameList!$O:$O,MATCH($J90, Vocab_NameList!$M:$M, 0)),"")</f>
        <v/>
      </c>
      <c r="N90" s="29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63" t="str">
        <f>Table2[[#This Row],[Governorate
(Select from Dropdown)]]&amp;Table2[[#This Row],[Neighborhood
(Select from Dropdown)]]&amp;Table2[[#This Row],[Organization Name]]</f>
        <v/>
      </c>
      <c r="Z90" s="67"/>
    </row>
    <row r="91" spans="1:26" ht="30" customHeight="1" x14ac:dyDescent="0.25">
      <c r="A91" s="21"/>
      <c r="B91" s="33"/>
      <c r="C91" s="33"/>
      <c r="D91" s="24"/>
      <c r="E91" s="24"/>
      <c r="F91" s="24"/>
      <c r="G91" s="24"/>
      <c r="H91" s="34"/>
      <c r="I91" s="25"/>
      <c r="J91" s="25"/>
      <c r="K91" s="25"/>
      <c r="L91" s="26"/>
      <c r="M91" s="59" t="str">
        <f>IFERROR(INDEX(Vocab_NameList!$O:$O,MATCH($J91, Vocab_NameList!$M:$M, 0)),"")</f>
        <v/>
      </c>
      <c r="N91" s="29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63" t="str">
        <f>Table2[[#This Row],[Governorate
(Select from Dropdown)]]&amp;Table2[[#This Row],[Neighborhood
(Select from Dropdown)]]&amp;Table2[[#This Row],[Organization Name]]</f>
        <v/>
      </c>
      <c r="Z91" s="67"/>
    </row>
    <row r="92" spans="1:26" ht="30" customHeight="1" x14ac:dyDescent="0.25">
      <c r="A92" s="21"/>
      <c r="B92" s="33"/>
      <c r="C92" s="33"/>
      <c r="D92" s="24"/>
      <c r="E92" s="24"/>
      <c r="F92" s="24"/>
      <c r="G92" s="24"/>
      <c r="H92" s="34"/>
      <c r="I92" s="25"/>
      <c r="J92" s="25"/>
      <c r="K92" s="25"/>
      <c r="L92" s="26"/>
      <c r="M92" s="59" t="str">
        <f>IFERROR(INDEX(Vocab_NameList!$O:$O,MATCH($J92, Vocab_NameList!$M:$M, 0)),"")</f>
        <v/>
      </c>
      <c r="N92" s="29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63" t="str">
        <f>Table2[[#This Row],[Governorate
(Select from Dropdown)]]&amp;Table2[[#This Row],[Neighborhood
(Select from Dropdown)]]&amp;Table2[[#This Row],[Organization Name]]</f>
        <v/>
      </c>
      <c r="Z92" s="67"/>
    </row>
    <row r="93" spans="1:26" ht="30" customHeight="1" x14ac:dyDescent="0.25">
      <c r="A93" s="21"/>
      <c r="B93" s="33"/>
      <c r="C93" s="33"/>
      <c r="D93" s="24"/>
      <c r="E93" s="24"/>
      <c r="F93" s="24"/>
      <c r="G93" s="24"/>
      <c r="H93" s="34"/>
      <c r="I93" s="25"/>
      <c r="J93" s="25"/>
      <c r="K93" s="25"/>
      <c r="L93" s="26"/>
      <c r="M93" s="59" t="str">
        <f>IFERROR(INDEX(Vocab_NameList!$O:$O,MATCH($J93, Vocab_NameList!$M:$M, 0)),"")</f>
        <v/>
      </c>
      <c r="N93" s="29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63" t="str">
        <f>Table2[[#This Row],[Governorate
(Select from Dropdown)]]&amp;Table2[[#This Row],[Neighborhood
(Select from Dropdown)]]&amp;Table2[[#This Row],[Organization Name]]</f>
        <v/>
      </c>
      <c r="Z93" s="67"/>
    </row>
    <row r="94" spans="1:26" ht="30" customHeight="1" x14ac:dyDescent="0.25">
      <c r="A94" s="21"/>
      <c r="B94" s="33"/>
      <c r="C94" s="33"/>
      <c r="D94" s="24"/>
      <c r="E94" s="24"/>
      <c r="F94" s="24"/>
      <c r="G94" s="24"/>
      <c r="H94" s="34"/>
      <c r="I94" s="25"/>
      <c r="J94" s="25"/>
      <c r="K94" s="25"/>
      <c r="L94" s="26"/>
      <c r="M94" s="59" t="str">
        <f>IFERROR(INDEX(Vocab_NameList!$O:$O,MATCH($J94, Vocab_NameList!$M:$M, 0)),"")</f>
        <v/>
      </c>
      <c r="N94" s="29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63" t="str">
        <f>Table2[[#This Row],[Governorate
(Select from Dropdown)]]&amp;Table2[[#This Row],[Neighborhood
(Select from Dropdown)]]&amp;Table2[[#This Row],[Organization Name]]</f>
        <v/>
      </c>
      <c r="Z94" s="67"/>
    </row>
    <row r="95" spans="1:26" ht="30" customHeight="1" x14ac:dyDescent="0.25">
      <c r="A95" s="21"/>
      <c r="B95" s="33"/>
      <c r="C95" s="33"/>
      <c r="D95" s="24"/>
      <c r="E95" s="24"/>
      <c r="F95" s="24"/>
      <c r="G95" s="24"/>
      <c r="H95" s="34"/>
      <c r="I95" s="25"/>
      <c r="J95" s="25"/>
      <c r="K95" s="25"/>
      <c r="L95" s="26"/>
      <c r="M95" s="59" t="str">
        <f>IFERROR(INDEX(Vocab_NameList!$O:$O,MATCH($J95, Vocab_NameList!$M:$M, 0)),"")</f>
        <v/>
      </c>
      <c r="N95" s="29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63" t="str">
        <f>Table2[[#This Row],[Governorate
(Select from Dropdown)]]&amp;Table2[[#This Row],[Neighborhood
(Select from Dropdown)]]&amp;Table2[[#This Row],[Organization Name]]</f>
        <v/>
      </c>
      <c r="Z95" s="67"/>
    </row>
    <row r="96" spans="1:26" ht="30" customHeight="1" x14ac:dyDescent="0.25">
      <c r="A96" s="21"/>
      <c r="B96" s="33"/>
      <c r="C96" s="33"/>
      <c r="D96" s="24"/>
      <c r="E96" s="24"/>
      <c r="F96" s="24"/>
      <c r="G96" s="24"/>
      <c r="H96" s="34"/>
      <c r="I96" s="25"/>
      <c r="J96" s="25"/>
      <c r="K96" s="25"/>
      <c r="L96" s="26"/>
      <c r="M96" s="59" t="str">
        <f>IFERROR(INDEX(Vocab_NameList!$O:$O,MATCH($J96, Vocab_NameList!$M:$M, 0)),"")</f>
        <v/>
      </c>
      <c r="N96" s="29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63" t="str">
        <f>Table2[[#This Row],[Governorate
(Select from Dropdown)]]&amp;Table2[[#This Row],[Neighborhood
(Select from Dropdown)]]&amp;Table2[[#This Row],[Organization Name]]</f>
        <v/>
      </c>
      <c r="Z96" s="67"/>
    </row>
    <row r="97" spans="1:26" ht="30" customHeight="1" x14ac:dyDescent="0.25">
      <c r="A97" s="21"/>
      <c r="B97" s="33"/>
      <c r="C97" s="33"/>
      <c r="D97" s="24"/>
      <c r="E97" s="24"/>
      <c r="F97" s="24"/>
      <c r="G97" s="24"/>
      <c r="H97" s="34"/>
      <c r="I97" s="25"/>
      <c r="J97" s="25"/>
      <c r="K97" s="25"/>
      <c r="L97" s="26"/>
      <c r="M97" s="59" t="str">
        <f>IFERROR(INDEX(Vocab_NameList!$O:$O,MATCH($J97, Vocab_NameList!$M:$M, 0)),"")</f>
        <v/>
      </c>
      <c r="N97" s="29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63" t="str">
        <f>Table2[[#This Row],[Governorate
(Select from Dropdown)]]&amp;Table2[[#This Row],[Neighborhood
(Select from Dropdown)]]&amp;Table2[[#This Row],[Organization Name]]</f>
        <v/>
      </c>
      <c r="Z97" s="67"/>
    </row>
    <row r="98" spans="1:26" ht="30" customHeight="1" x14ac:dyDescent="0.25">
      <c r="A98" s="21"/>
      <c r="B98" s="33"/>
      <c r="C98" s="33"/>
      <c r="D98" s="24"/>
      <c r="E98" s="24"/>
      <c r="F98" s="24"/>
      <c r="G98" s="24"/>
      <c r="H98" s="34"/>
      <c r="I98" s="25"/>
      <c r="J98" s="25"/>
      <c r="K98" s="25"/>
      <c r="L98" s="26"/>
      <c r="M98" s="59" t="str">
        <f>IFERROR(INDEX(Vocab_NameList!$O:$O,MATCH($J98, Vocab_NameList!$M:$M, 0)),"")</f>
        <v/>
      </c>
      <c r="N98" s="29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63" t="str">
        <f>Table2[[#This Row],[Governorate
(Select from Dropdown)]]&amp;Table2[[#This Row],[Neighborhood
(Select from Dropdown)]]&amp;Table2[[#This Row],[Organization Name]]</f>
        <v/>
      </c>
      <c r="Z98" s="67"/>
    </row>
    <row r="99" spans="1:26" ht="30" customHeight="1" x14ac:dyDescent="0.25">
      <c r="A99" s="21"/>
      <c r="B99" s="33"/>
      <c r="C99" s="33"/>
      <c r="D99" s="24"/>
      <c r="E99" s="24"/>
      <c r="F99" s="24"/>
      <c r="G99" s="24"/>
      <c r="H99" s="34"/>
      <c r="I99" s="25"/>
      <c r="J99" s="25"/>
      <c r="K99" s="25"/>
      <c r="L99" s="26"/>
      <c r="M99" s="59" t="str">
        <f>IFERROR(INDEX(Vocab_NameList!$O:$O,MATCH($J99, Vocab_NameList!$M:$M, 0)),"")</f>
        <v/>
      </c>
      <c r="N99" s="29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63" t="str">
        <f>Table2[[#This Row],[Governorate
(Select from Dropdown)]]&amp;Table2[[#This Row],[Neighborhood
(Select from Dropdown)]]&amp;Table2[[#This Row],[Organization Name]]</f>
        <v/>
      </c>
      <c r="Z99" s="67"/>
    </row>
    <row r="100" spans="1:26" ht="30" customHeight="1" x14ac:dyDescent="0.25">
      <c r="A100" s="21"/>
      <c r="B100" s="33"/>
      <c r="C100" s="33"/>
      <c r="D100" s="24"/>
      <c r="E100" s="24"/>
      <c r="F100" s="24"/>
      <c r="G100" s="24"/>
      <c r="H100" s="34"/>
      <c r="I100" s="25"/>
      <c r="J100" s="25"/>
      <c r="K100" s="25"/>
      <c r="L100" s="26"/>
      <c r="M100" s="59" t="str">
        <f>IFERROR(INDEX(Vocab_NameList!$O:$O,MATCH($J100, Vocab_NameList!$M:$M, 0)),"")</f>
        <v/>
      </c>
      <c r="N100" s="29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63" t="str">
        <f>Table2[[#This Row],[Governorate
(Select from Dropdown)]]&amp;Table2[[#This Row],[Neighborhood
(Select from Dropdown)]]&amp;Table2[[#This Row],[Organization Name]]</f>
        <v/>
      </c>
      <c r="Z100" s="67"/>
    </row>
    <row r="101" spans="1:26" ht="30" customHeight="1" x14ac:dyDescent="0.25">
      <c r="A101" s="21"/>
      <c r="B101" s="33"/>
      <c r="C101" s="33"/>
      <c r="D101" s="24"/>
      <c r="E101" s="24"/>
      <c r="F101" s="24"/>
      <c r="G101" s="24"/>
      <c r="H101" s="34"/>
      <c r="I101" s="25"/>
      <c r="J101" s="25"/>
      <c r="K101" s="25"/>
      <c r="L101" s="26"/>
      <c r="M101" s="59" t="str">
        <f>IFERROR(INDEX(Vocab_NameList!$O:$O,MATCH($J101, Vocab_NameList!$M:$M, 0)),"")</f>
        <v/>
      </c>
      <c r="N101" s="29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63" t="str">
        <f>Table2[[#This Row],[Governorate
(Select from Dropdown)]]&amp;Table2[[#This Row],[Neighborhood
(Select from Dropdown)]]&amp;Table2[[#This Row],[Organization Name]]</f>
        <v/>
      </c>
      <c r="Z101" s="67"/>
    </row>
    <row r="102" spans="1:26" ht="30" customHeight="1" x14ac:dyDescent="0.25">
      <c r="A102" s="21"/>
      <c r="B102" s="33"/>
      <c r="C102" s="33"/>
      <c r="D102" s="24"/>
      <c r="E102" s="24"/>
      <c r="F102" s="24"/>
      <c r="G102" s="24"/>
      <c r="H102" s="34"/>
      <c r="I102" s="25"/>
      <c r="J102" s="25"/>
      <c r="K102" s="25"/>
      <c r="L102" s="26"/>
      <c r="M102" s="59" t="str">
        <f>IFERROR(INDEX(Vocab_NameList!$O:$O,MATCH($J102, Vocab_NameList!$M:$M, 0)),"")</f>
        <v/>
      </c>
      <c r="N102" s="29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63" t="str">
        <f>Table2[[#This Row],[Governorate
(Select from Dropdown)]]&amp;Table2[[#This Row],[Neighborhood
(Select from Dropdown)]]&amp;Table2[[#This Row],[Organization Name]]</f>
        <v/>
      </c>
      <c r="Z102" s="67"/>
    </row>
    <row r="103" spans="1:26" ht="30" customHeight="1" x14ac:dyDescent="0.25">
      <c r="A103" s="21"/>
      <c r="B103" s="33"/>
      <c r="C103" s="33"/>
      <c r="D103" s="24"/>
      <c r="E103" s="24"/>
      <c r="F103" s="24"/>
      <c r="G103" s="24"/>
      <c r="H103" s="34"/>
      <c r="I103" s="25"/>
      <c r="J103" s="25"/>
      <c r="K103" s="25"/>
      <c r="L103" s="26"/>
      <c r="M103" s="59" t="str">
        <f>IFERROR(INDEX(Vocab_NameList!$O:$O,MATCH($J103, Vocab_NameList!$M:$M, 0)),"")</f>
        <v/>
      </c>
      <c r="N103" s="29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63" t="str">
        <f>Table2[[#This Row],[Governorate
(Select from Dropdown)]]&amp;Table2[[#This Row],[Neighborhood
(Select from Dropdown)]]&amp;Table2[[#This Row],[Organization Name]]</f>
        <v/>
      </c>
      <c r="Z103" s="67"/>
    </row>
    <row r="104" spans="1:26" ht="30" customHeight="1" x14ac:dyDescent="0.25">
      <c r="A104" s="21"/>
      <c r="B104" s="33"/>
      <c r="C104" s="33"/>
      <c r="D104" s="24"/>
      <c r="E104" s="24"/>
      <c r="F104" s="24"/>
      <c r="G104" s="24"/>
      <c r="H104" s="34"/>
      <c r="I104" s="25"/>
      <c r="J104" s="25"/>
      <c r="K104" s="25"/>
      <c r="L104" s="26"/>
      <c r="M104" s="59" t="str">
        <f>IFERROR(INDEX(Vocab_NameList!$O:$O,MATCH($J104, Vocab_NameList!$M:$M, 0)),"")</f>
        <v/>
      </c>
      <c r="N104" s="29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63" t="str">
        <f>Table2[[#This Row],[Governorate
(Select from Dropdown)]]&amp;Table2[[#This Row],[Neighborhood
(Select from Dropdown)]]&amp;Table2[[#This Row],[Organization Name]]</f>
        <v/>
      </c>
      <c r="Z104" s="67"/>
    </row>
    <row r="105" spans="1:26" ht="30" customHeight="1" x14ac:dyDescent="0.25">
      <c r="A105" s="21"/>
      <c r="B105" s="33"/>
      <c r="C105" s="33"/>
      <c r="D105" s="24"/>
      <c r="E105" s="24"/>
      <c r="F105" s="24"/>
      <c r="G105" s="24"/>
      <c r="H105" s="34"/>
      <c r="I105" s="25"/>
      <c r="J105" s="25"/>
      <c r="K105" s="25"/>
      <c r="L105" s="26"/>
      <c r="M105" s="59" t="str">
        <f>IFERROR(INDEX(Vocab_NameList!$O:$O,MATCH($J105, Vocab_NameList!$M:$M, 0)),"")</f>
        <v/>
      </c>
      <c r="N105" s="29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63" t="str">
        <f>Table2[[#This Row],[Governorate
(Select from Dropdown)]]&amp;Table2[[#This Row],[Neighborhood
(Select from Dropdown)]]&amp;Table2[[#This Row],[Organization Name]]</f>
        <v/>
      </c>
      <c r="Z105" s="67"/>
    </row>
    <row r="106" spans="1:26" ht="30" customHeight="1" x14ac:dyDescent="0.25">
      <c r="A106" s="21"/>
      <c r="B106" s="33"/>
      <c r="C106" s="33"/>
      <c r="D106" s="24"/>
      <c r="E106" s="24"/>
      <c r="F106" s="24"/>
      <c r="G106" s="24"/>
      <c r="H106" s="34"/>
      <c r="I106" s="25"/>
      <c r="J106" s="25"/>
      <c r="K106" s="25"/>
      <c r="L106" s="26"/>
      <c r="M106" s="59" t="str">
        <f>IFERROR(INDEX(Vocab_NameList!$O:$O,MATCH($J106, Vocab_NameList!$M:$M, 0)),"")</f>
        <v/>
      </c>
      <c r="N106" s="29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63" t="str">
        <f>Table2[[#This Row],[Governorate
(Select from Dropdown)]]&amp;Table2[[#This Row],[Neighborhood
(Select from Dropdown)]]&amp;Table2[[#This Row],[Organization Name]]</f>
        <v/>
      </c>
      <c r="Z106" s="67"/>
    </row>
    <row r="107" spans="1:26" ht="30" customHeight="1" x14ac:dyDescent="0.25">
      <c r="A107" s="21"/>
      <c r="B107" s="33"/>
      <c r="C107" s="33"/>
      <c r="D107" s="24"/>
      <c r="E107" s="24"/>
      <c r="F107" s="24"/>
      <c r="G107" s="24"/>
      <c r="H107" s="34"/>
      <c r="I107" s="25"/>
      <c r="J107" s="25"/>
      <c r="K107" s="25"/>
      <c r="L107" s="26"/>
      <c r="M107" s="59" t="str">
        <f>IFERROR(INDEX(Vocab_NameList!$O:$O,MATCH($J107, Vocab_NameList!$M:$M, 0)),"")</f>
        <v/>
      </c>
      <c r="N107" s="29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63" t="str">
        <f>Table2[[#This Row],[Governorate
(Select from Dropdown)]]&amp;Table2[[#This Row],[Neighborhood
(Select from Dropdown)]]&amp;Table2[[#This Row],[Organization Name]]</f>
        <v/>
      </c>
      <c r="Z107" s="67"/>
    </row>
    <row r="108" spans="1:26" ht="30" customHeight="1" x14ac:dyDescent="0.25">
      <c r="A108" s="21"/>
      <c r="B108" s="33"/>
      <c r="C108" s="33"/>
      <c r="D108" s="24"/>
      <c r="E108" s="24"/>
      <c r="F108" s="24"/>
      <c r="G108" s="24"/>
      <c r="H108" s="34"/>
      <c r="I108" s="25"/>
      <c r="J108" s="25"/>
      <c r="K108" s="25"/>
      <c r="L108" s="26"/>
      <c r="M108" s="59" t="str">
        <f>IFERROR(INDEX(Vocab_NameList!$O:$O,MATCH($J108, Vocab_NameList!$M:$M, 0)),"")</f>
        <v/>
      </c>
      <c r="N108" s="29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63" t="str">
        <f>Table2[[#This Row],[Governorate
(Select from Dropdown)]]&amp;Table2[[#This Row],[Neighborhood
(Select from Dropdown)]]&amp;Table2[[#This Row],[Organization Name]]</f>
        <v/>
      </c>
      <c r="Z108" s="67"/>
    </row>
    <row r="109" spans="1:26" ht="30" customHeight="1" x14ac:dyDescent="0.25">
      <c r="A109" s="21"/>
      <c r="B109" s="33"/>
      <c r="C109" s="33"/>
      <c r="D109" s="24"/>
      <c r="E109" s="24"/>
      <c r="F109" s="24"/>
      <c r="G109" s="24"/>
      <c r="H109" s="34"/>
      <c r="I109" s="25"/>
      <c r="J109" s="25"/>
      <c r="K109" s="25"/>
      <c r="L109" s="26"/>
      <c r="M109" s="59" t="str">
        <f>IFERROR(INDEX(Vocab_NameList!$O:$O,MATCH($J109, Vocab_NameList!$M:$M, 0)),"")</f>
        <v/>
      </c>
      <c r="N109" s="29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63" t="str">
        <f>Table2[[#This Row],[Governorate
(Select from Dropdown)]]&amp;Table2[[#This Row],[Neighborhood
(Select from Dropdown)]]&amp;Table2[[#This Row],[Organization Name]]</f>
        <v/>
      </c>
      <c r="Z109" s="67"/>
    </row>
    <row r="110" spans="1:26" ht="30" customHeight="1" x14ac:dyDescent="0.25">
      <c r="A110" s="21"/>
      <c r="B110" s="33"/>
      <c r="C110" s="33"/>
      <c r="D110" s="24"/>
      <c r="E110" s="24"/>
      <c r="F110" s="24"/>
      <c r="G110" s="24"/>
      <c r="H110" s="34"/>
      <c r="I110" s="25"/>
      <c r="J110" s="25"/>
      <c r="K110" s="25"/>
      <c r="L110" s="26"/>
      <c r="M110" s="59" t="str">
        <f>IFERROR(INDEX(Vocab_NameList!$O:$O,MATCH($J110, Vocab_NameList!$M:$M, 0)),"")</f>
        <v/>
      </c>
      <c r="N110" s="29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63" t="str">
        <f>Table2[[#This Row],[Governorate
(Select from Dropdown)]]&amp;Table2[[#This Row],[Neighborhood
(Select from Dropdown)]]&amp;Table2[[#This Row],[Organization Name]]</f>
        <v/>
      </c>
      <c r="Z110" s="67"/>
    </row>
    <row r="111" spans="1:26" ht="30" customHeight="1" x14ac:dyDescent="0.25">
      <c r="A111" s="21"/>
      <c r="B111" s="33"/>
      <c r="C111" s="33"/>
      <c r="D111" s="24"/>
      <c r="E111" s="24"/>
      <c r="F111" s="24"/>
      <c r="G111" s="24"/>
      <c r="H111" s="34"/>
      <c r="I111" s="25"/>
      <c r="J111" s="25"/>
      <c r="K111" s="25"/>
      <c r="L111" s="26"/>
      <c r="M111" s="59" t="str">
        <f>IFERROR(INDEX(Vocab_NameList!$O:$O,MATCH($J111, Vocab_NameList!$M:$M, 0)),"")</f>
        <v/>
      </c>
      <c r="N111" s="29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63" t="str">
        <f>Table2[[#This Row],[Governorate
(Select from Dropdown)]]&amp;Table2[[#This Row],[Neighborhood
(Select from Dropdown)]]&amp;Table2[[#This Row],[Organization Name]]</f>
        <v/>
      </c>
      <c r="Z111" s="67"/>
    </row>
    <row r="112" spans="1:26" ht="30" customHeight="1" x14ac:dyDescent="0.25">
      <c r="A112" s="21"/>
      <c r="B112" s="33"/>
      <c r="C112" s="33"/>
      <c r="D112" s="24"/>
      <c r="E112" s="24"/>
      <c r="F112" s="24"/>
      <c r="G112" s="24"/>
      <c r="H112" s="34"/>
      <c r="I112" s="25"/>
      <c r="J112" s="25"/>
      <c r="K112" s="25"/>
      <c r="L112" s="26"/>
      <c r="M112" s="59" t="str">
        <f>IFERROR(INDEX(Vocab_NameList!$O:$O,MATCH($J112, Vocab_NameList!$M:$M, 0)),"")</f>
        <v/>
      </c>
      <c r="N112" s="29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63" t="str">
        <f>Table2[[#This Row],[Governorate
(Select from Dropdown)]]&amp;Table2[[#This Row],[Neighborhood
(Select from Dropdown)]]&amp;Table2[[#This Row],[Organization Name]]</f>
        <v/>
      </c>
      <c r="Z112" s="67"/>
    </row>
    <row r="113" spans="1:26" ht="30" customHeight="1" x14ac:dyDescent="0.25">
      <c r="A113" s="21"/>
      <c r="B113" s="33"/>
      <c r="C113" s="33"/>
      <c r="D113" s="24"/>
      <c r="E113" s="24"/>
      <c r="F113" s="24"/>
      <c r="G113" s="24"/>
      <c r="H113" s="34"/>
      <c r="I113" s="25"/>
      <c r="J113" s="25"/>
      <c r="K113" s="25"/>
      <c r="L113" s="26"/>
      <c r="M113" s="59" t="str">
        <f>IFERROR(INDEX(Vocab_NameList!$O:$O,MATCH($J113, Vocab_NameList!$M:$M, 0)),"")</f>
        <v/>
      </c>
      <c r="N113" s="29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63" t="str">
        <f>Table2[[#This Row],[Governorate
(Select from Dropdown)]]&amp;Table2[[#This Row],[Neighborhood
(Select from Dropdown)]]&amp;Table2[[#This Row],[Organization Name]]</f>
        <v/>
      </c>
      <c r="Z113" s="67"/>
    </row>
    <row r="114" spans="1:26" ht="30" customHeight="1" x14ac:dyDescent="0.25">
      <c r="A114" s="21"/>
      <c r="B114" s="33"/>
      <c r="C114" s="33"/>
      <c r="D114" s="24"/>
      <c r="E114" s="24"/>
      <c r="F114" s="24"/>
      <c r="G114" s="24"/>
      <c r="H114" s="34"/>
      <c r="I114" s="25"/>
      <c r="J114" s="25"/>
      <c r="K114" s="25"/>
      <c r="L114" s="26"/>
      <c r="M114" s="59" t="str">
        <f>IFERROR(INDEX(Vocab_NameList!$O:$O,MATCH($J114, Vocab_NameList!$M:$M, 0)),"")</f>
        <v/>
      </c>
      <c r="N114" s="29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63" t="str">
        <f>Table2[[#This Row],[Governorate
(Select from Dropdown)]]&amp;Table2[[#This Row],[Neighborhood
(Select from Dropdown)]]&amp;Table2[[#This Row],[Organization Name]]</f>
        <v/>
      </c>
      <c r="Z114" s="67"/>
    </row>
    <row r="115" spans="1:26" ht="30" customHeight="1" x14ac:dyDescent="0.25">
      <c r="A115" s="21"/>
      <c r="B115" s="33"/>
      <c r="C115" s="33"/>
      <c r="D115" s="24"/>
      <c r="E115" s="24"/>
      <c r="F115" s="24"/>
      <c r="G115" s="24"/>
      <c r="H115" s="34"/>
      <c r="I115" s="25"/>
      <c r="J115" s="25"/>
      <c r="K115" s="25"/>
      <c r="L115" s="26"/>
      <c r="M115" s="59" t="str">
        <f>IFERROR(INDEX(Vocab_NameList!$O:$O,MATCH($J115, Vocab_NameList!$M:$M, 0)),"")</f>
        <v/>
      </c>
      <c r="N115" s="29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63" t="str">
        <f>Table2[[#This Row],[Governorate
(Select from Dropdown)]]&amp;Table2[[#This Row],[Neighborhood
(Select from Dropdown)]]&amp;Table2[[#This Row],[Organization Name]]</f>
        <v/>
      </c>
      <c r="Z115" s="67"/>
    </row>
    <row r="116" spans="1:26" ht="30" customHeight="1" x14ac:dyDescent="0.25">
      <c r="A116" s="21"/>
      <c r="B116" s="33"/>
      <c r="C116" s="33"/>
      <c r="D116" s="24"/>
      <c r="E116" s="24"/>
      <c r="F116" s="24"/>
      <c r="G116" s="24"/>
      <c r="H116" s="34"/>
      <c r="I116" s="25"/>
      <c r="J116" s="25"/>
      <c r="K116" s="25"/>
      <c r="L116" s="26"/>
      <c r="M116" s="59" t="str">
        <f>IFERROR(INDEX(Vocab_NameList!$O:$O,MATCH($J116, Vocab_NameList!$M:$M, 0)),"")</f>
        <v/>
      </c>
      <c r="N116" s="29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63" t="str">
        <f>Table2[[#This Row],[Governorate
(Select from Dropdown)]]&amp;Table2[[#This Row],[Neighborhood
(Select from Dropdown)]]&amp;Table2[[#This Row],[Organization Name]]</f>
        <v/>
      </c>
      <c r="Z116" s="67"/>
    </row>
    <row r="117" spans="1:26" ht="30" customHeight="1" x14ac:dyDescent="0.25">
      <c r="A117" s="21"/>
      <c r="B117" s="33"/>
      <c r="C117" s="33"/>
      <c r="D117" s="24"/>
      <c r="E117" s="24"/>
      <c r="F117" s="24"/>
      <c r="G117" s="24"/>
      <c r="H117" s="34"/>
      <c r="I117" s="25"/>
      <c r="J117" s="25"/>
      <c r="K117" s="25"/>
      <c r="L117" s="26"/>
      <c r="M117" s="59" t="str">
        <f>IFERROR(INDEX(Vocab_NameList!$O:$O,MATCH($J117, Vocab_NameList!$M:$M, 0)),"")</f>
        <v/>
      </c>
      <c r="N117" s="29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63" t="str">
        <f>Table2[[#This Row],[Governorate
(Select from Dropdown)]]&amp;Table2[[#This Row],[Neighborhood
(Select from Dropdown)]]&amp;Table2[[#This Row],[Organization Name]]</f>
        <v/>
      </c>
      <c r="Z117" s="67"/>
    </row>
    <row r="118" spans="1:26" ht="30" customHeight="1" x14ac:dyDescent="0.25">
      <c r="A118" s="21"/>
      <c r="B118" s="33"/>
      <c r="C118" s="33"/>
      <c r="D118" s="24"/>
      <c r="E118" s="24"/>
      <c r="F118" s="24"/>
      <c r="G118" s="24"/>
      <c r="H118" s="34"/>
      <c r="I118" s="25"/>
      <c r="J118" s="25"/>
      <c r="K118" s="25"/>
      <c r="L118" s="26"/>
      <c r="M118" s="59" t="str">
        <f>IFERROR(INDEX(Vocab_NameList!$O:$O,MATCH($J118, Vocab_NameList!$M:$M, 0)),"")</f>
        <v/>
      </c>
      <c r="N118" s="29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63" t="str">
        <f>Table2[[#This Row],[Governorate
(Select from Dropdown)]]&amp;Table2[[#This Row],[Neighborhood
(Select from Dropdown)]]&amp;Table2[[#This Row],[Organization Name]]</f>
        <v/>
      </c>
      <c r="Z118" s="67"/>
    </row>
    <row r="119" spans="1:26" ht="30" customHeight="1" x14ac:dyDescent="0.25">
      <c r="A119" s="21"/>
      <c r="B119" s="33"/>
      <c r="C119" s="33"/>
      <c r="D119" s="24"/>
      <c r="E119" s="24"/>
      <c r="F119" s="24"/>
      <c r="G119" s="24"/>
      <c r="H119" s="34"/>
      <c r="I119" s="25"/>
      <c r="J119" s="25"/>
      <c r="K119" s="25"/>
      <c r="L119" s="26"/>
      <c r="M119" s="59" t="str">
        <f>IFERROR(INDEX(Vocab_NameList!$O:$O,MATCH($J119, Vocab_NameList!$M:$M, 0)),"")</f>
        <v/>
      </c>
      <c r="N119" s="29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63" t="str">
        <f>Table2[[#This Row],[Governorate
(Select from Dropdown)]]&amp;Table2[[#This Row],[Neighborhood
(Select from Dropdown)]]&amp;Table2[[#This Row],[Organization Name]]</f>
        <v/>
      </c>
      <c r="Z119" s="67"/>
    </row>
    <row r="120" spans="1:26" ht="30" customHeight="1" x14ac:dyDescent="0.25">
      <c r="A120" s="21"/>
      <c r="B120" s="33"/>
      <c r="C120" s="33"/>
      <c r="D120" s="24"/>
      <c r="E120" s="24"/>
      <c r="F120" s="24"/>
      <c r="G120" s="24"/>
      <c r="H120" s="34"/>
      <c r="I120" s="25"/>
      <c r="J120" s="25"/>
      <c r="K120" s="25"/>
      <c r="L120" s="26"/>
      <c r="M120" s="59" t="str">
        <f>IFERROR(INDEX(Vocab_NameList!$O:$O,MATCH($J120, Vocab_NameList!$M:$M, 0)),"")</f>
        <v/>
      </c>
      <c r="N120" s="29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63" t="str">
        <f>Table2[[#This Row],[Governorate
(Select from Dropdown)]]&amp;Table2[[#This Row],[Neighborhood
(Select from Dropdown)]]&amp;Table2[[#This Row],[Organization Name]]</f>
        <v/>
      </c>
      <c r="Z120" s="67"/>
    </row>
    <row r="121" spans="1:26" ht="30" customHeight="1" x14ac:dyDescent="0.25">
      <c r="A121" s="21"/>
      <c r="B121" s="33"/>
      <c r="C121" s="33"/>
      <c r="D121" s="24"/>
      <c r="E121" s="24"/>
      <c r="F121" s="24"/>
      <c r="G121" s="24"/>
      <c r="H121" s="34"/>
      <c r="I121" s="25"/>
      <c r="J121" s="25"/>
      <c r="K121" s="25"/>
      <c r="L121" s="26"/>
      <c r="M121" s="59" t="str">
        <f>IFERROR(INDEX(Vocab_NameList!$O:$O,MATCH($J121, Vocab_NameList!$M:$M, 0)),"")</f>
        <v/>
      </c>
      <c r="N121" s="29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63" t="str">
        <f>Table2[[#This Row],[Governorate
(Select from Dropdown)]]&amp;Table2[[#This Row],[Neighborhood
(Select from Dropdown)]]&amp;Table2[[#This Row],[Organization Name]]</f>
        <v/>
      </c>
      <c r="Z121" s="67"/>
    </row>
    <row r="122" spans="1:26" ht="30" customHeight="1" x14ac:dyDescent="0.25">
      <c r="A122" s="21"/>
      <c r="B122" s="33"/>
      <c r="C122" s="33"/>
      <c r="D122" s="24"/>
      <c r="E122" s="24"/>
      <c r="F122" s="24"/>
      <c r="G122" s="24"/>
      <c r="H122" s="34"/>
      <c r="I122" s="25"/>
      <c r="J122" s="25"/>
      <c r="K122" s="25"/>
      <c r="L122" s="26"/>
      <c r="M122" s="59" t="str">
        <f>IFERROR(INDEX(Vocab_NameList!$O:$O,MATCH($J122, Vocab_NameList!$M:$M, 0)),"")</f>
        <v/>
      </c>
      <c r="N122" s="29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63" t="str">
        <f>Table2[[#This Row],[Governorate
(Select from Dropdown)]]&amp;Table2[[#This Row],[Neighborhood
(Select from Dropdown)]]&amp;Table2[[#This Row],[Organization Name]]</f>
        <v/>
      </c>
      <c r="Z122" s="67"/>
    </row>
    <row r="123" spans="1:26" ht="30" customHeight="1" x14ac:dyDescent="0.25">
      <c r="A123" s="21"/>
      <c r="B123" s="33"/>
      <c r="C123" s="33"/>
      <c r="D123" s="24"/>
      <c r="E123" s="24"/>
      <c r="F123" s="24"/>
      <c r="G123" s="24"/>
      <c r="H123" s="34"/>
      <c r="I123" s="25"/>
      <c r="J123" s="25"/>
      <c r="K123" s="25"/>
      <c r="L123" s="26"/>
      <c r="M123" s="59" t="str">
        <f>IFERROR(INDEX(Vocab_NameList!$O:$O,MATCH($J123, Vocab_NameList!$M:$M, 0)),"")</f>
        <v/>
      </c>
      <c r="N123" s="29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63" t="str">
        <f>Table2[[#This Row],[Governorate
(Select from Dropdown)]]&amp;Table2[[#This Row],[Neighborhood
(Select from Dropdown)]]&amp;Table2[[#This Row],[Organization Name]]</f>
        <v/>
      </c>
      <c r="Z123" s="67"/>
    </row>
    <row r="124" spans="1:26" ht="30" customHeight="1" x14ac:dyDescent="0.25">
      <c r="A124" s="21"/>
      <c r="B124" s="33"/>
      <c r="C124" s="33"/>
      <c r="D124" s="24"/>
      <c r="E124" s="24"/>
      <c r="F124" s="24"/>
      <c r="G124" s="24"/>
      <c r="H124" s="34"/>
      <c r="I124" s="25"/>
      <c r="J124" s="25"/>
      <c r="K124" s="25"/>
      <c r="L124" s="26"/>
      <c r="M124" s="59" t="str">
        <f>IFERROR(INDEX(Vocab_NameList!$O:$O,MATCH($J124, Vocab_NameList!$M:$M, 0)),"")</f>
        <v/>
      </c>
      <c r="N124" s="29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63" t="str">
        <f>Table2[[#This Row],[Governorate
(Select from Dropdown)]]&amp;Table2[[#This Row],[Neighborhood
(Select from Dropdown)]]&amp;Table2[[#This Row],[Organization Name]]</f>
        <v/>
      </c>
      <c r="Z124" s="67"/>
    </row>
    <row r="125" spans="1:26" ht="30" customHeight="1" x14ac:dyDescent="0.25">
      <c r="A125" s="21"/>
      <c r="B125" s="33"/>
      <c r="C125" s="33"/>
      <c r="D125" s="24"/>
      <c r="E125" s="24"/>
      <c r="F125" s="24"/>
      <c r="G125" s="24"/>
      <c r="H125" s="34"/>
      <c r="I125" s="25"/>
      <c r="J125" s="25"/>
      <c r="K125" s="25"/>
      <c r="L125" s="26"/>
      <c r="M125" s="59" t="str">
        <f>IFERROR(INDEX(Vocab_NameList!$O:$O,MATCH($J125, Vocab_NameList!$M:$M, 0)),"")</f>
        <v/>
      </c>
      <c r="N125" s="29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63" t="str">
        <f>Table2[[#This Row],[Governorate
(Select from Dropdown)]]&amp;Table2[[#This Row],[Neighborhood
(Select from Dropdown)]]&amp;Table2[[#This Row],[Organization Name]]</f>
        <v/>
      </c>
      <c r="Z125" s="67"/>
    </row>
    <row r="126" spans="1:26" ht="30" customHeight="1" x14ac:dyDescent="0.25">
      <c r="A126" s="21"/>
      <c r="B126" s="33"/>
      <c r="C126" s="33"/>
      <c r="D126" s="24"/>
      <c r="E126" s="24"/>
      <c r="F126" s="24"/>
      <c r="G126" s="24"/>
      <c r="H126" s="34"/>
      <c r="I126" s="25"/>
      <c r="J126" s="25"/>
      <c r="K126" s="25"/>
      <c r="L126" s="26"/>
      <c r="M126" s="59" t="str">
        <f>IFERROR(INDEX(Vocab_NameList!$O:$O,MATCH($J126, Vocab_NameList!$M:$M, 0)),"")</f>
        <v/>
      </c>
      <c r="N126" s="29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63" t="str">
        <f>Table2[[#This Row],[Governorate
(Select from Dropdown)]]&amp;Table2[[#This Row],[Neighborhood
(Select from Dropdown)]]&amp;Table2[[#This Row],[Organization Name]]</f>
        <v/>
      </c>
      <c r="Z126" s="67"/>
    </row>
    <row r="127" spans="1:26" ht="30" customHeight="1" x14ac:dyDescent="0.25">
      <c r="A127" s="21"/>
      <c r="B127" s="33"/>
      <c r="C127" s="33"/>
      <c r="D127" s="24"/>
      <c r="E127" s="24"/>
      <c r="F127" s="24"/>
      <c r="G127" s="24"/>
      <c r="H127" s="34"/>
      <c r="I127" s="25"/>
      <c r="J127" s="25"/>
      <c r="K127" s="25"/>
      <c r="L127" s="26"/>
      <c r="M127" s="59" t="str">
        <f>IFERROR(INDEX(Vocab_NameList!$O:$O,MATCH($J127, Vocab_NameList!$M:$M, 0)),"")</f>
        <v/>
      </c>
      <c r="N127" s="29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63" t="str">
        <f>Table2[[#This Row],[Governorate
(Select from Dropdown)]]&amp;Table2[[#This Row],[Neighborhood
(Select from Dropdown)]]&amp;Table2[[#This Row],[Organization Name]]</f>
        <v/>
      </c>
      <c r="Z127" s="67"/>
    </row>
    <row r="128" spans="1:26" ht="30" customHeight="1" x14ac:dyDescent="0.25">
      <c r="A128" s="21"/>
      <c r="B128" s="33"/>
      <c r="C128" s="33"/>
      <c r="D128" s="24"/>
      <c r="E128" s="24"/>
      <c r="F128" s="24"/>
      <c r="G128" s="24"/>
      <c r="H128" s="34"/>
      <c r="I128" s="25"/>
      <c r="J128" s="25"/>
      <c r="K128" s="25"/>
      <c r="L128" s="26"/>
      <c r="M128" s="59" t="str">
        <f>IFERROR(INDEX(Vocab_NameList!$O:$O,MATCH($J128, Vocab_NameList!$M:$M, 0)),"")</f>
        <v/>
      </c>
      <c r="N128" s="29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63" t="str">
        <f>Table2[[#This Row],[Governorate
(Select from Dropdown)]]&amp;Table2[[#This Row],[Neighborhood
(Select from Dropdown)]]&amp;Table2[[#This Row],[Organization Name]]</f>
        <v/>
      </c>
      <c r="Z128" s="67"/>
    </row>
    <row r="129" spans="1:26" ht="30" customHeight="1" x14ac:dyDescent="0.25">
      <c r="A129" s="21"/>
      <c r="B129" s="33"/>
      <c r="C129" s="33"/>
      <c r="D129" s="24"/>
      <c r="E129" s="24"/>
      <c r="F129" s="24"/>
      <c r="G129" s="24"/>
      <c r="H129" s="34"/>
      <c r="I129" s="25"/>
      <c r="J129" s="25"/>
      <c r="K129" s="25"/>
      <c r="L129" s="26"/>
      <c r="M129" s="59" t="str">
        <f>IFERROR(INDEX(Vocab_NameList!$O:$O,MATCH($J129, Vocab_NameList!$M:$M, 0)),"")</f>
        <v/>
      </c>
      <c r="N129" s="29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63" t="str">
        <f>Table2[[#This Row],[Governorate
(Select from Dropdown)]]&amp;Table2[[#This Row],[Neighborhood
(Select from Dropdown)]]&amp;Table2[[#This Row],[Organization Name]]</f>
        <v/>
      </c>
      <c r="Z129" s="67"/>
    </row>
    <row r="130" spans="1:26" ht="30" customHeight="1" x14ac:dyDescent="0.25">
      <c r="A130" s="21"/>
      <c r="B130" s="33"/>
      <c r="C130" s="33"/>
      <c r="D130" s="24"/>
      <c r="E130" s="24"/>
      <c r="F130" s="24"/>
      <c r="G130" s="24"/>
      <c r="H130" s="34"/>
      <c r="I130" s="25"/>
      <c r="J130" s="25"/>
      <c r="K130" s="25"/>
      <c r="L130" s="26"/>
      <c r="M130" s="59" t="str">
        <f>IFERROR(INDEX(Vocab_NameList!$O:$O,MATCH($J130, Vocab_NameList!$M:$M, 0)),"")</f>
        <v/>
      </c>
      <c r="N130" s="29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63" t="str">
        <f>Table2[[#This Row],[Governorate
(Select from Dropdown)]]&amp;Table2[[#This Row],[Neighborhood
(Select from Dropdown)]]&amp;Table2[[#This Row],[Organization Name]]</f>
        <v/>
      </c>
      <c r="Z130" s="67"/>
    </row>
    <row r="131" spans="1:26" ht="30" customHeight="1" x14ac:dyDescent="0.25">
      <c r="A131" s="21"/>
      <c r="B131" s="33"/>
      <c r="C131" s="33"/>
      <c r="D131" s="24"/>
      <c r="E131" s="24"/>
      <c r="F131" s="24"/>
      <c r="G131" s="24"/>
      <c r="H131" s="34"/>
      <c r="I131" s="25"/>
      <c r="J131" s="25"/>
      <c r="K131" s="25"/>
      <c r="L131" s="26"/>
      <c r="M131" s="59" t="str">
        <f>IFERROR(INDEX(Vocab_NameList!$O:$O,MATCH($J131, Vocab_NameList!$M:$M, 0)),"")</f>
        <v/>
      </c>
      <c r="N131" s="29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63" t="str">
        <f>Table2[[#This Row],[Governorate
(Select from Dropdown)]]&amp;Table2[[#This Row],[Neighborhood
(Select from Dropdown)]]&amp;Table2[[#This Row],[Organization Name]]</f>
        <v/>
      </c>
      <c r="Z131" s="67"/>
    </row>
    <row r="132" spans="1:26" ht="30" customHeight="1" x14ac:dyDescent="0.25">
      <c r="A132" s="21"/>
      <c r="B132" s="33"/>
      <c r="C132" s="33"/>
      <c r="D132" s="24"/>
      <c r="E132" s="24"/>
      <c r="F132" s="24"/>
      <c r="G132" s="24"/>
      <c r="H132" s="34"/>
      <c r="I132" s="25"/>
      <c r="J132" s="25"/>
      <c r="K132" s="25"/>
      <c r="L132" s="26"/>
      <c r="M132" s="59" t="str">
        <f>IFERROR(INDEX(Vocab_NameList!$O:$O,MATCH($J132, Vocab_NameList!$M:$M, 0)),"")</f>
        <v/>
      </c>
      <c r="N132" s="29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63" t="str">
        <f>Table2[[#This Row],[Governorate
(Select from Dropdown)]]&amp;Table2[[#This Row],[Neighborhood
(Select from Dropdown)]]&amp;Table2[[#This Row],[Organization Name]]</f>
        <v/>
      </c>
      <c r="Z132" s="67"/>
    </row>
    <row r="133" spans="1:26" ht="30" customHeight="1" x14ac:dyDescent="0.25">
      <c r="A133" s="21"/>
      <c r="B133" s="33"/>
      <c r="C133" s="33"/>
      <c r="D133" s="24"/>
      <c r="E133" s="24"/>
      <c r="F133" s="24"/>
      <c r="G133" s="24"/>
      <c r="H133" s="34"/>
      <c r="I133" s="25"/>
      <c r="J133" s="25"/>
      <c r="K133" s="25"/>
      <c r="L133" s="26"/>
      <c r="M133" s="59" t="str">
        <f>IFERROR(INDEX(Vocab_NameList!$O:$O,MATCH($J133, Vocab_NameList!$M:$M, 0)),"")</f>
        <v/>
      </c>
      <c r="N133" s="29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63" t="str">
        <f>Table2[[#This Row],[Governorate
(Select from Dropdown)]]&amp;Table2[[#This Row],[Neighborhood
(Select from Dropdown)]]&amp;Table2[[#This Row],[Organization Name]]</f>
        <v/>
      </c>
      <c r="Z133" s="67"/>
    </row>
    <row r="134" spans="1:26" ht="30" customHeight="1" x14ac:dyDescent="0.25">
      <c r="A134" s="21"/>
      <c r="B134" s="33"/>
      <c r="C134" s="33"/>
      <c r="D134" s="24"/>
      <c r="E134" s="24"/>
      <c r="F134" s="24"/>
      <c r="G134" s="24"/>
      <c r="H134" s="34"/>
      <c r="I134" s="25"/>
      <c r="J134" s="25"/>
      <c r="K134" s="25"/>
      <c r="L134" s="26"/>
      <c r="M134" s="59" t="str">
        <f>IFERROR(INDEX(Vocab_NameList!$O:$O,MATCH($J134, Vocab_NameList!$M:$M, 0)),"")</f>
        <v/>
      </c>
      <c r="N134" s="29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63" t="str">
        <f>Table2[[#This Row],[Governorate
(Select from Dropdown)]]&amp;Table2[[#This Row],[Neighborhood
(Select from Dropdown)]]&amp;Table2[[#This Row],[Organization Name]]</f>
        <v/>
      </c>
      <c r="Z134" s="67"/>
    </row>
    <row r="135" spans="1:26" ht="30" customHeight="1" x14ac:dyDescent="0.25">
      <c r="A135" s="21"/>
      <c r="B135" s="33"/>
      <c r="C135" s="33"/>
      <c r="D135" s="24"/>
      <c r="E135" s="24"/>
      <c r="F135" s="24"/>
      <c r="G135" s="24"/>
      <c r="H135" s="34"/>
      <c r="I135" s="25"/>
      <c r="J135" s="25"/>
      <c r="K135" s="25"/>
      <c r="L135" s="26"/>
      <c r="M135" s="59" t="str">
        <f>IFERROR(INDEX(Vocab_NameList!$O:$O,MATCH($J135, Vocab_NameList!$M:$M, 0)),"")</f>
        <v/>
      </c>
      <c r="N135" s="29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63" t="str">
        <f>Table2[[#This Row],[Governorate
(Select from Dropdown)]]&amp;Table2[[#This Row],[Neighborhood
(Select from Dropdown)]]&amp;Table2[[#This Row],[Organization Name]]</f>
        <v/>
      </c>
      <c r="Z135" s="67"/>
    </row>
    <row r="136" spans="1:26" ht="30" customHeight="1" x14ac:dyDescent="0.25">
      <c r="A136" s="21"/>
      <c r="B136" s="33"/>
      <c r="C136" s="33"/>
      <c r="D136" s="24"/>
      <c r="E136" s="24"/>
      <c r="F136" s="24"/>
      <c r="G136" s="24"/>
      <c r="H136" s="34"/>
      <c r="I136" s="25"/>
      <c r="J136" s="25"/>
      <c r="K136" s="25"/>
      <c r="L136" s="26"/>
      <c r="M136" s="59" t="str">
        <f>IFERROR(INDEX(Vocab_NameList!$O:$O,MATCH($J136, Vocab_NameList!$M:$M, 0)),"")</f>
        <v/>
      </c>
      <c r="N136" s="29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63" t="str">
        <f>Table2[[#This Row],[Governorate
(Select from Dropdown)]]&amp;Table2[[#This Row],[Neighborhood
(Select from Dropdown)]]&amp;Table2[[#This Row],[Organization Name]]</f>
        <v/>
      </c>
      <c r="Z136" s="67"/>
    </row>
    <row r="137" spans="1:26" ht="30" customHeight="1" x14ac:dyDescent="0.25">
      <c r="A137" s="21"/>
      <c r="B137" s="33"/>
      <c r="C137" s="33"/>
      <c r="D137" s="24"/>
      <c r="E137" s="24"/>
      <c r="F137" s="24"/>
      <c r="G137" s="24"/>
      <c r="H137" s="34"/>
      <c r="I137" s="25"/>
      <c r="J137" s="25"/>
      <c r="K137" s="25"/>
      <c r="L137" s="26"/>
      <c r="M137" s="59" t="str">
        <f>IFERROR(INDEX(Vocab_NameList!$O:$O,MATCH($J137, Vocab_NameList!$M:$M, 0)),"")</f>
        <v/>
      </c>
      <c r="N137" s="29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63" t="str">
        <f>Table2[[#This Row],[Governorate
(Select from Dropdown)]]&amp;Table2[[#This Row],[Neighborhood
(Select from Dropdown)]]&amp;Table2[[#This Row],[Organization Name]]</f>
        <v/>
      </c>
      <c r="Z137" s="67"/>
    </row>
    <row r="138" spans="1:26" ht="30" customHeight="1" x14ac:dyDescent="0.25">
      <c r="A138" s="21"/>
      <c r="B138" s="33"/>
      <c r="C138" s="33"/>
      <c r="D138" s="24"/>
      <c r="E138" s="24"/>
      <c r="F138" s="24"/>
      <c r="G138" s="24"/>
      <c r="H138" s="34"/>
      <c r="I138" s="25"/>
      <c r="J138" s="25"/>
      <c r="K138" s="25"/>
      <c r="L138" s="26"/>
      <c r="M138" s="59" t="str">
        <f>IFERROR(INDEX(Vocab_NameList!$O:$O,MATCH($J138, Vocab_NameList!$M:$M, 0)),"")</f>
        <v/>
      </c>
      <c r="N138" s="29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63" t="str">
        <f>Table2[[#This Row],[Governorate
(Select from Dropdown)]]&amp;Table2[[#This Row],[Neighborhood
(Select from Dropdown)]]&amp;Table2[[#This Row],[Organization Name]]</f>
        <v/>
      </c>
      <c r="Z138" s="67"/>
    </row>
    <row r="139" spans="1:26" ht="30" customHeight="1" x14ac:dyDescent="0.25">
      <c r="A139" s="21"/>
      <c r="B139" s="33"/>
      <c r="C139" s="33"/>
      <c r="D139" s="24"/>
      <c r="E139" s="24"/>
      <c r="F139" s="24"/>
      <c r="G139" s="24"/>
      <c r="H139" s="34"/>
      <c r="I139" s="25"/>
      <c r="J139" s="25"/>
      <c r="K139" s="25"/>
      <c r="L139" s="26"/>
      <c r="M139" s="59" t="str">
        <f>IFERROR(INDEX(Vocab_NameList!$O:$O,MATCH($J139, Vocab_NameList!$M:$M, 0)),"")</f>
        <v/>
      </c>
      <c r="N139" s="29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63" t="str">
        <f>Table2[[#This Row],[Governorate
(Select from Dropdown)]]&amp;Table2[[#This Row],[Neighborhood
(Select from Dropdown)]]&amp;Table2[[#This Row],[Organization Name]]</f>
        <v/>
      </c>
      <c r="Z139" s="67"/>
    </row>
    <row r="140" spans="1:26" ht="30" customHeight="1" x14ac:dyDescent="0.25">
      <c r="A140" s="21"/>
      <c r="B140" s="33"/>
      <c r="C140" s="33"/>
      <c r="D140" s="24"/>
      <c r="E140" s="24"/>
      <c r="F140" s="24"/>
      <c r="G140" s="24"/>
      <c r="H140" s="34"/>
      <c r="I140" s="25"/>
      <c r="J140" s="25"/>
      <c r="K140" s="25"/>
      <c r="L140" s="26"/>
      <c r="M140" s="59" t="str">
        <f>IFERROR(INDEX(Vocab_NameList!$O:$O,MATCH($J140, Vocab_NameList!$M:$M, 0)),"")</f>
        <v/>
      </c>
      <c r="N140" s="29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63" t="str">
        <f>Table2[[#This Row],[Governorate
(Select from Dropdown)]]&amp;Table2[[#This Row],[Neighborhood
(Select from Dropdown)]]&amp;Table2[[#This Row],[Organization Name]]</f>
        <v/>
      </c>
      <c r="Z140" s="67"/>
    </row>
    <row r="141" spans="1:26" ht="30" customHeight="1" x14ac:dyDescent="0.25">
      <c r="A141" s="21"/>
      <c r="B141" s="33"/>
      <c r="C141" s="33"/>
      <c r="D141" s="24"/>
      <c r="E141" s="24"/>
      <c r="F141" s="24"/>
      <c r="G141" s="24"/>
      <c r="H141" s="34"/>
      <c r="I141" s="25"/>
      <c r="J141" s="25"/>
      <c r="K141" s="25"/>
      <c r="L141" s="26"/>
      <c r="M141" s="59" t="str">
        <f>IFERROR(INDEX(Vocab_NameList!$O:$O,MATCH($J141, Vocab_NameList!$M:$M, 0)),"")</f>
        <v/>
      </c>
      <c r="N141" s="29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63" t="str">
        <f>Table2[[#This Row],[Governorate
(Select from Dropdown)]]&amp;Table2[[#This Row],[Neighborhood
(Select from Dropdown)]]&amp;Table2[[#This Row],[Organization Name]]</f>
        <v/>
      </c>
      <c r="Z141" s="67"/>
    </row>
    <row r="142" spans="1:26" ht="30" customHeight="1" x14ac:dyDescent="0.25">
      <c r="A142" s="21"/>
      <c r="B142" s="33"/>
      <c r="C142" s="33"/>
      <c r="D142" s="24"/>
      <c r="E142" s="24"/>
      <c r="F142" s="24"/>
      <c r="G142" s="24"/>
      <c r="H142" s="34"/>
      <c r="I142" s="25"/>
      <c r="J142" s="25"/>
      <c r="K142" s="25"/>
      <c r="L142" s="26"/>
      <c r="M142" s="59" t="str">
        <f>IFERROR(INDEX(Vocab_NameList!$O:$O,MATCH($J142, Vocab_NameList!$M:$M, 0)),"")</f>
        <v/>
      </c>
      <c r="N142" s="29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63" t="str">
        <f>Table2[[#This Row],[Governorate
(Select from Dropdown)]]&amp;Table2[[#This Row],[Neighborhood
(Select from Dropdown)]]&amp;Table2[[#This Row],[Organization Name]]</f>
        <v/>
      </c>
      <c r="Z142" s="67"/>
    </row>
    <row r="143" spans="1:26" ht="30" customHeight="1" x14ac:dyDescent="0.25">
      <c r="A143" s="21"/>
      <c r="B143" s="33"/>
      <c r="C143" s="33"/>
      <c r="D143" s="24"/>
      <c r="E143" s="24"/>
      <c r="F143" s="24"/>
      <c r="G143" s="24"/>
      <c r="H143" s="34"/>
      <c r="I143" s="25"/>
      <c r="J143" s="25"/>
      <c r="K143" s="25"/>
      <c r="L143" s="26"/>
      <c r="M143" s="59" t="str">
        <f>IFERROR(INDEX(Vocab_NameList!$O:$O,MATCH($J143, Vocab_NameList!$M:$M, 0)),"")</f>
        <v/>
      </c>
      <c r="N143" s="29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63" t="str">
        <f>Table2[[#This Row],[Governorate
(Select from Dropdown)]]&amp;Table2[[#This Row],[Neighborhood
(Select from Dropdown)]]&amp;Table2[[#This Row],[Organization Name]]</f>
        <v/>
      </c>
      <c r="Z143" s="67"/>
    </row>
    <row r="144" spans="1:26" ht="30" customHeight="1" x14ac:dyDescent="0.25">
      <c r="A144" s="21"/>
      <c r="B144" s="33"/>
      <c r="C144" s="33"/>
      <c r="D144" s="24"/>
      <c r="E144" s="24"/>
      <c r="F144" s="24"/>
      <c r="G144" s="24"/>
      <c r="H144" s="34"/>
      <c r="I144" s="25"/>
      <c r="J144" s="25"/>
      <c r="K144" s="25"/>
      <c r="L144" s="26"/>
      <c r="M144" s="59" t="str">
        <f>IFERROR(INDEX(Vocab_NameList!$O:$O,MATCH($J144, Vocab_NameList!$M:$M, 0)),"")</f>
        <v/>
      </c>
      <c r="N144" s="29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63" t="str">
        <f>Table2[[#This Row],[Governorate
(Select from Dropdown)]]&amp;Table2[[#This Row],[Neighborhood
(Select from Dropdown)]]&amp;Table2[[#This Row],[Organization Name]]</f>
        <v/>
      </c>
      <c r="Z144" s="67"/>
    </row>
    <row r="145" spans="1:26" ht="30" customHeight="1" x14ac:dyDescent="0.25">
      <c r="A145" s="21"/>
      <c r="B145" s="33"/>
      <c r="C145" s="33"/>
      <c r="D145" s="24"/>
      <c r="E145" s="24"/>
      <c r="F145" s="24"/>
      <c r="G145" s="24"/>
      <c r="H145" s="34"/>
      <c r="I145" s="25"/>
      <c r="J145" s="25"/>
      <c r="K145" s="25"/>
      <c r="L145" s="26"/>
      <c r="M145" s="59" t="str">
        <f>IFERROR(INDEX(Vocab_NameList!$O:$O,MATCH($J145, Vocab_NameList!$M:$M, 0)),"")</f>
        <v/>
      </c>
      <c r="N145" s="29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63" t="str">
        <f>Table2[[#This Row],[Governorate
(Select from Dropdown)]]&amp;Table2[[#This Row],[Neighborhood
(Select from Dropdown)]]&amp;Table2[[#This Row],[Organization Name]]</f>
        <v/>
      </c>
      <c r="Z145" s="67"/>
    </row>
    <row r="146" spans="1:26" ht="30" customHeight="1" x14ac:dyDescent="0.25">
      <c r="A146" s="21"/>
      <c r="B146" s="33"/>
      <c r="C146" s="33"/>
      <c r="D146" s="24"/>
      <c r="E146" s="24"/>
      <c r="F146" s="24"/>
      <c r="G146" s="24"/>
      <c r="H146" s="34"/>
      <c r="I146" s="25"/>
      <c r="J146" s="25"/>
      <c r="K146" s="25"/>
      <c r="L146" s="26"/>
      <c r="M146" s="59" t="str">
        <f>IFERROR(INDEX(Vocab_NameList!$O:$O,MATCH($J146, Vocab_NameList!$M:$M, 0)),"")</f>
        <v/>
      </c>
      <c r="N146" s="29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63" t="str">
        <f>Table2[[#This Row],[Governorate
(Select from Dropdown)]]&amp;Table2[[#This Row],[Neighborhood
(Select from Dropdown)]]&amp;Table2[[#This Row],[Organization Name]]</f>
        <v/>
      </c>
      <c r="Z146" s="67"/>
    </row>
    <row r="147" spans="1:26" ht="30" customHeight="1" x14ac:dyDescent="0.25">
      <c r="A147" s="21"/>
      <c r="B147" s="33"/>
      <c r="C147" s="33"/>
      <c r="D147" s="24"/>
      <c r="E147" s="24"/>
      <c r="F147" s="24"/>
      <c r="G147" s="24"/>
      <c r="H147" s="34"/>
      <c r="I147" s="25"/>
      <c r="J147" s="25"/>
      <c r="K147" s="25"/>
      <c r="L147" s="26"/>
      <c r="M147" s="59" t="str">
        <f>IFERROR(INDEX(Vocab_NameList!$O:$O,MATCH($J147, Vocab_NameList!$M:$M, 0)),"")</f>
        <v/>
      </c>
      <c r="N147" s="29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63" t="str">
        <f>Table2[[#This Row],[Governorate
(Select from Dropdown)]]&amp;Table2[[#This Row],[Neighborhood
(Select from Dropdown)]]&amp;Table2[[#This Row],[Organization Name]]</f>
        <v/>
      </c>
      <c r="Z147" s="67"/>
    </row>
    <row r="148" spans="1:26" ht="30" customHeight="1" x14ac:dyDescent="0.25">
      <c r="A148" s="21"/>
      <c r="B148" s="33"/>
      <c r="C148" s="33"/>
      <c r="D148" s="24"/>
      <c r="E148" s="24"/>
      <c r="F148" s="24"/>
      <c r="G148" s="24"/>
      <c r="H148" s="34"/>
      <c r="I148" s="25"/>
      <c r="J148" s="25"/>
      <c r="K148" s="25"/>
      <c r="L148" s="26"/>
      <c r="M148" s="59" t="str">
        <f>IFERROR(INDEX(Vocab_NameList!$O:$O,MATCH($J148, Vocab_NameList!$M:$M, 0)),"")</f>
        <v/>
      </c>
      <c r="N148" s="29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63" t="str">
        <f>Table2[[#This Row],[Governorate
(Select from Dropdown)]]&amp;Table2[[#This Row],[Neighborhood
(Select from Dropdown)]]&amp;Table2[[#This Row],[Organization Name]]</f>
        <v/>
      </c>
      <c r="Z148" s="67"/>
    </row>
    <row r="149" spans="1:26" ht="30" customHeight="1" x14ac:dyDescent="0.25">
      <c r="A149" s="21"/>
      <c r="B149" s="33"/>
      <c r="C149" s="33"/>
      <c r="D149" s="24"/>
      <c r="E149" s="24"/>
      <c r="F149" s="24"/>
      <c r="G149" s="24"/>
      <c r="H149" s="34"/>
      <c r="I149" s="25"/>
      <c r="J149" s="25"/>
      <c r="K149" s="25"/>
      <c r="L149" s="26"/>
      <c r="M149" s="59" t="str">
        <f>IFERROR(INDEX(Vocab_NameList!$O:$O,MATCH($J149, Vocab_NameList!$M:$M, 0)),"")</f>
        <v/>
      </c>
      <c r="N149" s="29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63" t="str">
        <f>Table2[[#This Row],[Governorate
(Select from Dropdown)]]&amp;Table2[[#This Row],[Neighborhood
(Select from Dropdown)]]&amp;Table2[[#This Row],[Organization Name]]</f>
        <v/>
      </c>
      <c r="Z149" s="67"/>
    </row>
    <row r="150" spans="1:26" ht="30" customHeight="1" x14ac:dyDescent="0.25">
      <c r="A150" s="21"/>
      <c r="B150" s="33"/>
      <c r="C150" s="33"/>
      <c r="D150" s="24"/>
      <c r="E150" s="24"/>
      <c r="F150" s="24"/>
      <c r="G150" s="24"/>
      <c r="H150" s="34"/>
      <c r="I150" s="25"/>
      <c r="J150" s="25"/>
      <c r="K150" s="25"/>
      <c r="L150" s="26"/>
      <c r="M150" s="59" t="str">
        <f>IFERROR(INDEX(Vocab_NameList!$O:$O,MATCH($J150, Vocab_NameList!$M:$M, 0)),"")</f>
        <v/>
      </c>
      <c r="N150" s="29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63" t="str">
        <f>Table2[[#This Row],[Governorate
(Select from Dropdown)]]&amp;Table2[[#This Row],[Neighborhood
(Select from Dropdown)]]&amp;Table2[[#This Row],[Organization Name]]</f>
        <v/>
      </c>
      <c r="Z150" s="67"/>
    </row>
    <row r="151" spans="1:26" ht="30" customHeight="1" x14ac:dyDescent="0.25">
      <c r="A151" s="21"/>
      <c r="B151" s="33"/>
      <c r="C151" s="33"/>
      <c r="D151" s="24"/>
      <c r="E151" s="24"/>
      <c r="F151" s="24"/>
      <c r="G151" s="24"/>
      <c r="H151" s="34"/>
      <c r="I151" s="25"/>
      <c r="J151" s="25"/>
      <c r="K151" s="25"/>
      <c r="L151" s="26"/>
      <c r="M151" s="59" t="str">
        <f>IFERROR(INDEX(Vocab_NameList!$O:$O,MATCH($J151, Vocab_NameList!$M:$M, 0)),"")</f>
        <v/>
      </c>
      <c r="N151" s="29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63" t="str">
        <f>Table2[[#This Row],[Governorate
(Select from Dropdown)]]&amp;Table2[[#This Row],[Neighborhood
(Select from Dropdown)]]&amp;Table2[[#This Row],[Organization Name]]</f>
        <v/>
      </c>
      <c r="Z151" s="67"/>
    </row>
    <row r="152" spans="1:26" ht="30" customHeight="1" x14ac:dyDescent="0.25">
      <c r="A152" s="21"/>
      <c r="B152" s="33"/>
      <c r="C152" s="33"/>
      <c r="D152" s="24"/>
      <c r="E152" s="24"/>
      <c r="F152" s="24"/>
      <c r="G152" s="24"/>
      <c r="H152" s="34"/>
      <c r="I152" s="25"/>
      <c r="J152" s="25"/>
      <c r="K152" s="25"/>
      <c r="L152" s="26"/>
      <c r="M152" s="59" t="str">
        <f>IFERROR(INDEX(Vocab_NameList!$O:$O,MATCH($J152, Vocab_NameList!$M:$M, 0)),"")</f>
        <v/>
      </c>
      <c r="N152" s="29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63" t="str">
        <f>Table2[[#This Row],[Governorate
(Select from Dropdown)]]&amp;Table2[[#This Row],[Neighborhood
(Select from Dropdown)]]&amp;Table2[[#This Row],[Organization Name]]</f>
        <v/>
      </c>
      <c r="Z152" s="67"/>
    </row>
    <row r="153" spans="1:26" ht="30" customHeight="1" x14ac:dyDescent="0.25">
      <c r="A153" s="21"/>
      <c r="B153" s="33"/>
      <c r="C153" s="33"/>
      <c r="D153" s="24"/>
      <c r="E153" s="24"/>
      <c r="F153" s="24"/>
      <c r="G153" s="24"/>
      <c r="H153" s="34"/>
      <c r="I153" s="25"/>
      <c r="J153" s="25"/>
      <c r="K153" s="25"/>
      <c r="L153" s="26"/>
      <c r="M153" s="59" t="str">
        <f>IFERROR(INDEX(Vocab_NameList!$O:$O,MATCH($J153, Vocab_NameList!$M:$M, 0)),"")</f>
        <v/>
      </c>
      <c r="N153" s="29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63" t="str">
        <f>Table2[[#This Row],[Governorate
(Select from Dropdown)]]&amp;Table2[[#This Row],[Neighborhood
(Select from Dropdown)]]&amp;Table2[[#This Row],[Organization Name]]</f>
        <v/>
      </c>
      <c r="Z153" s="67"/>
    </row>
    <row r="154" spans="1:26" ht="30" customHeight="1" x14ac:dyDescent="0.25">
      <c r="A154" s="21"/>
      <c r="B154" s="33"/>
      <c r="C154" s="33"/>
      <c r="D154" s="24"/>
      <c r="E154" s="24"/>
      <c r="F154" s="24"/>
      <c r="G154" s="24"/>
      <c r="H154" s="34"/>
      <c r="I154" s="25"/>
      <c r="J154" s="25"/>
      <c r="K154" s="25"/>
      <c r="L154" s="26"/>
      <c r="M154" s="59" t="str">
        <f>IFERROR(INDEX(Vocab_NameList!$O:$O,MATCH($J154, Vocab_NameList!$M:$M, 0)),"")</f>
        <v/>
      </c>
      <c r="N154" s="29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63" t="str">
        <f>Table2[[#This Row],[Governorate
(Select from Dropdown)]]&amp;Table2[[#This Row],[Neighborhood
(Select from Dropdown)]]&amp;Table2[[#This Row],[Organization Name]]</f>
        <v/>
      </c>
      <c r="Z154" s="67"/>
    </row>
    <row r="155" spans="1:26" ht="30" customHeight="1" x14ac:dyDescent="0.25">
      <c r="A155" s="21"/>
      <c r="B155" s="33"/>
      <c r="C155" s="33"/>
      <c r="D155" s="24"/>
      <c r="E155" s="24"/>
      <c r="F155" s="24"/>
      <c r="G155" s="24"/>
      <c r="H155" s="34"/>
      <c r="I155" s="25"/>
      <c r="J155" s="25"/>
      <c r="K155" s="25"/>
      <c r="L155" s="26"/>
      <c r="M155" s="59" t="str">
        <f>IFERROR(INDEX(Vocab_NameList!$O:$O,MATCH($J155, Vocab_NameList!$M:$M, 0)),"")</f>
        <v/>
      </c>
      <c r="N155" s="29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63" t="str">
        <f>Table2[[#This Row],[Governorate
(Select from Dropdown)]]&amp;Table2[[#This Row],[Neighborhood
(Select from Dropdown)]]&amp;Table2[[#This Row],[Organization Name]]</f>
        <v/>
      </c>
      <c r="Z155" s="67"/>
    </row>
    <row r="156" spans="1:26" ht="30" customHeight="1" x14ac:dyDescent="0.25">
      <c r="A156" s="21"/>
      <c r="B156" s="33"/>
      <c r="C156" s="33"/>
      <c r="D156" s="24"/>
      <c r="E156" s="24"/>
      <c r="F156" s="24"/>
      <c r="G156" s="24"/>
      <c r="H156" s="34"/>
      <c r="I156" s="25"/>
      <c r="J156" s="25"/>
      <c r="K156" s="25"/>
      <c r="L156" s="26"/>
      <c r="M156" s="59" t="str">
        <f>IFERROR(INDEX(Vocab_NameList!$O:$O,MATCH($J156, Vocab_NameList!$M:$M, 0)),"")</f>
        <v/>
      </c>
      <c r="N156" s="29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63" t="str">
        <f>Table2[[#This Row],[Governorate
(Select from Dropdown)]]&amp;Table2[[#This Row],[Neighborhood
(Select from Dropdown)]]&amp;Table2[[#This Row],[Organization Name]]</f>
        <v/>
      </c>
      <c r="Z156" s="67"/>
    </row>
    <row r="157" spans="1:26" ht="30" customHeight="1" x14ac:dyDescent="0.25">
      <c r="A157" s="21"/>
      <c r="B157" s="33"/>
      <c r="C157" s="33"/>
      <c r="D157" s="24"/>
      <c r="E157" s="24"/>
      <c r="F157" s="24"/>
      <c r="G157" s="24"/>
      <c r="H157" s="34"/>
      <c r="I157" s="25"/>
      <c r="J157" s="25"/>
      <c r="K157" s="25"/>
      <c r="L157" s="26"/>
      <c r="M157" s="59" t="str">
        <f>IFERROR(INDEX(Vocab_NameList!$O:$O,MATCH($J157, Vocab_NameList!$M:$M, 0)),"")</f>
        <v/>
      </c>
      <c r="N157" s="29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63" t="str">
        <f>Table2[[#This Row],[Governorate
(Select from Dropdown)]]&amp;Table2[[#This Row],[Neighborhood
(Select from Dropdown)]]&amp;Table2[[#This Row],[Organization Name]]</f>
        <v/>
      </c>
      <c r="Z157" s="67"/>
    </row>
    <row r="158" spans="1:26" ht="30" customHeight="1" x14ac:dyDescent="0.25">
      <c r="A158" s="21"/>
      <c r="B158" s="33"/>
      <c r="C158" s="33"/>
      <c r="D158" s="24"/>
      <c r="E158" s="24"/>
      <c r="F158" s="24"/>
      <c r="G158" s="24"/>
      <c r="H158" s="34"/>
      <c r="I158" s="25"/>
      <c r="J158" s="25"/>
      <c r="K158" s="25"/>
      <c r="L158" s="26"/>
      <c r="M158" s="59" t="str">
        <f>IFERROR(INDEX(Vocab_NameList!$O:$O,MATCH($J158, Vocab_NameList!$M:$M, 0)),"")</f>
        <v/>
      </c>
      <c r="N158" s="29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63" t="str">
        <f>Table2[[#This Row],[Governorate
(Select from Dropdown)]]&amp;Table2[[#This Row],[Neighborhood
(Select from Dropdown)]]&amp;Table2[[#This Row],[Organization Name]]</f>
        <v/>
      </c>
      <c r="Z158" s="67"/>
    </row>
    <row r="159" spans="1:26" ht="30" customHeight="1" x14ac:dyDescent="0.25">
      <c r="A159" s="21"/>
      <c r="B159" s="33"/>
      <c r="C159" s="33"/>
      <c r="D159" s="24"/>
      <c r="E159" s="24"/>
      <c r="F159" s="24"/>
      <c r="G159" s="24"/>
      <c r="H159" s="34"/>
      <c r="I159" s="25"/>
      <c r="J159" s="25"/>
      <c r="K159" s="25"/>
      <c r="L159" s="26"/>
      <c r="M159" s="59" t="str">
        <f>IFERROR(INDEX(Vocab_NameList!$O:$O,MATCH($J159, Vocab_NameList!$M:$M, 0)),"")</f>
        <v/>
      </c>
      <c r="N159" s="29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63" t="str">
        <f>Table2[[#This Row],[Governorate
(Select from Dropdown)]]&amp;Table2[[#This Row],[Neighborhood
(Select from Dropdown)]]&amp;Table2[[#This Row],[Organization Name]]</f>
        <v/>
      </c>
      <c r="Z159" s="67"/>
    </row>
    <row r="160" spans="1:26" ht="30" customHeight="1" x14ac:dyDescent="0.25">
      <c r="A160" s="21"/>
      <c r="B160" s="33"/>
      <c r="C160" s="33"/>
      <c r="D160" s="24"/>
      <c r="E160" s="24"/>
      <c r="F160" s="24"/>
      <c r="G160" s="24"/>
      <c r="H160" s="34"/>
      <c r="I160" s="25"/>
      <c r="J160" s="25"/>
      <c r="K160" s="25"/>
      <c r="L160" s="26"/>
      <c r="M160" s="59" t="str">
        <f>IFERROR(INDEX(Vocab_NameList!$O:$O,MATCH($J160, Vocab_NameList!$M:$M, 0)),"")</f>
        <v/>
      </c>
      <c r="N160" s="29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63" t="str">
        <f>Table2[[#This Row],[Governorate
(Select from Dropdown)]]&amp;Table2[[#This Row],[Neighborhood
(Select from Dropdown)]]&amp;Table2[[#This Row],[Organization Name]]</f>
        <v/>
      </c>
      <c r="Z160" s="67"/>
    </row>
    <row r="161" spans="1:26" ht="30" customHeight="1" x14ac:dyDescent="0.25">
      <c r="A161" s="21"/>
      <c r="B161" s="33"/>
      <c r="C161" s="33"/>
      <c r="D161" s="24"/>
      <c r="E161" s="24"/>
      <c r="F161" s="24"/>
      <c r="G161" s="24"/>
      <c r="H161" s="34"/>
      <c r="I161" s="25"/>
      <c r="J161" s="25"/>
      <c r="K161" s="25"/>
      <c r="L161" s="26"/>
      <c r="M161" s="59" t="str">
        <f>IFERROR(INDEX(Vocab_NameList!$O:$O,MATCH($J161, Vocab_NameList!$M:$M, 0)),"")</f>
        <v/>
      </c>
      <c r="N161" s="29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63" t="str">
        <f>Table2[[#This Row],[Governorate
(Select from Dropdown)]]&amp;Table2[[#This Row],[Neighborhood
(Select from Dropdown)]]&amp;Table2[[#This Row],[Organization Name]]</f>
        <v/>
      </c>
      <c r="Z161" s="67"/>
    </row>
    <row r="162" spans="1:26" ht="30" customHeight="1" x14ac:dyDescent="0.25">
      <c r="A162" s="21"/>
      <c r="B162" s="33"/>
      <c r="C162" s="33"/>
      <c r="D162" s="24"/>
      <c r="E162" s="24"/>
      <c r="F162" s="24"/>
      <c r="G162" s="24"/>
      <c r="H162" s="34"/>
      <c r="I162" s="25"/>
      <c r="J162" s="25"/>
      <c r="K162" s="25"/>
      <c r="L162" s="26"/>
      <c r="M162" s="59" t="str">
        <f>IFERROR(INDEX(Vocab_NameList!$O:$O,MATCH($J162, Vocab_NameList!$M:$M, 0)),"")</f>
        <v/>
      </c>
      <c r="N162" s="29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63" t="str">
        <f>Table2[[#This Row],[Governorate
(Select from Dropdown)]]&amp;Table2[[#This Row],[Neighborhood
(Select from Dropdown)]]&amp;Table2[[#This Row],[Organization Name]]</f>
        <v/>
      </c>
      <c r="Z162" s="67"/>
    </row>
    <row r="163" spans="1:26" ht="30" customHeight="1" x14ac:dyDescent="0.25">
      <c r="A163" s="21"/>
      <c r="B163" s="33"/>
      <c r="C163" s="33"/>
      <c r="D163" s="24"/>
      <c r="E163" s="24"/>
      <c r="F163" s="24"/>
      <c r="G163" s="24"/>
      <c r="H163" s="34"/>
      <c r="I163" s="25"/>
      <c r="J163" s="25"/>
      <c r="K163" s="25"/>
      <c r="L163" s="26"/>
      <c r="M163" s="59" t="str">
        <f>IFERROR(INDEX(Vocab_NameList!$O:$O,MATCH($J163, Vocab_NameList!$M:$M, 0)),"")</f>
        <v/>
      </c>
      <c r="N163" s="29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63" t="str">
        <f>Table2[[#This Row],[Governorate
(Select from Dropdown)]]&amp;Table2[[#This Row],[Neighborhood
(Select from Dropdown)]]&amp;Table2[[#This Row],[Organization Name]]</f>
        <v/>
      </c>
      <c r="Z163" s="67"/>
    </row>
    <row r="164" spans="1:26" ht="30" customHeight="1" x14ac:dyDescent="0.25">
      <c r="A164" s="21"/>
      <c r="B164" s="33"/>
      <c r="C164" s="33"/>
      <c r="D164" s="24"/>
      <c r="E164" s="24"/>
      <c r="F164" s="24"/>
      <c r="G164" s="24"/>
      <c r="H164" s="34"/>
      <c r="I164" s="25"/>
      <c r="J164" s="25"/>
      <c r="K164" s="25"/>
      <c r="L164" s="26"/>
      <c r="M164" s="59" t="str">
        <f>IFERROR(INDEX(Vocab_NameList!$O:$O,MATCH($J164, Vocab_NameList!$M:$M, 0)),"")</f>
        <v/>
      </c>
      <c r="N164" s="29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63" t="str">
        <f>Table2[[#This Row],[Governorate
(Select from Dropdown)]]&amp;Table2[[#This Row],[Neighborhood
(Select from Dropdown)]]&amp;Table2[[#This Row],[Organization Name]]</f>
        <v/>
      </c>
      <c r="Z164" s="67"/>
    </row>
    <row r="165" spans="1:26" ht="30" customHeight="1" x14ac:dyDescent="0.25">
      <c r="A165" s="21"/>
      <c r="B165" s="33"/>
      <c r="C165" s="33"/>
      <c r="D165" s="24"/>
      <c r="E165" s="24"/>
      <c r="F165" s="24"/>
      <c r="G165" s="24"/>
      <c r="H165" s="34"/>
      <c r="I165" s="25"/>
      <c r="J165" s="25"/>
      <c r="K165" s="25"/>
      <c r="L165" s="26"/>
      <c r="M165" s="59" t="str">
        <f>IFERROR(INDEX(Vocab_NameList!$O:$O,MATCH($J165, Vocab_NameList!$M:$M, 0)),"")</f>
        <v/>
      </c>
      <c r="N165" s="29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63" t="str">
        <f>Table2[[#This Row],[Governorate
(Select from Dropdown)]]&amp;Table2[[#This Row],[Neighborhood
(Select from Dropdown)]]&amp;Table2[[#This Row],[Organization Name]]</f>
        <v/>
      </c>
      <c r="Z165" s="67"/>
    </row>
    <row r="166" spans="1:26" ht="30" customHeight="1" x14ac:dyDescent="0.25">
      <c r="A166" s="21"/>
      <c r="B166" s="33"/>
      <c r="C166" s="33"/>
      <c r="D166" s="24"/>
      <c r="E166" s="24"/>
      <c r="F166" s="24"/>
      <c r="G166" s="24"/>
      <c r="H166" s="34"/>
      <c r="I166" s="25"/>
      <c r="J166" s="25"/>
      <c r="K166" s="25"/>
      <c r="L166" s="26"/>
      <c r="M166" s="59" t="str">
        <f>IFERROR(INDEX(Vocab_NameList!$O:$O,MATCH($J166, Vocab_NameList!$M:$M, 0)),"")</f>
        <v/>
      </c>
      <c r="N166" s="29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63" t="str">
        <f>Table2[[#This Row],[Governorate
(Select from Dropdown)]]&amp;Table2[[#This Row],[Neighborhood
(Select from Dropdown)]]&amp;Table2[[#This Row],[Organization Name]]</f>
        <v/>
      </c>
      <c r="Z166" s="67"/>
    </row>
    <row r="167" spans="1:26" ht="30" customHeight="1" x14ac:dyDescent="0.25">
      <c r="A167" s="21"/>
      <c r="B167" s="33"/>
      <c r="C167" s="33"/>
      <c r="D167" s="24"/>
      <c r="E167" s="24"/>
      <c r="F167" s="24"/>
      <c r="G167" s="24"/>
      <c r="H167" s="34"/>
      <c r="I167" s="25"/>
      <c r="J167" s="25"/>
      <c r="K167" s="25"/>
      <c r="L167" s="26"/>
      <c r="M167" s="59" t="str">
        <f>IFERROR(INDEX(Vocab_NameList!$O:$O,MATCH($J167, Vocab_NameList!$M:$M, 0)),"")</f>
        <v/>
      </c>
      <c r="N167" s="29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63" t="str">
        <f>Table2[[#This Row],[Governorate
(Select from Dropdown)]]&amp;Table2[[#This Row],[Neighborhood
(Select from Dropdown)]]&amp;Table2[[#This Row],[Organization Name]]</f>
        <v/>
      </c>
      <c r="Z167" s="67"/>
    </row>
    <row r="168" spans="1:26" ht="30" customHeight="1" x14ac:dyDescent="0.25">
      <c r="A168" s="21"/>
      <c r="B168" s="33"/>
      <c r="C168" s="33"/>
      <c r="D168" s="24"/>
      <c r="E168" s="24"/>
      <c r="F168" s="24"/>
      <c r="G168" s="24"/>
      <c r="H168" s="34"/>
      <c r="I168" s="25"/>
      <c r="J168" s="25"/>
      <c r="K168" s="25"/>
      <c r="L168" s="26"/>
      <c r="M168" s="59" t="str">
        <f>IFERROR(INDEX(Vocab_NameList!$O:$O,MATCH($J168, Vocab_NameList!$M:$M, 0)),"")</f>
        <v/>
      </c>
      <c r="N168" s="29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63" t="str">
        <f>Table2[[#This Row],[Governorate
(Select from Dropdown)]]&amp;Table2[[#This Row],[Neighborhood
(Select from Dropdown)]]&amp;Table2[[#This Row],[Organization Name]]</f>
        <v/>
      </c>
      <c r="Z168" s="67"/>
    </row>
    <row r="169" spans="1:26" ht="30" customHeight="1" x14ac:dyDescent="0.25">
      <c r="A169" s="21"/>
      <c r="B169" s="33"/>
      <c r="C169" s="33"/>
      <c r="D169" s="24"/>
      <c r="E169" s="24"/>
      <c r="F169" s="24"/>
      <c r="G169" s="24"/>
      <c r="H169" s="34"/>
      <c r="I169" s="25"/>
      <c r="J169" s="25"/>
      <c r="K169" s="25"/>
      <c r="L169" s="26"/>
      <c r="M169" s="59" t="str">
        <f>IFERROR(INDEX(Vocab_NameList!$O:$O,MATCH($J169, Vocab_NameList!$M:$M, 0)),"")</f>
        <v/>
      </c>
      <c r="N169" s="29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63" t="str">
        <f>Table2[[#This Row],[Governorate
(Select from Dropdown)]]&amp;Table2[[#This Row],[Neighborhood
(Select from Dropdown)]]&amp;Table2[[#This Row],[Organization Name]]</f>
        <v/>
      </c>
      <c r="Z169" s="67"/>
    </row>
    <row r="170" spans="1:26" ht="30" customHeight="1" x14ac:dyDescent="0.25">
      <c r="A170" s="21"/>
      <c r="B170" s="33"/>
      <c r="C170" s="33"/>
      <c r="D170" s="24"/>
      <c r="E170" s="24"/>
      <c r="F170" s="24"/>
      <c r="G170" s="24"/>
      <c r="H170" s="34"/>
      <c r="I170" s="25"/>
      <c r="J170" s="25"/>
      <c r="K170" s="25"/>
      <c r="L170" s="26"/>
      <c r="M170" s="59" t="str">
        <f>IFERROR(INDEX(Vocab_NameList!$O:$O,MATCH($J170, Vocab_NameList!$M:$M, 0)),"")</f>
        <v/>
      </c>
      <c r="N170" s="29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63" t="str">
        <f>Table2[[#This Row],[Governorate
(Select from Dropdown)]]&amp;Table2[[#This Row],[Neighborhood
(Select from Dropdown)]]&amp;Table2[[#This Row],[Organization Name]]</f>
        <v/>
      </c>
      <c r="Z170" s="67"/>
    </row>
    <row r="171" spans="1:26" ht="30" customHeight="1" x14ac:dyDescent="0.25">
      <c r="A171" s="21"/>
      <c r="B171" s="33"/>
      <c r="C171" s="33"/>
      <c r="D171" s="24"/>
      <c r="E171" s="24"/>
      <c r="F171" s="24"/>
      <c r="G171" s="24"/>
      <c r="H171" s="34"/>
      <c r="I171" s="25"/>
      <c r="J171" s="25"/>
      <c r="K171" s="25"/>
      <c r="L171" s="26"/>
      <c r="M171" s="59" t="str">
        <f>IFERROR(INDEX(Vocab_NameList!$O:$O,MATCH($J171, Vocab_NameList!$M:$M, 0)),"")</f>
        <v/>
      </c>
      <c r="N171" s="29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63" t="str">
        <f>Table2[[#This Row],[Governorate
(Select from Dropdown)]]&amp;Table2[[#This Row],[Neighborhood
(Select from Dropdown)]]&amp;Table2[[#This Row],[Organization Name]]</f>
        <v/>
      </c>
      <c r="Z171" s="67"/>
    </row>
    <row r="172" spans="1:26" ht="30" customHeight="1" x14ac:dyDescent="0.25">
      <c r="A172" s="21"/>
      <c r="B172" s="33"/>
      <c r="C172" s="33"/>
      <c r="D172" s="24"/>
      <c r="E172" s="24"/>
      <c r="F172" s="24"/>
      <c r="G172" s="24"/>
      <c r="H172" s="34"/>
      <c r="I172" s="25"/>
      <c r="J172" s="25"/>
      <c r="K172" s="25"/>
      <c r="L172" s="26"/>
      <c r="M172" s="59" t="str">
        <f>IFERROR(INDEX(Vocab_NameList!$O:$O,MATCH($J172, Vocab_NameList!$M:$M, 0)),"")</f>
        <v/>
      </c>
      <c r="N172" s="29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63" t="str">
        <f>Table2[[#This Row],[Governorate
(Select from Dropdown)]]&amp;Table2[[#This Row],[Neighborhood
(Select from Dropdown)]]&amp;Table2[[#This Row],[Organization Name]]</f>
        <v/>
      </c>
      <c r="Z172" s="67"/>
    </row>
    <row r="173" spans="1:26" ht="30" customHeight="1" x14ac:dyDescent="0.25">
      <c r="A173" s="21"/>
      <c r="B173" s="33"/>
      <c r="C173" s="33"/>
      <c r="D173" s="24"/>
      <c r="E173" s="24"/>
      <c r="F173" s="24"/>
      <c r="G173" s="24"/>
      <c r="H173" s="34"/>
      <c r="I173" s="25"/>
      <c r="J173" s="25"/>
      <c r="K173" s="25"/>
      <c r="L173" s="26"/>
      <c r="M173" s="59" t="str">
        <f>IFERROR(INDEX(Vocab_NameList!$O:$O,MATCH($J173, Vocab_NameList!$M:$M, 0)),"")</f>
        <v/>
      </c>
      <c r="N173" s="29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63" t="str">
        <f>Table2[[#This Row],[Governorate
(Select from Dropdown)]]&amp;Table2[[#This Row],[Neighborhood
(Select from Dropdown)]]&amp;Table2[[#This Row],[Organization Name]]</f>
        <v/>
      </c>
      <c r="Z173" s="67"/>
    </row>
    <row r="174" spans="1:26" ht="30" customHeight="1" x14ac:dyDescent="0.25">
      <c r="A174" s="21"/>
      <c r="B174" s="33"/>
      <c r="C174" s="33"/>
      <c r="D174" s="24"/>
      <c r="E174" s="24"/>
      <c r="F174" s="24"/>
      <c r="G174" s="24"/>
      <c r="H174" s="34"/>
      <c r="I174" s="25"/>
      <c r="J174" s="25"/>
      <c r="K174" s="25"/>
      <c r="L174" s="26"/>
      <c r="M174" s="59" t="str">
        <f>IFERROR(INDEX(Vocab_NameList!$O:$O,MATCH($J174, Vocab_NameList!$M:$M, 0)),"")</f>
        <v/>
      </c>
      <c r="N174" s="29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63" t="str">
        <f>Table2[[#This Row],[Governorate
(Select from Dropdown)]]&amp;Table2[[#This Row],[Neighborhood
(Select from Dropdown)]]&amp;Table2[[#This Row],[Organization Name]]</f>
        <v/>
      </c>
      <c r="Z174" s="67"/>
    </row>
    <row r="175" spans="1:26" ht="30" customHeight="1" x14ac:dyDescent="0.25">
      <c r="A175" s="21"/>
      <c r="B175" s="33"/>
      <c r="C175" s="33"/>
      <c r="D175" s="24"/>
      <c r="E175" s="24"/>
      <c r="F175" s="24"/>
      <c r="G175" s="24"/>
      <c r="H175" s="34"/>
      <c r="I175" s="25"/>
      <c r="J175" s="25"/>
      <c r="K175" s="25"/>
      <c r="L175" s="26"/>
      <c r="M175" s="59" t="str">
        <f>IFERROR(INDEX(Vocab_NameList!$O:$O,MATCH($J175, Vocab_NameList!$M:$M, 0)),"")</f>
        <v/>
      </c>
      <c r="N175" s="29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63" t="str">
        <f>Table2[[#This Row],[Governorate
(Select from Dropdown)]]&amp;Table2[[#This Row],[Neighborhood
(Select from Dropdown)]]&amp;Table2[[#This Row],[Organization Name]]</f>
        <v/>
      </c>
      <c r="Z175" s="67"/>
    </row>
    <row r="176" spans="1:26" ht="30" customHeight="1" x14ac:dyDescent="0.25">
      <c r="A176" s="21"/>
      <c r="B176" s="33"/>
      <c r="C176" s="33"/>
      <c r="D176" s="24"/>
      <c r="E176" s="24"/>
      <c r="F176" s="24"/>
      <c r="G176" s="24"/>
      <c r="H176" s="34"/>
      <c r="I176" s="25"/>
      <c r="J176" s="25"/>
      <c r="K176" s="25"/>
      <c r="L176" s="26"/>
      <c r="M176" s="59" t="str">
        <f>IFERROR(INDEX(Vocab_NameList!$O:$O,MATCH($J176, Vocab_NameList!$M:$M, 0)),"")</f>
        <v/>
      </c>
      <c r="N176" s="29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63" t="str">
        <f>Table2[[#This Row],[Governorate
(Select from Dropdown)]]&amp;Table2[[#This Row],[Neighborhood
(Select from Dropdown)]]&amp;Table2[[#This Row],[Organization Name]]</f>
        <v/>
      </c>
      <c r="Z176" s="67"/>
    </row>
    <row r="177" spans="1:26" ht="30" customHeight="1" x14ac:dyDescent="0.25">
      <c r="A177" s="21"/>
      <c r="B177" s="33"/>
      <c r="C177" s="33"/>
      <c r="D177" s="24"/>
      <c r="E177" s="24"/>
      <c r="F177" s="24"/>
      <c r="G177" s="24"/>
      <c r="H177" s="34"/>
      <c r="I177" s="25"/>
      <c r="J177" s="25"/>
      <c r="K177" s="25"/>
      <c r="L177" s="26"/>
      <c r="M177" s="59" t="str">
        <f>IFERROR(INDEX(Vocab_NameList!$O:$O,MATCH($J177, Vocab_NameList!$M:$M, 0)),"")</f>
        <v/>
      </c>
      <c r="N177" s="29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63" t="str">
        <f>Table2[[#This Row],[Governorate
(Select from Dropdown)]]&amp;Table2[[#This Row],[Neighborhood
(Select from Dropdown)]]&amp;Table2[[#This Row],[Organization Name]]</f>
        <v/>
      </c>
      <c r="Z177" s="67"/>
    </row>
    <row r="178" spans="1:26" ht="30" customHeight="1" x14ac:dyDescent="0.25">
      <c r="A178" s="21"/>
      <c r="B178" s="33"/>
      <c r="C178" s="33"/>
      <c r="D178" s="24"/>
      <c r="E178" s="24"/>
      <c r="F178" s="24"/>
      <c r="G178" s="24"/>
      <c r="H178" s="34"/>
      <c r="I178" s="25"/>
      <c r="J178" s="25"/>
      <c r="K178" s="25"/>
      <c r="L178" s="26"/>
      <c r="M178" s="59" t="str">
        <f>IFERROR(INDEX(Vocab_NameList!$O:$O,MATCH($J178, Vocab_NameList!$M:$M, 0)),"")</f>
        <v/>
      </c>
      <c r="N178" s="29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63" t="str">
        <f>Table2[[#This Row],[Governorate
(Select from Dropdown)]]&amp;Table2[[#This Row],[Neighborhood
(Select from Dropdown)]]&amp;Table2[[#This Row],[Organization Name]]</f>
        <v/>
      </c>
      <c r="Z178" s="67"/>
    </row>
    <row r="179" spans="1:26" ht="30" customHeight="1" x14ac:dyDescent="0.25">
      <c r="A179" s="21"/>
      <c r="B179" s="33"/>
      <c r="C179" s="33"/>
      <c r="D179" s="24"/>
      <c r="E179" s="24"/>
      <c r="F179" s="24"/>
      <c r="G179" s="24"/>
      <c r="H179" s="34"/>
      <c r="I179" s="25"/>
      <c r="J179" s="25"/>
      <c r="K179" s="25"/>
      <c r="L179" s="26"/>
      <c r="M179" s="59" t="str">
        <f>IFERROR(INDEX(Vocab_NameList!$O:$O,MATCH($J179, Vocab_NameList!$M:$M, 0)),"")</f>
        <v/>
      </c>
      <c r="N179" s="29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63" t="str">
        <f>Table2[[#This Row],[Governorate
(Select from Dropdown)]]&amp;Table2[[#This Row],[Neighborhood
(Select from Dropdown)]]&amp;Table2[[#This Row],[Organization Name]]</f>
        <v/>
      </c>
      <c r="Z179" s="67"/>
    </row>
    <row r="180" spans="1:26" ht="30" customHeight="1" x14ac:dyDescent="0.25">
      <c r="A180" s="21"/>
      <c r="B180" s="33"/>
      <c r="C180" s="33"/>
      <c r="D180" s="24"/>
      <c r="E180" s="24"/>
      <c r="F180" s="24"/>
      <c r="G180" s="24"/>
      <c r="H180" s="34"/>
      <c r="I180" s="25"/>
      <c r="J180" s="25"/>
      <c r="K180" s="25"/>
      <c r="L180" s="26"/>
      <c r="M180" s="59" t="str">
        <f>IFERROR(INDEX(Vocab_NameList!$O:$O,MATCH($J180, Vocab_NameList!$M:$M, 0)),"")</f>
        <v/>
      </c>
      <c r="N180" s="29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63" t="str">
        <f>Table2[[#This Row],[Governorate
(Select from Dropdown)]]&amp;Table2[[#This Row],[Neighborhood
(Select from Dropdown)]]&amp;Table2[[#This Row],[Organization Name]]</f>
        <v/>
      </c>
      <c r="Z180" s="67"/>
    </row>
    <row r="181" spans="1:26" ht="30" customHeight="1" x14ac:dyDescent="0.25">
      <c r="A181" s="21"/>
      <c r="B181" s="33"/>
      <c r="C181" s="33"/>
      <c r="D181" s="24"/>
      <c r="E181" s="24"/>
      <c r="F181" s="24"/>
      <c r="G181" s="24"/>
      <c r="H181" s="34"/>
      <c r="I181" s="25"/>
      <c r="J181" s="25"/>
      <c r="K181" s="25"/>
      <c r="L181" s="26"/>
      <c r="M181" s="59" t="str">
        <f>IFERROR(INDEX(Vocab_NameList!$O:$O,MATCH($J181, Vocab_NameList!$M:$M, 0)),"")</f>
        <v/>
      </c>
      <c r="N181" s="29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63" t="str">
        <f>Table2[[#This Row],[Governorate
(Select from Dropdown)]]&amp;Table2[[#This Row],[Neighborhood
(Select from Dropdown)]]&amp;Table2[[#This Row],[Organization Name]]</f>
        <v/>
      </c>
      <c r="Z181" s="67"/>
    </row>
    <row r="182" spans="1:26" ht="30" customHeight="1" x14ac:dyDescent="0.25">
      <c r="A182" s="21"/>
      <c r="B182" s="33"/>
      <c r="C182" s="33"/>
      <c r="D182" s="24"/>
      <c r="E182" s="24"/>
      <c r="F182" s="24"/>
      <c r="G182" s="24"/>
      <c r="H182" s="34"/>
      <c r="I182" s="25"/>
      <c r="J182" s="25"/>
      <c r="K182" s="25"/>
      <c r="L182" s="26"/>
      <c r="M182" s="59" t="str">
        <f>IFERROR(INDEX(Vocab_NameList!$O:$O,MATCH($J182, Vocab_NameList!$M:$M, 0)),"")</f>
        <v/>
      </c>
      <c r="N182" s="29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63" t="str">
        <f>Table2[[#This Row],[Governorate
(Select from Dropdown)]]&amp;Table2[[#This Row],[Neighborhood
(Select from Dropdown)]]&amp;Table2[[#This Row],[Organization Name]]</f>
        <v/>
      </c>
      <c r="Z182" s="67"/>
    </row>
    <row r="183" spans="1:26" ht="30" customHeight="1" x14ac:dyDescent="0.25">
      <c r="A183" s="21"/>
      <c r="B183" s="33"/>
      <c r="C183" s="33"/>
      <c r="D183" s="24"/>
      <c r="E183" s="24"/>
      <c r="F183" s="24"/>
      <c r="G183" s="24"/>
      <c r="H183" s="34"/>
      <c r="I183" s="25"/>
      <c r="J183" s="25"/>
      <c r="K183" s="25"/>
      <c r="L183" s="26"/>
      <c r="M183" s="59" t="str">
        <f>IFERROR(INDEX(Vocab_NameList!$O:$O,MATCH($J183, Vocab_NameList!$M:$M, 0)),"")</f>
        <v/>
      </c>
      <c r="N183" s="29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63" t="str">
        <f>Table2[[#This Row],[Governorate
(Select from Dropdown)]]&amp;Table2[[#This Row],[Neighborhood
(Select from Dropdown)]]&amp;Table2[[#This Row],[Organization Name]]</f>
        <v/>
      </c>
      <c r="Z183" s="67"/>
    </row>
    <row r="184" spans="1:26" ht="30" customHeight="1" x14ac:dyDescent="0.25">
      <c r="A184" s="21"/>
      <c r="B184" s="33"/>
      <c r="C184" s="33"/>
      <c r="D184" s="24"/>
      <c r="E184" s="24"/>
      <c r="F184" s="24"/>
      <c r="G184" s="24"/>
      <c r="H184" s="34"/>
      <c r="I184" s="25"/>
      <c r="J184" s="25"/>
      <c r="K184" s="25"/>
      <c r="L184" s="26"/>
      <c r="M184" s="59" t="str">
        <f>IFERROR(INDEX(Vocab_NameList!$O:$O,MATCH($J184, Vocab_NameList!$M:$M, 0)),"")</f>
        <v/>
      </c>
      <c r="N184" s="29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63" t="str">
        <f>Table2[[#This Row],[Governorate
(Select from Dropdown)]]&amp;Table2[[#This Row],[Neighborhood
(Select from Dropdown)]]&amp;Table2[[#This Row],[Organization Name]]</f>
        <v/>
      </c>
      <c r="Z184" s="67"/>
    </row>
    <row r="185" spans="1:26" ht="30" customHeight="1" x14ac:dyDescent="0.25">
      <c r="A185" s="21"/>
      <c r="B185" s="33"/>
      <c r="C185" s="33"/>
      <c r="D185" s="24"/>
      <c r="E185" s="24"/>
      <c r="F185" s="24"/>
      <c r="G185" s="24"/>
      <c r="H185" s="34"/>
      <c r="I185" s="25"/>
      <c r="J185" s="25"/>
      <c r="K185" s="25"/>
      <c r="L185" s="26"/>
      <c r="M185" s="59" t="str">
        <f>IFERROR(INDEX(Vocab_NameList!$O:$O,MATCH($J185, Vocab_NameList!$M:$M, 0)),"")</f>
        <v/>
      </c>
      <c r="N185" s="29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63" t="str">
        <f>Table2[[#This Row],[Governorate
(Select from Dropdown)]]&amp;Table2[[#This Row],[Neighborhood
(Select from Dropdown)]]&amp;Table2[[#This Row],[Organization Name]]</f>
        <v/>
      </c>
      <c r="Z185" s="67"/>
    </row>
    <row r="186" spans="1:26" ht="30" customHeight="1" x14ac:dyDescent="0.25">
      <c r="A186" s="21"/>
      <c r="B186" s="33"/>
      <c r="C186" s="33"/>
      <c r="D186" s="24"/>
      <c r="E186" s="24"/>
      <c r="F186" s="24"/>
      <c r="G186" s="24"/>
      <c r="H186" s="34"/>
      <c r="I186" s="25"/>
      <c r="J186" s="25"/>
      <c r="K186" s="25"/>
      <c r="L186" s="26"/>
      <c r="M186" s="59" t="str">
        <f>IFERROR(INDEX(Vocab_NameList!$O:$O,MATCH($J186, Vocab_NameList!$M:$M, 0)),"")</f>
        <v/>
      </c>
      <c r="N186" s="29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63" t="str">
        <f>Table2[[#This Row],[Governorate
(Select from Dropdown)]]&amp;Table2[[#This Row],[Neighborhood
(Select from Dropdown)]]&amp;Table2[[#This Row],[Organization Name]]</f>
        <v/>
      </c>
      <c r="Z186" s="67"/>
    </row>
    <row r="187" spans="1:26" ht="30" customHeight="1" x14ac:dyDescent="0.25">
      <c r="A187" s="21"/>
      <c r="B187" s="33"/>
      <c r="C187" s="33"/>
      <c r="D187" s="24"/>
      <c r="E187" s="24"/>
      <c r="F187" s="24"/>
      <c r="G187" s="24"/>
      <c r="H187" s="34"/>
      <c r="I187" s="25"/>
      <c r="J187" s="25"/>
      <c r="K187" s="25"/>
      <c r="L187" s="26"/>
      <c r="M187" s="59" t="str">
        <f>IFERROR(INDEX(Vocab_NameList!$O:$O,MATCH($J187, Vocab_NameList!$M:$M, 0)),"")</f>
        <v/>
      </c>
      <c r="N187" s="29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63" t="str">
        <f>Table2[[#This Row],[Governorate
(Select from Dropdown)]]&amp;Table2[[#This Row],[Neighborhood
(Select from Dropdown)]]&amp;Table2[[#This Row],[Organization Name]]</f>
        <v/>
      </c>
      <c r="Z187" s="67"/>
    </row>
    <row r="188" spans="1:26" ht="30" customHeight="1" x14ac:dyDescent="0.25">
      <c r="A188" s="21"/>
      <c r="B188" s="33"/>
      <c r="C188" s="33"/>
      <c r="D188" s="24"/>
      <c r="E188" s="24"/>
      <c r="F188" s="24"/>
      <c r="G188" s="24"/>
      <c r="H188" s="34"/>
      <c r="I188" s="25"/>
      <c r="J188" s="25"/>
      <c r="K188" s="25"/>
      <c r="L188" s="26"/>
      <c r="M188" s="59" t="str">
        <f>IFERROR(INDEX(Vocab_NameList!$O:$O,MATCH($J188, Vocab_NameList!$M:$M, 0)),"")</f>
        <v/>
      </c>
      <c r="N188" s="29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63" t="str">
        <f>Table2[[#This Row],[Governorate
(Select from Dropdown)]]&amp;Table2[[#This Row],[Neighborhood
(Select from Dropdown)]]&amp;Table2[[#This Row],[Organization Name]]</f>
        <v/>
      </c>
      <c r="Z188" s="67"/>
    </row>
    <row r="189" spans="1:26" ht="30" customHeight="1" x14ac:dyDescent="0.25">
      <c r="A189" s="21"/>
      <c r="B189" s="33"/>
      <c r="C189" s="33"/>
      <c r="D189" s="24"/>
      <c r="E189" s="24"/>
      <c r="F189" s="24"/>
      <c r="G189" s="24"/>
      <c r="H189" s="34"/>
      <c r="I189" s="25"/>
      <c r="J189" s="25"/>
      <c r="K189" s="25"/>
      <c r="L189" s="26"/>
      <c r="M189" s="59" t="str">
        <f>IFERROR(INDEX(Vocab_NameList!$O:$O,MATCH($J189, Vocab_NameList!$M:$M, 0)),"")</f>
        <v/>
      </c>
      <c r="N189" s="29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63" t="str">
        <f>Table2[[#This Row],[Governorate
(Select from Dropdown)]]&amp;Table2[[#This Row],[Neighborhood
(Select from Dropdown)]]&amp;Table2[[#This Row],[Organization Name]]</f>
        <v/>
      </c>
      <c r="Z189" s="67"/>
    </row>
    <row r="190" spans="1:26" ht="30" customHeight="1" x14ac:dyDescent="0.25">
      <c r="A190" s="21"/>
      <c r="B190" s="33"/>
      <c r="C190" s="33"/>
      <c r="D190" s="24"/>
      <c r="E190" s="24"/>
      <c r="F190" s="24"/>
      <c r="G190" s="24"/>
      <c r="H190" s="34"/>
      <c r="I190" s="25"/>
      <c r="J190" s="25"/>
      <c r="K190" s="25"/>
      <c r="L190" s="26"/>
      <c r="M190" s="59" t="str">
        <f>IFERROR(INDEX(Vocab_NameList!$O:$O,MATCH($J190, Vocab_NameList!$M:$M, 0)),"")</f>
        <v/>
      </c>
      <c r="N190" s="29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63" t="str">
        <f>Table2[[#This Row],[Governorate
(Select from Dropdown)]]&amp;Table2[[#This Row],[Neighborhood
(Select from Dropdown)]]&amp;Table2[[#This Row],[Organization Name]]</f>
        <v/>
      </c>
      <c r="Z190" s="67"/>
    </row>
    <row r="191" spans="1:26" ht="30" customHeight="1" x14ac:dyDescent="0.25">
      <c r="A191" s="21"/>
      <c r="B191" s="33"/>
      <c r="C191" s="33"/>
      <c r="D191" s="24"/>
      <c r="E191" s="24"/>
      <c r="F191" s="24"/>
      <c r="G191" s="24"/>
      <c r="H191" s="34"/>
      <c r="I191" s="25"/>
      <c r="J191" s="25"/>
      <c r="K191" s="25"/>
      <c r="L191" s="26"/>
      <c r="M191" s="59" t="str">
        <f>IFERROR(INDEX(Vocab_NameList!$O:$O,MATCH($J191, Vocab_NameList!$M:$M, 0)),"")</f>
        <v/>
      </c>
      <c r="N191" s="29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63" t="str">
        <f>Table2[[#This Row],[Governorate
(Select from Dropdown)]]&amp;Table2[[#This Row],[Neighborhood
(Select from Dropdown)]]&amp;Table2[[#This Row],[Organization Name]]</f>
        <v/>
      </c>
      <c r="Z191" s="67"/>
    </row>
    <row r="192" spans="1:26" ht="30" customHeight="1" x14ac:dyDescent="0.25">
      <c r="A192" s="21"/>
      <c r="B192" s="33"/>
      <c r="C192" s="33"/>
      <c r="D192" s="24"/>
      <c r="E192" s="24"/>
      <c r="F192" s="24"/>
      <c r="G192" s="24"/>
      <c r="H192" s="34"/>
      <c r="I192" s="25"/>
      <c r="J192" s="25"/>
      <c r="K192" s="25"/>
      <c r="L192" s="26"/>
      <c r="M192" s="59" t="str">
        <f>IFERROR(INDEX(Vocab_NameList!$O:$O,MATCH($J192, Vocab_NameList!$M:$M, 0)),"")</f>
        <v/>
      </c>
      <c r="N192" s="29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63" t="str">
        <f>Table2[[#This Row],[Governorate
(Select from Dropdown)]]&amp;Table2[[#This Row],[Neighborhood
(Select from Dropdown)]]&amp;Table2[[#This Row],[Organization Name]]</f>
        <v/>
      </c>
      <c r="Z192" s="67"/>
    </row>
    <row r="193" spans="1:26" ht="30" customHeight="1" x14ac:dyDescent="0.25">
      <c r="A193" s="21"/>
      <c r="B193" s="33"/>
      <c r="C193" s="33"/>
      <c r="D193" s="24"/>
      <c r="E193" s="24"/>
      <c r="F193" s="24"/>
      <c r="G193" s="24"/>
      <c r="H193" s="34"/>
      <c r="I193" s="25"/>
      <c r="J193" s="25"/>
      <c r="K193" s="25"/>
      <c r="L193" s="26"/>
      <c r="M193" s="59" t="str">
        <f>IFERROR(INDEX(Vocab_NameList!$O:$O,MATCH($J193, Vocab_NameList!$M:$M, 0)),"")</f>
        <v/>
      </c>
      <c r="N193" s="29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63" t="str">
        <f>Table2[[#This Row],[Governorate
(Select from Dropdown)]]&amp;Table2[[#This Row],[Neighborhood
(Select from Dropdown)]]&amp;Table2[[#This Row],[Organization Name]]</f>
        <v/>
      </c>
      <c r="Z193" s="67"/>
    </row>
    <row r="194" spans="1:26" ht="30" customHeight="1" x14ac:dyDescent="0.25">
      <c r="A194" s="21"/>
      <c r="B194" s="33"/>
      <c r="C194" s="33"/>
      <c r="D194" s="24"/>
      <c r="E194" s="24"/>
      <c r="F194" s="24"/>
      <c r="G194" s="24"/>
      <c r="H194" s="34"/>
      <c r="I194" s="25"/>
      <c r="J194" s="25"/>
      <c r="K194" s="25"/>
      <c r="L194" s="26"/>
      <c r="M194" s="59" t="str">
        <f>IFERROR(INDEX(Vocab_NameList!$O:$O,MATCH($J194, Vocab_NameList!$M:$M, 0)),"")</f>
        <v/>
      </c>
      <c r="N194" s="29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63" t="str">
        <f>Table2[[#This Row],[Governorate
(Select from Dropdown)]]&amp;Table2[[#This Row],[Neighborhood
(Select from Dropdown)]]&amp;Table2[[#This Row],[Organization Name]]</f>
        <v/>
      </c>
      <c r="Z194" s="67"/>
    </row>
    <row r="195" spans="1:26" ht="30" customHeight="1" x14ac:dyDescent="0.25">
      <c r="A195" s="21"/>
      <c r="B195" s="33"/>
      <c r="C195" s="33"/>
      <c r="D195" s="24"/>
      <c r="E195" s="24"/>
      <c r="F195" s="24"/>
      <c r="G195" s="24"/>
      <c r="H195" s="34"/>
      <c r="I195" s="25"/>
      <c r="J195" s="25"/>
      <c r="K195" s="25"/>
      <c r="L195" s="26"/>
      <c r="M195" s="59" t="str">
        <f>IFERROR(INDEX(Vocab_NameList!$O:$O,MATCH($J195, Vocab_NameList!$M:$M, 0)),"")</f>
        <v/>
      </c>
      <c r="N195" s="29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63" t="str">
        <f>Table2[[#This Row],[Governorate
(Select from Dropdown)]]&amp;Table2[[#This Row],[Neighborhood
(Select from Dropdown)]]&amp;Table2[[#This Row],[Organization Name]]</f>
        <v/>
      </c>
      <c r="Z195" s="67"/>
    </row>
    <row r="196" spans="1:26" ht="30" customHeight="1" x14ac:dyDescent="0.25">
      <c r="A196" s="21"/>
      <c r="B196" s="33"/>
      <c r="C196" s="33"/>
      <c r="D196" s="24"/>
      <c r="E196" s="24"/>
      <c r="F196" s="24"/>
      <c r="G196" s="24"/>
      <c r="H196" s="34"/>
      <c r="I196" s="25"/>
      <c r="J196" s="25"/>
      <c r="K196" s="25"/>
      <c r="L196" s="26"/>
      <c r="M196" s="59" t="str">
        <f>IFERROR(INDEX(Vocab_NameList!$O:$O,MATCH($J196, Vocab_NameList!$M:$M, 0)),"")</f>
        <v/>
      </c>
      <c r="N196" s="29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63" t="str">
        <f>Table2[[#This Row],[Governorate
(Select from Dropdown)]]&amp;Table2[[#This Row],[Neighborhood
(Select from Dropdown)]]&amp;Table2[[#This Row],[Organization Name]]</f>
        <v/>
      </c>
      <c r="Z196" s="67"/>
    </row>
    <row r="197" spans="1:26" ht="30" customHeight="1" x14ac:dyDescent="0.25">
      <c r="A197" s="21"/>
      <c r="B197" s="33"/>
      <c r="C197" s="33"/>
      <c r="D197" s="24"/>
      <c r="E197" s="24"/>
      <c r="F197" s="24"/>
      <c r="G197" s="24"/>
      <c r="H197" s="34"/>
      <c r="I197" s="25"/>
      <c r="J197" s="25"/>
      <c r="K197" s="25"/>
      <c r="L197" s="26"/>
      <c r="M197" s="59" t="str">
        <f>IFERROR(INDEX(Vocab_NameList!$O:$O,MATCH($J197, Vocab_NameList!$M:$M, 0)),"")</f>
        <v/>
      </c>
      <c r="N197" s="29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63" t="str">
        <f>Table2[[#This Row],[Governorate
(Select from Dropdown)]]&amp;Table2[[#This Row],[Neighborhood
(Select from Dropdown)]]&amp;Table2[[#This Row],[Organization Name]]</f>
        <v/>
      </c>
      <c r="Z197" s="67"/>
    </row>
    <row r="198" spans="1:26" ht="30" customHeight="1" x14ac:dyDescent="0.25">
      <c r="A198" s="21"/>
      <c r="B198" s="33"/>
      <c r="C198" s="33"/>
      <c r="D198" s="24"/>
      <c r="E198" s="24"/>
      <c r="F198" s="24"/>
      <c r="G198" s="24"/>
      <c r="H198" s="34"/>
      <c r="I198" s="25"/>
      <c r="J198" s="25"/>
      <c r="K198" s="25"/>
      <c r="L198" s="26"/>
      <c r="M198" s="59" t="str">
        <f>IFERROR(INDEX(Vocab_NameList!$O:$O,MATCH($J198, Vocab_NameList!$M:$M, 0)),"")</f>
        <v/>
      </c>
      <c r="N198" s="29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63" t="str">
        <f>Table2[[#This Row],[Governorate
(Select from Dropdown)]]&amp;Table2[[#This Row],[Neighborhood
(Select from Dropdown)]]&amp;Table2[[#This Row],[Organization Name]]</f>
        <v/>
      </c>
      <c r="Z198" s="67"/>
    </row>
    <row r="199" spans="1:26" ht="30" customHeight="1" x14ac:dyDescent="0.25">
      <c r="A199" s="21"/>
      <c r="B199" s="33"/>
      <c r="C199" s="33"/>
      <c r="D199" s="24"/>
      <c r="E199" s="24"/>
      <c r="F199" s="24"/>
      <c r="G199" s="24"/>
      <c r="H199" s="34"/>
      <c r="I199" s="25"/>
      <c r="J199" s="25"/>
      <c r="K199" s="25"/>
      <c r="L199" s="26"/>
      <c r="M199" s="59" t="str">
        <f>IFERROR(INDEX(Vocab_NameList!$O:$O,MATCH($J199, Vocab_NameList!$M:$M, 0)),"")</f>
        <v/>
      </c>
      <c r="N199" s="29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63" t="str">
        <f>Table2[[#This Row],[Governorate
(Select from Dropdown)]]&amp;Table2[[#This Row],[Neighborhood
(Select from Dropdown)]]&amp;Table2[[#This Row],[Organization Name]]</f>
        <v/>
      </c>
      <c r="Z199" s="67"/>
    </row>
    <row r="200" spans="1:26" ht="30" customHeight="1" x14ac:dyDescent="0.25">
      <c r="A200" s="21"/>
      <c r="B200" s="33"/>
      <c r="C200" s="33"/>
      <c r="D200" s="24"/>
      <c r="E200" s="24"/>
      <c r="F200" s="24"/>
      <c r="G200" s="24"/>
      <c r="H200" s="34"/>
      <c r="I200" s="25"/>
      <c r="J200" s="25"/>
      <c r="K200" s="25"/>
      <c r="L200" s="26"/>
      <c r="M200" s="59" t="str">
        <f>IFERROR(INDEX(Vocab_NameList!$O:$O,MATCH($J200, Vocab_NameList!$M:$M, 0)),"")</f>
        <v/>
      </c>
      <c r="N200" s="29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63" t="str">
        <f>Table2[[#This Row],[Governorate
(Select from Dropdown)]]&amp;Table2[[#This Row],[Neighborhood
(Select from Dropdown)]]&amp;Table2[[#This Row],[Organization Name]]</f>
        <v/>
      </c>
      <c r="Z200" s="67"/>
    </row>
    <row r="201" spans="1:26" ht="30" customHeight="1" x14ac:dyDescent="0.25">
      <c r="A201" s="21"/>
      <c r="B201" s="33"/>
      <c r="C201" s="33"/>
      <c r="D201" s="24"/>
      <c r="E201" s="24"/>
      <c r="F201" s="24"/>
      <c r="G201" s="24"/>
      <c r="H201" s="34"/>
      <c r="I201" s="25"/>
      <c r="J201" s="25"/>
      <c r="K201" s="25"/>
      <c r="L201" s="26"/>
      <c r="M201" s="59" t="str">
        <f>IFERROR(INDEX(Vocab_NameList!$O:$O,MATCH($J201, Vocab_NameList!$M:$M, 0)),"")</f>
        <v/>
      </c>
      <c r="N201" s="29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63" t="str">
        <f>Table2[[#This Row],[Governorate
(Select from Dropdown)]]&amp;Table2[[#This Row],[Neighborhood
(Select from Dropdown)]]&amp;Table2[[#This Row],[Organization Name]]</f>
        <v/>
      </c>
      <c r="Z201" s="67"/>
    </row>
    <row r="202" spans="1:26" ht="30" customHeight="1" x14ac:dyDescent="0.25">
      <c r="A202" s="21"/>
      <c r="B202" s="33"/>
      <c r="C202" s="33"/>
      <c r="D202" s="24"/>
      <c r="E202" s="24"/>
      <c r="F202" s="24"/>
      <c r="G202" s="24"/>
      <c r="H202" s="34"/>
      <c r="I202" s="25"/>
      <c r="J202" s="25"/>
      <c r="K202" s="25"/>
      <c r="L202" s="26"/>
      <c r="M202" s="59" t="str">
        <f>IFERROR(INDEX(Vocab_NameList!$O:$O,MATCH($J202, Vocab_NameList!$M:$M, 0)),"")</f>
        <v/>
      </c>
      <c r="N202" s="29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63" t="str">
        <f>Table2[[#This Row],[Governorate
(Select from Dropdown)]]&amp;Table2[[#This Row],[Neighborhood
(Select from Dropdown)]]&amp;Table2[[#This Row],[Organization Name]]</f>
        <v/>
      </c>
      <c r="Z202" s="67"/>
    </row>
    <row r="203" spans="1:26" ht="30" customHeight="1" x14ac:dyDescent="0.25">
      <c r="A203" s="21"/>
      <c r="B203" s="33"/>
      <c r="C203" s="33"/>
      <c r="D203" s="24"/>
      <c r="E203" s="24"/>
      <c r="F203" s="24"/>
      <c r="G203" s="24"/>
      <c r="H203" s="34"/>
      <c r="I203" s="25"/>
      <c r="J203" s="25"/>
      <c r="K203" s="25"/>
      <c r="L203" s="26"/>
      <c r="M203" s="59" t="str">
        <f>IFERROR(INDEX(Vocab_NameList!$O:$O,MATCH($J203, Vocab_NameList!$M:$M, 0)),"")</f>
        <v/>
      </c>
      <c r="N203" s="29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63" t="str">
        <f>Table2[[#This Row],[Governorate
(Select from Dropdown)]]&amp;Table2[[#This Row],[Neighborhood
(Select from Dropdown)]]&amp;Table2[[#This Row],[Organization Name]]</f>
        <v/>
      </c>
      <c r="Z203" s="67"/>
    </row>
    <row r="204" spans="1:26" ht="30" customHeight="1" x14ac:dyDescent="0.25">
      <c r="A204" s="21"/>
      <c r="B204" s="33"/>
      <c r="C204" s="33"/>
      <c r="D204" s="24"/>
      <c r="E204" s="24"/>
      <c r="F204" s="24"/>
      <c r="G204" s="24"/>
      <c r="H204" s="34"/>
      <c r="I204" s="25"/>
      <c r="J204" s="25"/>
      <c r="K204" s="25"/>
      <c r="L204" s="26"/>
      <c r="M204" s="59" t="str">
        <f>IFERROR(INDEX(Vocab_NameList!$O:$O,MATCH($J204, Vocab_NameList!$M:$M, 0)),"")</f>
        <v/>
      </c>
      <c r="N204" s="29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63" t="str">
        <f>Table2[[#This Row],[Governorate
(Select from Dropdown)]]&amp;Table2[[#This Row],[Neighborhood
(Select from Dropdown)]]&amp;Table2[[#This Row],[Organization Name]]</f>
        <v/>
      </c>
      <c r="Z204" s="67"/>
    </row>
    <row r="205" spans="1:26" ht="30" customHeight="1" x14ac:dyDescent="0.25">
      <c r="A205" s="21"/>
      <c r="B205" s="33"/>
      <c r="C205" s="33"/>
      <c r="D205" s="24"/>
      <c r="E205" s="24"/>
      <c r="F205" s="24"/>
      <c r="G205" s="24"/>
      <c r="H205" s="34"/>
      <c r="I205" s="25"/>
      <c r="J205" s="25"/>
      <c r="K205" s="25"/>
      <c r="L205" s="26"/>
      <c r="M205" s="59" t="str">
        <f>IFERROR(INDEX(Vocab_NameList!$O:$O,MATCH($J205, Vocab_NameList!$M:$M, 0)),"")</f>
        <v/>
      </c>
      <c r="N205" s="29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63" t="str">
        <f>Table2[[#This Row],[Governorate
(Select from Dropdown)]]&amp;Table2[[#This Row],[Neighborhood
(Select from Dropdown)]]&amp;Table2[[#This Row],[Organization Name]]</f>
        <v/>
      </c>
      <c r="Z205" s="67"/>
    </row>
    <row r="206" spans="1:26" ht="30" customHeight="1" x14ac:dyDescent="0.25">
      <c r="A206" s="21"/>
      <c r="B206" s="33"/>
      <c r="C206" s="33"/>
      <c r="D206" s="24"/>
      <c r="E206" s="24"/>
      <c r="F206" s="24"/>
      <c r="G206" s="24"/>
      <c r="H206" s="34"/>
      <c r="I206" s="25"/>
      <c r="J206" s="25"/>
      <c r="K206" s="25"/>
      <c r="L206" s="26"/>
      <c r="M206" s="59" t="str">
        <f>IFERROR(INDEX(Vocab_NameList!$O:$O,MATCH($J206, Vocab_NameList!$M:$M, 0)),"")</f>
        <v/>
      </c>
      <c r="N206" s="29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63" t="str">
        <f>Table2[[#This Row],[Governorate
(Select from Dropdown)]]&amp;Table2[[#This Row],[Neighborhood
(Select from Dropdown)]]&amp;Table2[[#This Row],[Organization Name]]</f>
        <v/>
      </c>
      <c r="Z206" s="67"/>
    </row>
    <row r="207" spans="1:26" ht="30" customHeight="1" x14ac:dyDescent="0.25">
      <c r="A207" s="21"/>
      <c r="B207" s="33"/>
      <c r="C207" s="33"/>
      <c r="D207" s="24"/>
      <c r="E207" s="24"/>
      <c r="F207" s="24"/>
      <c r="G207" s="24"/>
      <c r="H207" s="34"/>
      <c r="I207" s="25"/>
      <c r="J207" s="25"/>
      <c r="K207" s="25"/>
      <c r="L207" s="26"/>
      <c r="M207" s="59" t="str">
        <f>IFERROR(INDEX(Vocab_NameList!$O:$O,MATCH($J207, Vocab_NameList!$M:$M, 0)),"")</f>
        <v/>
      </c>
      <c r="N207" s="29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63" t="str">
        <f>Table2[[#This Row],[Governorate
(Select from Dropdown)]]&amp;Table2[[#This Row],[Neighborhood
(Select from Dropdown)]]&amp;Table2[[#This Row],[Organization Name]]</f>
        <v/>
      </c>
      <c r="Z207" s="67"/>
    </row>
    <row r="208" spans="1:26" ht="30" customHeight="1" x14ac:dyDescent="0.25">
      <c r="A208" s="21"/>
      <c r="B208" s="33"/>
      <c r="C208" s="33"/>
      <c r="D208" s="24"/>
      <c r="E208" s="24"/>
      <c r="F208" s="24"/>
      <c r="G208" s="24"/>
      <c r="H208" s="34"/>
      <c r="I208" s="25"/>
      <c r="J208" s="25"/>
      <c r="K208" s="25"/>
      <c r="L208" s="26"/>
      <c r="M208" s="59" t="str">
        <f>IFERROR(INDEX(Vocab_NameList!$O:$O,MATCH($J208, Vocab_NameList!$M:$M, 0)),"")</f>
        <v/>
      </c>
      <c r="N208" s="29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63" t="str">
        <f>Table2[[#This Row],[Governorate
(Select from Dropdown)]]&amp;Table2[[#This Row],[Neighborhood
(Select from Dropdown)]]&amp;Table2[[#This Row],[Organization Name]]</f>
        <v/>
      </c>
      <c r="Z208" s="67"/>
    </row>
    <row r="209" spans="1:26" ht="30" customHeight="1" x14ac:dyDescent="0.25">
      <c r="A209" s="21"/>
      <c r="B209" s="33"/>
      <c r="C209" s="33"/>
      <c r="D209" s="24"/>
      <c r="E209" s="24"/>
      <c r="F209" s="24"/>
      <c r="G209" s="24"/>
      <c r="H209" s="34"/>
      <c r="I209" s="25"/>
      <c r="J209" s="25"/>
      <c r="K209" s="25"/>
      <c r="L209" s="26"/>
      <c r="M209" s="59" t="str">
        <f>IFERROR(INDEX(Vocab_NameList!$O:$O,MATCH($J209, Vocab_NameList!$M:$M, 0)),"")</f>
        <v/>
      </c>
      <c r="N209" s="29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63" t="str">
        <f>Table2[[#This Row],[Governorate
(Select from Dropdown)]]&amp;Table2[[#This Row],[Neighborhood
(Select from Dropdown)]]&amp;Table2[[#This Row],[Organization Name]]</f>
        <v/>
      </c>
      <c r="Z209" s="67"/>
    </row>
    <row r="210" spans="1:26" ht="30" customHeight="1" x14ac:dyDescent="0.25">
      <c r="A210" s="21"/>
      <c r="B210" s="33"/>
      <c r="C210" s="33"/>
      <c r="D210" s="24"/>
      <c r="E210" s="24"/>
      <c r="F210" s="24"/>
      <c r="G210" s="24"/>
      <c r="H210" s="34"/>
      <c r="I210" s="25"/>
      <c r="J210" s="25"/>
      <c r="K210" s="25"/>
      <c r="L210" s="26"/>
      <c r="M210" s="59" t="str">
        <f>IFERROR(INDEX(Vocab_NameList!$O:$O,MATCH($J210, Vocab_NameList!$M:$M, 0)),"")</f>
        <v/>
      </c>
      <c r="N210" s="29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63" t="str">
        <f>Table2[[#This Row],[Governorate
(Select from Dropdown)]]&amp;Table2[[#This Row],[Neighborhood
(Select from Dropdown)]]&amp;Table2[[#This Row],[Organization Name]]</f>
        <v/>
      </c>
      <c r="Z210" s="67"/>
    </row>
    <row r="211" spans="1:26" ht="30" customHeight="1" x14ac:dyDescent="0.25">
      <c r="A211" s="21"/>
      <c r="B211" s="33"/>
      <c r="C211" s="33"/>
      <c r="D211" s="24"/>
      <c r="E211" s="24"/>
      <c r="F211" s="24"/>
      <c r="G211" s="24"/>
      <c r="H211" s="34"/>
      <c r="I211" s="25"/>
      <c r="J211" s="25"/>
      <c r="K211" s="25"/>
      <c r="L211" s="26"/>
      <c r="M211" s="59" t="str">
        <f>IFERROR(INDEX(Vocab_NameList!$O:$O,MATCH($J211, Vocab_NameList!$M:$M, 0)),"")</f>
        <v/>
      </c>
      <c r="N211" s="29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63" t="str">
        <f>Table2[[#This Row],[Governorate
(Select from Dropdown)]]&amp;Table2[[#This Row],[Neighborhood
(Select from Dropdown)]]&amp;Table2[[#This Row],[Organization Name]]</f>
        <v/>
      </c>
      <c r="Z211" s="67"/>
    </row>
    <row r="212" spans="1:26" ht="30" customHeight="1" x14ac:dyDescent="0.25">
      <c r="A212" s="21"/>
      <c r="B212" s="33"/>
      <c r="C212" s="33"/>
      <c r="D212" s="24"/>
      <c r="E212" s="24"/>
      <c r="F212" s="24"/>
      <c r="G212" s="24"/>
      <c r="H212" s="34"/>
      <c r="I212" s="25"/>
      <c r="J212" s="25"/>
      <c r="K212" s="25"/>
      <c r="L212" s="26"/>
      <c r="M212" s="59" t="str">
        <f>IFERROR(INDEX(Vocab_NameList!$O:$O,MATCH($J212, Vocab_NameList!$M:$M, 0)),"")</f>
        <v/>
      </c>
      <c r="N212" s="29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63" t="str">
        <f>Table2[[#This Row],[Governorate
(Select from Dropdown)]]&amp;Table2[[#This Row],[Neighborhood
(Select from Dropdown)]]&amp;Table2[[#This Row],[Organization Name]]</f>
        <v/>
      </c>
      <c r="Z212" s="67"/>
    </row>
    <row r="213" spans="1:26" ht="30" customHeight="1" x14ac:dyDescent="0.25">
      <c r="A213" s="21"/>
      <c r="B213" s="33"/>
      <c r="C213" s="33"/>
      <c r="D213" s="24"/>
      <c r="E213" s="24"/>
      <c r="F213" s="24"/>
      <c r="G213" s="24"/>
      <c r="H213" s="34"/>
      <c r="I213" s="25"/>
      <c r="J213" s="25"/>
      <c r="K213" s="25"/>
      <c r="L213" s="26"/>
      <c r="M213" s="59" t="str">
        <f>IFERROR(INDEX(Vocab_NameList!$O:$O,MATCH($J213, Vocab_NameList!$M:$M, 0)),"")</f>
        <v/>
      </c>
      <c r="N213" s="29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63" t="str">
        <f>Table2[[#This Row],[Governorate
(Select from Dropdown)]]&amp;Table2[[#This Row],[Neighborhood
(Select from Dropdown)]]&amp;Table2[[#This Row],[Organization Name]]</f>
        <v/>
      </c>
      <c r="Z213" s="67"/>
    </row>
    <row r="214" spans="1:26" ht="30" customHeight="1" x14ac:dyDescent="0.25">
      <c r="A214" s="21"/>
      <c r="B214" s="33"/>
      <c r="C214" s="33"/>
      <c r="D214" s="24"/>
      <c r="E214" s="24"/>
      <c r="F214" s="24"/>
      <c r="G214" s="24"/>
      <c r="H214" s="34"/>
      <c r="I214" s="25"/>
      <c r="J214" s="25"/>
      <c r="K214" s="25"/>
      <c r="L214" s="26"/>
      <c r="M214" s="59" t="str">
        <f>IFERROR(INDEX(Vocab_NameList!$O:$O,MATCH($J214, Vocab_NameList!$M:$M, 0)),"")</f>
        <v/>
      </c>
      <c r="N214" s="29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63" t="str">
        <f>Table2[[#This Row],[Governorate
(Select from Dropdown)]]&amp;Table2[[#This Row],[Neighborhood
(Select from Dropdown)]]&amp;Table2[[#This Row],[Organization Name]]</f>
        <v/>
      </c>
      <c r="Z214" s="67"/>
    </row>
    <row r="215" spans="1:26" ht="30" customHeight="1" x14ac:dyDescent="0.25">
      <c r="A215" s="21"/>
      <c r="B215" s="33"/>
      <c r="C215" s="33"/>
      <c r="D215" s="24"/>
      <c r="E215" s="24"/>
      <c r="F215" s="24"/>
      <c r="G215" s="24"/>
      <c r="H215" s="34"/>
      <c r="I215" s="25"/>
      <c r="J215" s="25"/>
      <c r="K215" s="25"/>
      <c r="L215" s="26"/>
      <c r="M215" s="59" t="str">
        <f>IFERROR(INDEX(Vocab_NameList!$O:$O,MATCH($J215, Vocab_NameList!$M:$M, 0)),"")</f>
        <v/>
      </c>
      <c r="N215" s="29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63" t="str">
        <f>Table2[[#This Row],[Governorate
(Select from Dropdown)]]&amp;Table2[[#This Row],[Neighborhood
(Select from Dropdown)]]&amp;Table2[[#This Row],[Organization Name]]</f>
        <v/>
      </c>
      <c r="Z215" s="67"/>
    </row>
    <row r="216" spans="1:26" ht="30" customHeight="1" x14ac:dyDescent="0.25">
      <c r="A216" s="21"/>
      <c r="B216" s="33"/>
      <c r="C216" s="33"/>
      <c r="D216" s="24"/>
      <c r="E216" s="24"/>
      <c r="F216" s="24"/>
      <c r="G216" s="24"/>
      <c r="H216" s="34"/>
      <c r="I216" s="25"/>
      <c r="J216" s="25"/>
      <c r="K216" s="25"/>
      <c r="L216" s="26"/>
      <c r="M216" s="59" t="str">
        <f>IFERROR(INDEX(Vocab_NameList!$O:$O,MATCH($J216, Vocab_NameList!$M:$M, 0)),"")</f>
        <v/>
      </c>
      <c r="N216" s="29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63" t="str">
        <f>Table2[[#This Row],[Governorate
(Select from Dropdown)]]&amp;Table2[[#This Row],[Neighborhood
(Select from Dropdown)]]&amp;Table2[[#This Row],[Organization Name]]</f>
        <v/>
      </c>
      <c r="Z216" s="67"/>
    </row>
    <row r="217" spans="1:26" ht="30" customHeight="1" x14ac:dyDescent="0.25">
      <c r="A217" s="21"/>
      <c r="B217" s="33"/>
      <c r="C217" s="33"/>
      <c r="D217" s="24"/>
      <c r="E217" s="24"/>
      <c r="F217" s="24"/>
      <c r="G217" s="24"/>
      <c r="H217" s="34"/>
      <c r="I217" s="25"/>
      <c r="J217" s="25"/>
      <c r="K217" s="25"/>
      <c r="L217" s="26"/>
      <c r="M217" s="59" t="str">
        <f>IFERROR(INDEX(Vocab_NameList!$O:$O,MATCH($J217, Vocab_NameList!$M:$M, 0)),"")</f>
        <v/>
      </c>
      <c r="N217" s="29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63" t="str">
        <f>Table2[[#This Row],[Governorate
(Select from Dropdown)]]&amp;Table2[[#This Row],[Neighborhood
(Select from Dropdown)]]&amp;Table2[[#This Row],[Organization Name]]</f>
        <v/>
      </c>
      <c r="Z217" s="67"/>
    </row>
    <row r="218" spans="1:26" ht="30" customHeight="1" x14ac:dyDescent="0.25">
      <c r="A218" s="21"/>
      <c r="B218" s="33"/>
      <c r="C218" s="33"/>
      <c r="D218" s="24"/>
      <c r="E218" s="24"/>
      <c r="F218" s="24"/>
      <c r="G218" s="24"/>
      <c r="H218" s="34"/>
      <c r="I218" s="25"/>
      <c r="J218" s="25"/>
      <c r="K218" s="25"/>
      <c r="L218" s="26"/>
      <c r="M218" s="59" t="str">
        <f>IFERROR(INDEX(Vocab_NameList!$O:$O,MATCH($J218, Vocab_NameList!$M:$M, 0)),"")</f>
        <v/>
      </c>
      <c r="N218" s="29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63" t="str">
        <f>Table2[[#This Row],[Governorate
(Select from Dropdown)]]&amp;Table2[[#This Row],[Neighborhood
(Select from Dropdown)]]&amp;Table2[[#This Row],[Organization Name]]</f>
        <v/>
      </c>
      <c r="Z218" s="67"/>
    </row>
    <row r="219" spans="1:26" ht="30" customHeight="1" x14ac:dyDescent="0.25">
      <c r="A219" s="21"/>
      <c r="B219" s="33"/>
      <c r="C219" s="33"/>
      <c r="D219" s="24"/>
      <c r="E219" s="24"/>
      <c r="F219" s="24"/>
      <c r="G219" s="24"/>
      <c r="H219" s="34"/>
      <c r="I219" s="25"/>
      <c r="J219" s="25"/>
      <c r="K219" s="25"/>
      <c r="L219" s="26"/>
      <c r="M219" s="59" t="str">
        <f>IFERROR(INDEX(Vocab_NameList!$O:$O,MATCH($J219, Vocab_NameList!$M:$M, 0)),"")</f>
        <v/>
      </c>
      <c r="N219" s="29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63" t="str">
        <f>Table2[[#This Row],[Governorate
(Select from Dropdown)]]&amp;Table2[[#This Row],[Neighborhood
(Select from Dropdown)]]&amp;Table2[[#This Row],[Organization Name]]</f>
        <v/>
      </c>
      <c r="Z219" s="67"/>
    </row>
    <row r="220" spans="1:26" ht="30" customHeight="1" x14ac:dyDescent="0.25">
      <c r="A220" s="21"/>
      <c r="B220" s="33"/>
      <c r="C220" s="33"/>
      <c r="D220" s="24"/>
      <c r="E220" s="24"/>
      <c r="F220" s="24"/>
      <c r="G220" s="24"/>
      <c r="H220" s="34"/>
      <c r="I220" s="25"/>
      <c r="J220" s="25"/>
      <c r="K220" s="25"/>
      <c r="L220" s="26"/>
      <c r="M220" s="59" t="str">
        <f>IFERROR(INDEX(Vocab_NameList!$O:$O,MATCH($J220, Vocab_NameList!$M:$M, 0)),"")</f>
        <v/>
      </c>
      <c r="N220" s="29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63" t="str">
        <f>Table2[[#This Row],[Governorate
(Select from Dropdown)]]&amp;Table2[[#This Row],[Neighborhood
(Select from Dropdown)]]&amp;Table2[[#This Row],[Organization Name]]</f>
        <v/>
      </c>
      <c r="Z220" s="67"/>
    </row>
    <row r="221" spans="1:26" ht="30" customHeight="1" x14ac:dyDescent="0.25">
      <c r="A221" s="21"/>
      <c r="B221" s="33"/>
      <c r="C221" s="33"/>
      <c r="D221" s="24"/>
      <c r="E221" s="24"/>
      <c r="F221" s="24"/>
      <c r="G221" s="24"/>
      <c r="H221" s="34"/>
      <c r="I221" s="25"/>
      <c r="J221" s="25"/>
      <c r="K221" s="25"/>
      <c r="L221" s="26"/>
      <c r="M221" s="59" t="str">
        <f>IFERROR(INDEX(Vocab_NameList!$O:$O,MATCH($J221, Vocab_NameList!$M:$M, 0)),"")</f>
        <v/>
      </c>
      <c r="N221" s="29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63" t="str">
        <f>Table2[[#This Row],[Governorate
(Select from Dropdown)]]&amp;Table2[[#This Row],[Neighborhood
(Select from Dropdown)]]&amp;Table2[[#This Row],[Organization Name]]</f>
        <v/>
      </c>
      <c r="Z221" s="67"/>
    </row>
    <row r="222" spans="1:26" ht="30" customHeight="1" x14ac:dyDescent="0.25">
      <c r="A222" s="21"/>
      <c r="B222" s="33"/>
      <c r="C222" s="33"/>
      <c r="D222" s="24"/>
      <c r="E222" s="24"/>
      <c r="F222" s="24"/>
      <c r="G222" s="24"/>
      <c r="H222" s="34"/>
      <c r="I222" s="25"/>
      <c r="J222" s="25"/>
      <c r="K222" s="25"/>
      <c r="L222" s="26"/>
      <c r="M222" s="59" t="str">
        <f>IFERROR(INDEX(Vocab_NameList!$O:$O,MATCH($J222, Vocab_NameList!$M:$M, 0)),"")</f>
        <v/>
      </c>
      <c r="N222" s="29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63" t="str">
        <f>Table2[[#This Row],[Governorate
(Select from Dropdown)]]&amp;Table2[[#This Row],[Neighborhood
(Select from Dropdown)]]&amp;Table2[[#This Row],[Organization Name]]</f>
        <v/>
      </c>
      <c r="Z222" s="67"/>
    </row>
    <row r="223" spans="1:26" ht="30" customHeight="1" x14ac:dyDescent="0.25">
      <c r="A223" s="21"/>
      <c r="B223" s="33"/>
      <c r="C223" s="33"/>
      <c r="D223" s="24"/>
      <c r="E223" s="24"/>
      <c r="F223" s="24"/>
      <c r="G223" s="24"/>
      <c r="H223" s="34"/>
      <c r="I223" s="25"/>
      <c r="J223" s="25"/>
      <c r="K223" s="25"/>
      <c r="L223" s="26"/>
      <c r="M223" s="59" t="str">
        <f>IFERROR(INDEX(Vocab_NameList!$O:$O,MATCH($J223, Vocab_NameList!$M:$M, 0)),"")</f>
        <v/>
      </c>
      <c r="N223" s="29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63" t="str">
        <f>Table2[[#This Row],[Governorate
(Select from Dropdown)]]&amp;Table2[[#This Row],[Neighborhood
(Select from Dropdown)]]&amp;Table2[[#This Row],[Organization Name]]</f>
        <v/>
      </c>
      <c r="Z223" s="67"/>
    </row>
    <row r="224" spans="1:26" ht="30" customHeight="1" x14ac:dyDescent="0.25">
      <c r="A224" s="21"/>
      <c r="B224" s="33"/>
      <c r="C224" s="33"/>
      <c r="D224" s="24"/>
      <c r="E224" s="24"/>
      <c r="F224" s="24"/>
      <c r="G224" s="24"/>
      <c r="H224" s="34"/>
      <c r="I224" s="25"/>
      <c r="J224" s="25"/>
      <c r="K224" s="25"/>
      <c r="L224" s="26"/>
      <c r="M224" s="59" t="str">
        <f>IFERROR(INDEX(Vocab_NameList!$O:$O,MATCH($J224, Vocab_NameList!$M:$M, 0)),"")</f>
        <v/>
      </c>
      <c r="N224" s="29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63" t="str">
        <f>Table2[[#This Row],[Governorate
(Select from Dropdown)]]&amp;Table2[[#This Row],[Neighborhood
(Select from Dropdown)]]&amp;Table2[[#This Row],[Organization Name]]</f>
        <v/>
      </c>
      <c r="Z224" s="67"/>
    </row>
    <row r="225" spans="1:26" ht="30" customHeight="1" x14ac:dyDescent="0.25">
      <c r="A225" s="21"/>
      <c r="B225" s="33"/>
      <c r="C225" s="33"/>
      <c r="D225" s="24"/>
      <c r="E225" s="24"/>
      <c r="F225" s="24"/>
      <c r="G225" s="24"/>
      <c r="H225" s="34"/>
      <c r="I225" s="25"/>
      <c r="J225" s="25"/>
      <c r="K225" s="25"/>
      <c r="L225" s="26"/>
      <c r="M225" s="59" t="str">
        <f>IFERROR(INDEX(Vocab_NameList!$O:$O,MATCH($J225, Vocab_NameList!$M:$M, 0)),"")</f>
        <v/>
      </c>
      <c r="N225" s="29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63" t="str">
        <f>Table2[[#This Row],[Governorate
(Select from Dropdown)]]&amp;Table2[[#This Row],[Neighborhood
(Select from Dropdown)]]&amp;Table2[[#This Row],[Organization Name]]</f>
        <v/>
      </c>
      <c r="Z225" s="67"/>
    </row>
    <row r="226" spans="1:26" ht="30" customHeight="1" x14ac:dyDescent="0.25">
      <c r="A226" s="21"/>
      <c r="B226" s="33"/>
      <c r="C226" s="33"/>
      <c r="D226" s="24"/>
      <c r="E226" s="24"/>
      <c r="F226" s="24"/>
      <c r="G226" s="24"/>
      <c r="H226" s="34"/>
      <c r="I226" s="25"/>
      <c r="J226" s="25"/>
      <c r="K226" s="25"/>
      <c r="L226" s="26"/>
      <c r="M226" s="59" t="str">
        <f>IFERROR(INDEX(Vocab_NameList!$O:$O,MATCH($J226, Vocab_NameList!$M:$M, 0)),"")</f>
        <v/>
      </c>
      <c r="N226" s="29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63" t="str">
        <f>Table2[[#This Row],[Governorate
(Select from Dropdown)]]&amp;Table2[[#This Row],[Neighborhood
(Select from Dropdown)]]&amp;Table2[[#This Row],[Organization Name]]</f>
        <v/>
      </c>
      <c r="Z226" s="67"/>
    </row>
    <row r="227" spans="1:26" ht="30" customHeight="1" x14ac:dyDescent="0.25">
      <c r="A227" s="21"/>
      <c r="B227" s="33"/>
      <c r="C227" s="33"/>
      <c r="D227" s="24"/>
      <c r="E227" s="24"/>
      <c r="F227" s="24"/>
      <c r="G227" s="24"/>
      <c r="H227" s="34"/>
      <c r="I227" s="25"/>
      <c r="J227" s="25"/>
      <c r="K227" s="25"/>
      <c r="L227" s="26"/>
      <c r="M227" s="59" t="str">
        <f>IFERROR(INDEX(Vocab_NameList!$O:$O,MATCH($J227, Vocab_NameList!$M:$M, 0)),"")</f>
        <v/>
      </c>
      <c r="N227" s="29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63" t="str">
        <f>Table2[[#This Row],[Governorate
(Select from Dropdown)]]&amp;Table2[[#This Row],[Neighborhood
(Select from Dropdown)]]&amp;Table2[[#This Row],[Organization Name]]</f>
        <v/>
      </c>
      <c r="Z227" s="67"/>
    </row>
    <row r="228" spans="1:26" ht="30" customHeight="1" x14ac:dyDescent="0.25">
      <c r="A228" s="21"/>
      <c r="B228" s="33"/>
      <c r="C228" s="33"/>
      <c r="D228" s="24"/>
      <c r="E228" s="24"/>
      <c r="F228" s="24"/>
      <c r="G228" s="24"/>
      <c r="H228" s="34"/>
      <c r="I228" s="25"/>
      <c r="J228" s="25"/>
      <c r="K228" s="25"/>
      <c r="L228" s="26"/>
      <c r="M228" s="59" t="str">
        <f>IFERROR(INDEX(Vocab_NameList!$O:$O,MATCH($J228, Vocab_NameList!$M:$M, 0)),"")</f>
        <v/>
      </c>
      <c r="N228" s="29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63" t="str">
        <f>Table2[[#This Row],[Governorate
(Select from Dropdown)]]&amp;Table2[[#This Row],[Neighborhood
(Select from Dropdown)]]&amp;Table2[[#This Row],[Organization Name]]</f>
        <v/>
      </c>
      <c r="Z228" s="67"/>
    </row>
    <row r="229" spans="1:26" ht="30" customHeight="1" x14ac:dyDescent="0.25">
      <c r="A229" s="21"/>
      <c r="B229" s="33"/>
      <c r="C229" s="33"/>
      <c r="D229" s="24"/>
      <c r="E229" s="24"/>
      <c r="F229" s="24"/>
      <c r="G229" s="24"/>
      <c r="H229" s="34"/>
      <c r="I229" s="25"/>
      <c r="J229" s="25"/>
      <c r="K229" s="25"/>
      <c r="L229" s="26"/>
      <c r="M229" s="59" t="str">
        <f>IFERROR(INDEX(Vocab_NameList!$O:$O,MATCH($J229, Vocab_NameList!$M:$M, 0)),"")</f>
        <v/>
      </c>
      <c r="N229" s="29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63" t="str">
        <f>Table2[[#This Row],[Governorate
(Select from Dropdown)]]&amp;Table2[[#This Row],[Neighborhood
(Select from Dropdown)]]&amp;Table2[[#This Row],[Organization Name]]</f>
        <v/>
      </c>
      <c r="Z229" s="67"/>
    </row>
    <row r="230" spans="1:26" ht="30" customHeight="1" x14ac:dyDescent="0.25">
      <c r="A230" s="21"/>
      <c r="B230" s="33"/>
      <c r="C230" s="33"/>
      <c r="D230" s="24"/>
      <c r="E230" s="24"/>
      <c r="F230" s="24"/>
      <c r="G230" s="24"/>
      <c r="H230" s="34"/>
      <c r="I230" s="25"/>
      <c r="J230" s="25"/>
      <c r="K230" s="25"/>
      <c r="L230" s="26"/>
      <c r="M230" s="59" t="str">
        <f>IFERROR(INDEX(Vocab_NameList!$O:$O,MATCH($J230, Vocab_NameList!$M:$M, 0)),"")</f>
        <v/>
      </c>
      <c r="N230" s="29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63" t="str">
        <f>Table2[[#This Row],[Governorate
(Select from Dropdown)]]&amp;Table2[[#This Row],[Neighborhood
(Select from Dropdown)]]&amp;Table2[[#This Row],[Organization Name]]</f>
        <v/>
      </c>
      <c r="Z230" s="67"/>
    </row>
    <row r="231" spans="1:26" ht="30" customHeight="1" x14ac:dyDescent="0.25">
      <c r="A231" s="21"/>
      <c r="B231" s="33"/>
      <c r="C231" s="33"/>
      <c r="D231" s="24"/>
      <c r="E231" s="24"/>
      <c r="F231" s="24"/>
      <c r="G231" s="24"/>
      <c r="H231" s="34"/>
      <c r="I231" s="25"/>
      <c r="J231" s="25"/>
      <c r="K231" s="25"/>
      <c r="L231" s="26"/>
      <c r="M231" s="59" t="str">
        <f>IFERROR(INDEX(Vocab_NameList!$O:$O,MATCH($J231, Vocab_NameList!$M:$M, 0)),"")</f>
        <v/>
      </c>
      <c r="N231" s="29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63" t="str">
        <f>Table2[[#This Row],[Governorate
(Select from Dropdown)]]&amp;Table2[[#This Row],[Neighborhood
(Select from Dropdown)]]&amp;Table2[[#This Row],[Organization Name]]</f>
        <v/>
      </c>
      <c r="Z231" s="67"/>
    </row>
    <row r="232" spans="1:26" ht="30" customHeight="1" x14ac:dyDescent="0.25">
      <c r="A232" s="21"/>
      <c r="B232" s="33"/>
      <c r="C232" s="33"/>
      <c r="D232" s="24"/>
      <c r="E232" s="24"/>
      <c r="F232" s="24"/>
      <c r="G232" s="24"/>
      <c r="H232" s="34"/>
      <c r="I232" s="25"/>
      <c r="J232" s="25"/>
      <c r="K232" s="25"/>
      <c r="L232" s="26"/>
      <c r="M232" s="59" t="str">
        <f>IFERROR(INDEX(Vocab_NameList!$O:$O,MATCH($J232, Vocab_NameList!$M:$M, 0)),"")</f>
        <v/>
      </c>
      <c r="N232" s="29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63" t="str">
        <f>Table2[[#This Row],[Governorate
(Select from Dropdown)]]&amp;Table2[[#This Row],[Neighborhood
(Select from Dropdown)]]&amp;Table2[[#This Row],[Organization Name]]</f>
        <v/>
      </c>
      <c r="Z232" s="67"/>
    </row>
    <row r="233" spans="1:26" ht="30" customHeight="1" x14ac:dyDescent="0.25">
      <c r="A233" s="21"/>
      <c r="B233" s="33"/>
      <c r="C233" s="33"/>
      <c r="D233" s="24"/>
      <c r="E233" s="24"/>
      <c r="F233" s="24"/>
      <c r="G233" s="24"/>
      <c r="H233" s="34"/>
      <c r="I233" s="25"/>
      <c r="J233" s="25"/>
      <c r="K233" s="25"/>
      <c r="L233" s="26"/>
      <c r="M233" s="59" t="str">
        <f>IFERROR(INDEX(Vocab_NameList!$O:$O,MATCH($J233, Vocab_NameList!$M:$M, 0)),"")</f>
        <v/>
      </c>
      <c r="N233" s="29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63" t="str">
        <f>Table2[[#This Row],[Governorate
(Select from Dropdown)]]&amp;Table2[[#This Row],[Neighborhood
(Select from Dropdown)]]&amp;Table2[[#This Row],[Organization Name]]</f>
        <v/>
      </c>
      <c r="Z233" s="67"/>
    </row>
    <row r="234" spans="1:26" ht="30" customHeight="1" x14ac:dyDescent="0.25">
      <c r="A234" s="21"/>
      <c r="B234" s="33"/>
      <c r="C234" s="33"/>
      <c r="D234" s="24"/>
      <c r="E234" s="24"/>
      <c r="F234" s="24"/>
      <c r="G234" s="24"/>
      <c r="H234" s="34"/>
      <c r="I234" s="25"/>
      <c r="J234" s="25"/>
      <c r="K234" s="25"/>
      <c r="L234" s="26"/>
      <c r="M234" s="59" t="str">
        <f>IFERROR(INDEX(Vocab_NameList!$O:$O,MATCH($J234, Vocab_NameList!$M:$M, 0)),"")</f>
        <v/>
      </c>
      <c r="N234" s="29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63" t="str">
        <f>Table2[[#This Row],[Governorate
(Select from Dropdown)]]&amp;Table2[[#This Row],[Neighborhood
(Select from Dropdown)]]&amp;Table2[[#This Row],[Organization Name]]</f>
        <v/>
      </c>
      <c r="Z234" s="67"/>
    </row>
    <row r="235" spans="1:26" ht="30" customHeight="1" x14ac:dyDescent="0.25">
      <c r="A235" s="21"/>
      <c r="B235" s="33"/>
      <c r="C235" s="33"/>
      <c r="D235" s="24"/>
      <c r="E235" s="24"/>
      <c r="F235" s="24"/>
      <c r="G235" s="24"/>
      <c r="H235" s="34"/>
      <c r="I235" s="25"/>
      <c r="J235" s="25"/>
      <c r="K235" s="25"/>
      <c r="L235" s="26"/>
      <c r="M235" s="59" t="str">
        <f>IFERROR(INDEX(Vocab_NameList!$O:$O,MATCH($J235, Vocab_NameList!$M:$M, 0)),"")</f>
        <v/>
      </c>
      <c r="N235" s="29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63" t="str">
        <f>Table2[[#This Row],[Governorate
(Select from Dropdown)]]&amp;Table2[[#This Row],[Neighborhood
(Select from Dropdown)]]&amp;Table2[[#This Row],[Organization Name]]</f>
        <v/>
      </c>
      <c r="Z235" s="67"/>
    </row>
    <row r="236" spans="1:26" ht="30" customHeight="1" x14ac:dyDescent="0.25">
      <c r="A236" s="21"/>
      <c r="B236" s="33"/>
      <c r="C236" s="33"/>
      <c r="D236" s="24"/>
      <c r="E236" s="24"/>
      <c r="F236" s="24"/>
      <c r="G236" s="24"/>
      <c r="H236" s="34"/>
      <c r="I236" s="25"/>
      <c r="J236" s="25"/>
      <c r="K236" s="25"/>
      <c r="L236" s="26"/>
      <c r="M236" s="59" t="str">
        <f>IFERROR(INDEX(Vocab_NameList!$O:$O,MATCH($J236, Vocab_NameList!$M:$M, 0)),"")</f>
        <v/>
      </c>
      <c r="N236" s="29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63" t="str">
        <f>Table2[[#This Row],[Governorate
(Select from Dropdown)]]&amp;Table2[[#This Row],[Neighborhood
(Select from Dropdown)]]&amp;Table2[[#This Row],[Organization Name]]</f>
        <v/>
      </c>
      <c r="Z236" s="67"/>
    </row>
    <row r="237" spans="1:26" ht="30" customHeight="1" x14ac:dyDescent="0.25">
      <c r="A237" s="21"/>
      <c r="B237" s="33"/>
      <c r="C237" s="33"/>
      <c r="D237" s="24"/>
      <c r="E237" s="24"/>
      <c r="F237" s="24"/>
      <c r="G237" s="24"/>
      <c r="H237" s="34"/>
      <c r="I237" s="25"/>
      <c r="J237" s="25"/>
      <c r="K237" s="25"/>
      <c r="L237" s="26"/>
      <c r="M237" s="59" t="str">
        <f>IFERROR(INDEX(Vocab_NameList!$O:$O,MATCH($J237, Vocab_NameList!$M:$M, 0)),"")</f>
        <v/>
      </c>
      <c r="N237" s="29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63" t="str">
        <f>Table2[[#This Row],[Governorate
(Select from Dropdown)]]&amp;Table2[[#This Row],[Neighborhood
(Select from Dropdown)]]&amp;Table2[[#This Row],[Organization Name]]</f>
        <v/>
      </c>
      <c r="Z237" s="67"/>
    </row>
    <row r="238" spans="1:26" ht="30" customHeight="1" x14ac:dyDescent="0.25">
      <c r="A238" s="21"/>
      <c r="B238" s="33"/>
      <c r="C238" s="33"/>
      <c r="D238" s="24"/>
      <c r="E238" s="24"/>
      <c r="F238" s="24"/>
      <c r="G238" s="24"/>
      <c r="H238" s="34"/>
      <c r="I238" s="25"/>
      <c r="J238" s="25"/>
      <c r="K238" s="25"/>
      <c r="L238" s="26"/>
      <c r="M238" s="59" t="str">
        <f>IFERROR(INDEX(Vocab_NameList!$O:$O,MATCH($J238, Vocab_NameList!$M:$M, 0)),"")</f>
        <v/>
      </c>
      <c r="N238" s="29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63" t="str">
        <f>Table2[[#This Row],[Governorate
(Select from Dropdown)]]&amp;Table2[[#This Row],[Neighborhood
(Select from Dropdown)]]&amp;Table2[[#This Row],[Organization Name]]</f>
        <v/>
      </c>
      <c r="Z238" s="67"/>
    </row>
    <row r="239" spans="1:26" ht="30" customHeight="1" x14ac:dyDescent="0.25">
      <c r="A239" s="21"/>
      <c r="B239" s="33"/>
      <c r="C239" s="33"/>
      <c r="D239" s="24"/>
      <c r="E239" s="24"/>
      <c r="F239" s="24"/>
      <c r="G239" s="24"/>
      <c r="H239" s="34"/>
      <c r="I239" s="25"/>
      <c r="J239" s="25"/>
      <c r="K239" s="25"/>
      <c r="L239" s="26"/>
      <c r="M239" s="59" t="str">
        <f>IFERROR(INDEX(Vocab_NameList!$O:$O,MATCH($J239, Vocab_NameList!$M:$M, 0)),"")</f>
        <v/>
      </c>
      <c r="N239" s="29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63" t="str">
        <f>Table2[[#This Row],[Governorate
(Select from Dropdown)]]&amp;Table2[[#This Row],[Neighborhood
(Select from Dropdown)]]&amp;Table2[[#This Row],[Organization Name]]</f>
        <v/>
      </c>
      <c r="Z239" s="67"/>
    </row>
    <row r="240" spans="1:26" ht="30" customHeight="1" x14ac:dyDescent="0.25">
      <c r="A240" s="21"/>
      <c r="B240" s="33"/>
      <c r="C240" s="33"/>
      <c r="D240" s="24"/>
      <c r="E240" s="24"/>
      <c r="F240" s="24"/>
      <c r="G240" s="24"/>
      <c r="H240" s="34"/>
      <c r="I240" s="25"/>
      <c r="J240" s="25"/>
      <c r="K240" s="25"/>
      <c r="L240" s="26"/>
      <c r="M240" s="59" t="str">
        <f>IFERROR(INDEX(Vocab_NameList!$O:$O,MATCH($J240, Vocab_NameList!$M:$M, 0)),"")</f>
        <v/>
      </c>
      <c r="N240" s="29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63" t="str">
        <f>Table2[[#This Row],[Governorate
(Select from Dropdown)]]&amp;Table2[[#This Row],[Neighborhood
(Select from Dropdown)]]&amp;Table2[[#This Row],[Organization Name]]</f>
        <v/>
      </c>
      <c r="Z240" s="67"/>
    </row>
    <row r="241" spans="1:26" ht="30" customHeight="1" x14ac:dyDescent="0.25">
      <c r="A241" s="21"/>
      <c r="B241" s="33"/>
      <c r="C241" s="33"/>
      <c r="D241" s="24"/>
      <c r="E241" s="24"/>
      <c r="F241" s="24"/>
      <c r="G241" s="24"/>
      <c r="H241" s="34"/>
      <c r="I241" s="25"/>
      <c r="J241" s="25"/>
      <c r="K241" s="25"/>
      <c r="L241" s="26"/>
      <c r="M241" s="59" t="str">
        <f>IFERROR(INDEX(Vocab_NameList!$O:$O,MATCH($J241, Vocab_NameList!$M:$M, 0)),"")</f>
        <v/>
      </c>
      <c r="N241" s="29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63" t="str">
        <f>Table2[[#This Row],[Governorate
(Select from Dropdown)]]&amp;Table2[[#This Row],[Neighborhood
(Select from Dropdown)]]&amp;Table2[[#This Row],[Organization Name]]</f>
        <v/>
      </c>
      <c r="Z241" s="67"/>
    </row>
    <row r="242" spans="1:26" ht="30" customHeight="1" x14ac:dyDescent="0.25">
      <c r="A242" s="21"/>
      <c r="B242" s="33"/>
      <c r="C242" s="33"/>
      <c r="D242" s="24"/>
      <c r="E242" s="24"/>
      <c r="F242" s="24"/>
      <c r="G242" s="24"/>
      <c r="H242" s="34"/>
      <c r="I242" s="25"/>
      <c r="J242" s="25"/>
      <c r="K242" s="25"/>
      <c r="L242" s="26"/>
      <c r="M242" s="59" t="str">
        <f>IFERROR(INDEX(Vocab_NameList!$O:$O,MATCH($J242, Vocab_NameList!$M:$M, 0)),"")</f>
        <v/>
      </c>
      <c r="N242" s="29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63" t="str">
        <f>Table2[[#This Row],[Governorate
(Select from Dropdown)]]&amp;Table2[[#This Row],[Neighborhood
(Select from Dropdown)]]&amp;Table2[[#This Row],[Organization Name]]</f>
        <v/>
      </c>
      <c r="Z242" s="67"/>
    </row>
    <row r="243" spans="1:26" ht="30" customHeight="1" x14ac:dyDescent="0.25">
      <c r="A243" s="21"/>
      <c r="B243" s="33"/>
      <c r="C243" s="33"/>
      <c r="D243" s="24"/>
      <c r="E243" s="24"/>
      <c r="F243" s="24"/>
      <c r="G243" s="24"/>
      <c r="H243" s="34"/>
      <c r="I243" s="25"/>
      <c r="J243" s="25"/>
      <c r="K243" s="25"/>
      <c r="L243" s="26"/>
      <c r="M243" s="59" t="str">
        <f>IFERROR(INDEX(Vocab_NameList!$O:$O,MATCH($J243, Vocab_NameList!$M:$M, 0)),"")</f>
        <v/>
      </c>
      <c r="N243" s="29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63" t="str">
        <f>Table2[[#This Row],[Governorate
(Select from Dropdown)]]&amp;Table2[[#This Row],[Neighborhood
(Select from Dropdown)]]&amp;Table2[[#This Row],[Organization Name]]</f>
        <v/>
      </c>
      <c r="Z243" s="67"/>
    </row>
    <row r="244" spans="1:26" ht="30" customHeight="1" x14ac:dyDescent="0.25">
      <c r="A244" s="21"/>
      <c r="B244" s="33"/>
      <c r="C244" s="33"/>
      <c r="D244" s="24"/>
      <c r="E244" s="24"/>
      <c r="F244" s="24"/>
      <c r="G244" s="24"/>
      <c r="H244" s="34"/>
      <c r="I244" s="25"/>
      <c r="J244" s="25"/>
      <c r="K244" s="25"/>
      <c r="L244" s="26"/>
      <c r="M244" s="59" t="str">
        <f>IFERROR(INDEX(Vocab_NameList!$O:$O,MATCH($J244, Vocab_NameList!$M:$M, 0)),"")</f>
        <v/>
      </c>
      <c r="N244" s="29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63" t="str">
        <f>Table2[[#This Row],[Governorate
(Select from Dropdown)]]&amp;Table2[[#This Row],[Neighborhood
(Select from Dropdown)]]&amp;Table2[[#This Row],[Organization Name]]</f>
        <v/>
      </c>
      <c r="Z244" s="67"/>
    </row>
    <row r="245" spans="1:26" ht="30" customHeight="1" x14ac:dyDescent="0.25">
      <c r="A245" s="21"/>
      <c r="B245" s="33"/>
      <c r="C245" s="33"/>
      <c r="D245" s="24"/>
      <c r="E245" s="24"/>
      <c r="F245" s="24"/>
      <c r="G245" s="24"/>
      <c r="H245" s="34"/>
      <c r="I245" s="25"/>
      <c r="J245" s="25"/>
      <c r="K245" s="25"/>
      <c r="L245" s="26"/>
      <c r="M245" s="59" t="str">
        <f>IFERROR(INDEX(Vocab_NameList!$O:$O,MATCH($J245, Vocab_NameList!$M:$M, 0)),"")</f>
        <v/>
      </c>
      <c r="N245" s="29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63" t="str">
        <f>Table2[[#This Row],[Governorate
(Select from Dropdown)]]&amp;Table2[[#This Row],[Neighborhood
(Select from Dropdown)]]&amp;Table2[[#This Row],[Organization Name]]</f>
        <v/>
      </c>
      <c r="Z245" s="67"/>
    </row>
    <row r="246" spans="1:26" ht="30" customHeight="1" x14ac:dyDescent="0.25">
      <c r="A246" s="21"/>
      <c r="B246" s="33"/>
      <c r="C246" s="33"/>
      <c r="D246" s="24"/>
      <c r="E246" s="24"/>
      <c r="F246" s="24"/>
      <c r="G246" s="24"/>
      <c r="H246" s="34"/>
      <c r="I246" s="25"/>
      <c r="J246" s="25"/>
      <c r="K246" s="25"/>
      <c r="L246" s="26"/>
      <c r="M246" s="59" t="str">
        <f>IFERROR(INDEX(Vocab_NameList!$O:$O,MATCH($J246, Vocab_NameList!$M:$M, 0)),"")</f>
        <v/>
      </c>
      <c r="N246" s="29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63" t="str">
        <f>Table2[[#This Row],[Governorate
(Select from Dropdown)]]&amp;Table2[[#This Row],[Neighborhood
(Select from Dropdown)]]&amp;Table2[[#This Row],[Organization Name]]</f>
        <v/>
      </c>
      <c r="Z246" s="67"/>
    </row>
    <row r="247" spans="1:26" ht="30" customHeight="1" x14ac:dyDescent="0.25">
      <c r="A247" s="21"/>
      <c r="B247" s="33"/>
      <c r="C247" s="33"/>
      <c r="D247" s="24"/>
      <c r="E247" s="24"/>
      <c r="F247" s="24"/>
      <c r="G247" s="24"/>
      <c r="H247" s="34"/>
      <c r="I247" s="25"/>
      <c r="J247" s="25"/>
      <c r="K247" s="25"/>
      <c r="L247" s="26"/>
      <c r="M247" s="59" t="str">
        <f>IFERROR(INDEX(Vocab_NameList!$O:$O,MATCH($J247, Vocab_NameList!$M:$M, 0)),"")</f>
        <v/>
      </c>
      <c r="N247" s="29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63" t="str">
        <f>Table2[[#This Row],[Governorate
(Select from Dropdown)]]&amp;Table2[[#This Row],[Neighborhood
(Select from Dropdown)]]&amp;Table2[[#This Row],[Organization Name]]</f>
        <v/>
      </c>
      <c r="Z247" s="67"/>
    </row>
    <row r="248" spans="1:26" ht="30" customHeight="1" x14ac:dyDescent="0.25">
      <c r="A248" s="21"/>
      <c r="B248" s="33"/>
      <c r="C248" s="33"/>
      <c r="D248" s="24"/>
      <c r="E248" s="24"/>
      <c r="F248" s="24"/>
      <c r="G248" s="24"/>
      <c r="H248" s="34"/>
      <c r="I248" s="25"/>
      <c r="J248" s="25"/>
      <c r="K248" s="25"/>
      <c r="L248" s="26"/>
      <c r="M248" s="59" t="str">
        <f>IFERROR(INDEX(Vocab_NameList!$O:$O,MATCH($J248, Vocab_NameList!$M:$M, 0)),"")</f>
        <v/>
      </c>
      <c r="N248" s="29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63" t="str">
        <f>Table2[[#This Row],[Governorate
(Select from Dropdown)]]&amp;Table2[[#This Row],[Neighborhood
(Select from Dropdown)]]&amp;Table2[[#This Row],[Organization Name]]</f>
        <v/>
      </c>
      <c r="Z248" s="67"/>
    </row>
    <row r="249" spans="1:26" ht="30" customHeight="1" x14ac:dyDescent="0.25">
      <c r="A249" s="21"/>
      <c r="B249" s="33"/>
      <c r="C249" s="33"/>
      <c r="D249" s="24"/>
      <c r="E249" s="24"/>
      <c r="F249" s="24"/>
      <c r="G249" s="24"/>
      <c r="H249" s="34"/>
      <c r="I249" s="25"/>
      <c r="J249" s="25"/>
      <c r="K249" s="25"/>
      <c r="L249" s="26"/>
      <c r="M249" s="59" t="str">
        <f>IFERROR(INDEX(Vocab_NameList!$O:$O,MATCH($J249, Vocab_NameList!$M:$M, 0)),"")</f>
        <v/>
      </c>
      <c r="N249" s="29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63" t="str">
        <f>Table2[[#This Row],[Governorate
(Select from Dropdown)]]&amp;Table2[[#This Row],[Neighborhood
(Select from Dropdown)]]&amp;Table2[[#This Row],[Organization Name]]</f>
        <v/>
      </c>
      <c r="Z249" s="67"/>
    </row>
    <row r="250" spans="1:26" ht="30" customHeight="1" x14ac:dyDescent="0.25">
      <c r="A250" s="21"/>
      <c r="B250" s="33"/>
      <c r="C250" s="33"/>
      <c r="D250" s="24"/>
      <c r="E250" s="24"/>
      <c r="F250" s="24"/>
      <c r="G250" s="24"/>
      <c r="H250" s="34"/>
      <c r="I250" s="25"/>
      <c r="J250" s="25"/>
      <c r="K250" s="25"/>
      <c r="L250" s="26"/>
      <c r="M250" s="59" t="str">
        <f>IFERROR(INDEX(Vocab_NameList!$O:$O,MATCH($J250, Vocab_NameList!$M:$M, 0)),"")</f>
        <v/>
      </c>
      <c r="N250" s="29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63" t="str">
        <f>Table2[[#This Row],[Governorate
(Select from Dropdown)]]&amp;Table2[[#This Row],[Neighborhood
(Select from Dropdown)]]&amp;Table2[[#This Row],[Organization Name]]</f>
        <v/>
      </c>
      <c r="Z250" s="67"/>
    </row>
    <row r="251" spans="1:26" ht="30" customHeight="1" x14ac:dyDescent="0.25">
      <c r="A251" s="21"/>
      <c r="B251" s="33"/>
      <c r="C251" s="33"/>
      <c r="D251" s="24"/>
      <c r="E251" s="24"/>
      <c r="F251" s="24"/>
      <c r="G251" s="24"/>
      <c r="H251" s="34"/>
      <c r="I251" s="25"/>
      <c r="J251" s="25"/>
      <c r="K251" s="25"/>
      <c r="L251" s="26"/>
      <c r="M251" s="59" t="str">
        <f>IFERROR(INDEX(Vocab_NameList!$O:$O,MATCH($J251, Vocab_NameList!$M:$M, 0)),"")</f>
        <v/>
      </c>
      <c r="N251" s="29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63" t="str">
        <f>Table2[[#This Row],[Governorate
(Select from Dropdown)]]&amp;Table2[[#This Row],[Neighborhood
(Select from Dropdown)]]&amp;Table2[[#This Row],[Organization Name]]</f>
        <v/>
      </c>
      <c r="Z251" s="67"/>
    </row>
    <row r="252" spans="1:26" ht="30" customHeight="1" x14ac:dyDescent="0.25">
      <c r="A252" s="21"/>
      <c r="B252" s="33"/>
      <c r="C252" s="33"/>
      <c r="D252" s="24"/>
      <c r="E252" s="24"/>
      <c r="F252" s="24"/>
      <c r="G252" s="24"/>
      <c r="H252" s="34"/>
      <c r="I252" s="25"/>
      <c r="J252" s="25"/>
      <c r="K252" s="25"/>
      <c r="L252" s="26"/>
      <c r="M252" s="59" t="str">
        <f>IFERROR(INDEX(Vocab_NameList!$O:$O,MATCH($J252, Vocab_NameList!$M:$M, 0)),"")</f>
        <v/>
      </c>
      <c r="N252" s="29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63" t="str">
        <f>Table2[[#This Row],[Governorate
(Select from Dropdown)]]&amp;Table2[[#This Row],[Neighborhood
(Select from Dropdown)]]&amp;Table2[[#This Row],[Organization Name]]</f>
        <v/>
      </c>
      <c r="Z252" s="67"/>
    </row>
    <row r="253" spans="1:26" ht="30" customHeight="1" x14ac:dyDescent="0.25">
      <c r="A253" s="21"/>
      <c r="B253" s="33"/>
      <c r="C253" s="33"/>
      <c r="D253" s="24"/>
      <c r="E253" s="24"/>
      <c r="F253" s="24"/>
      <c r="G253" s="24"/>
      <c r="H253" s="34"/>
      <c r="I253" s="25"/>
      <c r="J253" s="25"/>
      <c r="K253" s="25"/>
      <c r="L253" s="26"/>
      <c r="M253" s="59" t="str">
        <f>IFERROR(INDEX(Vocab_NameList!$O:$O,MATCH($J253, Vocab_NameList!$M:$M, 0)),"")</f>
        <v/>
      </c>
      <c r="N253" s="29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63" t="str">
        <f>Table2[[#This Row],[Governorate
(Select from Dropdown)]]&amp;Table2[[#This Row],[Neighborhood
(Select from Dropdown)]]&amp;Table2[[#This Row],[Organization Name]]</f>
        <v/>
      </c>
      <c r="Z253" s="67"/>
    </row>
    <row r="254" spans="1:26" ht="30" customHeight="1" x14ac:dyDescent="0.25">
      <c r="A254" s="21"/>
      <c r="B254" s="33"/>
      <c r="C254" s="33"/>
      <c r="D254" s="24"/>
      <c r="E254" s="24"/>
      <c r="F254" s="24"/>
      <c r="G254" s="24"/>
      <c r="H254" s="34"/>
      <c r="I254" s="25"/>
      <c r="J254" s="25"/>
      <c r="K254" s="25"/>
      <c r="L254" s="26"/>
      <c r="M254" s="59" t="str">
        <f>IFERROR(INDEX(Vocab_NameList!$O:$O,MATCH($J254, Vocab_NameList!$M:$M, 0)),"")</f>
        <v/>
      </c>
      <c r="N254" s="29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63" t="str">
        <f>Table2[[#This Row],[Governorate
(Select from Dropdown)]]&amp;Table2[[#This Row],[Neighborhood
(Select from Dropdown)]]&amp;Table2[[#This Row],[Organization Name]]</f>
        <v/>
      </c>
      <c r="Z254" s="67"/>
    </row>
    <row r="255" spans="1:26" ht="30" customHeight="1" x14ac:dyDescent="0.25">
      <c r="A255" s="21"/>
      <c r="B255" s="33"/>
      <c r="C255" s="33"/>
      <c r="D255" s="24"/>
      <c r="E255" s="24"/>
      <c r="F255" s="24"/>
      <c r="G255" s="24"/>
      <c r="H255" s="34"/>
      <c r="I255" s="25"/>
      <c r="J255" s="25"/>
      <c r="K255" s="25"/>
      <c r="L255" s="26"/>
      <c r="M255" s="59" t="str">
        <f>IFERROR(INDEX(Vocab_NameList!$O:$O,MATCH($J255, Vocab_NameList!$M:$M, 0)),"")</f>
        <v/>
      </c>
      <c r="N255" s="29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63" t="str">
        <f>Table2[[#This Row],[Governorate
(Select from Dropdown)]]&amp;Table2[[#This Row],[Neighborhood
(Select from Dropdown)]]&amp;Table2[[#This Row],[Organization Name]]</f>
        <v/>
      </c>
      <c r="Z255" s="67"/>
    </row>
    <row r="256" spans="1:26" ht="30" customHeight="1" x14ac:dyDescent="0.25">
      <c r="A256" s="21"/>
      <c r="B256" s="33"/>
      <c r="C256" s="33"/>
      <c r="D256" s="24"/>
      <c r="E256" s="24"/>
      <c r="F256" s="24"/>
      <c r="G256" s="24"/>
      <c r="H256" s="34"/>
      <c r="I256" s="25"/>
      <c r="J256" s="25"/>
      <c r="K256" s="25"/>
      <c r="L256" s="26"/>
      <c r="M256" s="59" t="str">
        <f>IFERROR(INDEX(Vocab_NameList!$O:$O,MATCH($J256, Vocab_NameList!$M:$M, 0)),"")</f>
        <v/>
      </c>
      <c r="N256" s="29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63" t="str">
        <f>Table2[[#This Row],[Governorate
(Select from Dropdown)]]&amp;Table2[[#This Row],[Neighborhood
(Select from Dropdown)]]&amp;Table2[[#This Row],[Organization Name]]</f>
        <v/>
      </c>
      <c r="Z256" s="67"/>
    </row>
    <row r="257" spans="1:26" ht="30" customHeight="1" x14ac:dyDescent="0.25">
      <c r="A257" s="21"/>
      <c r="B257" s="33"/>
      <c r="C257" s="33"/>
      <c r="D257" s="24"/>
      <c r="E257" s="24"/>
      <c r="F257" s="24"/>
      <c r="G257" s="24"/>
      <c r="H257" s="34"/>
      <c r="I257" s="25"/>
      <c r="J257" s="25"/>
      <c r="K257" s="25"/>
      <c r="L257" s="26"/>
      <c r="M257" s="59" t="str">
        <f>IFERROR(INDEX(Vocab_NameList!$O:$O,MATCH($J257, Vocab_NameList!$M:$M, 0)),"")</f>
        <v/>
      </c>
      <c r="N257" s="29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63" t="str">
        <f>Table2[[#This Row],[Governorate
(Select from Dropdown)]]&amp;Table2[[#This Row],[Neighborhood
(Select from Dropdown)]]&amp;Table2[[#This Row],[Organization Name]]</f>
        <v/>
      </c>
      <c r="Z257" s="67"/>
    </row>
    <row r="258" spans="1:26" ht="30" customHeight="1" x14ac:dyDescent="0.25">
      <c r="A258" s="21"/>
      <c r="B258" s="33"/>
      <c r="C258" s="33"/>
      <c r="D258" s="24"/>
      <c r="E258" s="24"/>
      <c r="F258" s="24"/>
      <c r="G258" s="24"/>
      <c r="H258" s="34"/>
      <c r="I258" s="25"/>
      <c r="J258" s="25"/>
      <c r="K258" s="25"/>
      <c r="L258" s="26"/>
      <c r="M258" s="59" t="str">
        <f>IFERROR(INDEX(Vocab_NameList!$O:$O,MATCH($J258, Vocab_NameList!$M:$M, 0)),"")</f>
        <v/>
      </c>
      <c r="N258" s="29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63" t="str">
        <f>Table2[[#This Row],[Governorate
(Select from Dropdown)]]&amp;Table2[[#This Row],[Neighborhood
(Select from Dropdown)]]&amp;Table2[[#This Row],[Organization Name]]</f>
        <v/>
      </c>
      <c r="Z258" s="67"/>
    </row>
    <row r="259" spans="1:26" ht="30" customHeight="1" x14ac:dyDescent="0.25">
      <c r="A259" s="21"/>
      <c r="B259" s="33"/>
      <c r="C259" s="33"/>
      <c r="D259" s="24"/>
      <c r="E259" s="24"/>
      <c r="F259" s="24"/>
      <c r="G259" s="24"/>
      <c r="H259" s="34"/>
      <c r="I259" s="25"/>
      <c r="J259" s="25"/>
      <c r="K259" s="25"/>
      <c r="L259" s="26"/>
      <c r="M259" s="59" t="str">
        <f>IFERROR(INDEX(Vocab_NameList!$O:$O,MATCH($J259, Vocab_NameList!$M:$M, 0)),"")</f>
        <v/>
      </c>
      <c r="N259" s="29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63" t="str">
        <f>Table2[[#This Row],[Governorate
(Select from Dropdown)]]&amp;Table2[[#This Row],[Neighborhood
(Select from Dropdown)]]&amp;Table2[[#This Row],[Organization Name]]</f>
        <v/>
      </c>
      <c r="Z259" s="67"/>
    </row>
    <row r="260" spans="1:26" ht="30" customHeight="1" x14ac:dyDescent="0.25">
      <c r="A260" s="21"/>
      <c r="B260" s="33"/>
      <c r="C260" s="33"/>
      <c r="D260" s="24"/>
      <c r="E260" s="24"/>
      <c r="F260" s="24"/>
      <c r="G260" s="24"/>
      <c r="H260" s="34"/>
      <c r="I260" s="25"/>
      <c r="J260" s="25"/>
      <c r="K260" s="25"/>
      <c r="L260" s="26"/>
      <c r="M260" s="59" t="str">
        <f>IFERROR(INDEX(Vocab_NameList!$O:$O,MATCH($J260, Vocab_NameList!$M:$M, 0)),"")</f>
        <v/>
      </c>
      <c r="N260" s="29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63" t="str">
        <f>Table2[[#This Row],[Governorate
(Select from Dropdown)]]&amp;Table2[[#This Row],[Neighborhood
(Select from Dropdown)]]&amp;Table2[[#This Row],[Organization Name]]</f>
        <v/>
      </c>
      <c r="Z260" s="67"/>
    </row>
    <row r="261" spans="1:26" ht="30" customHeight="1" x14ac:dyDescent="0.25">
      <c r="A261" s="21"/>
      <c r="B261" s="33"/>
      <c r="C261" s="33"/>
      <c r="D261" s="24"/>
      <c r="E261" s="24"/>
      <c r="F261" s="24"/>
      <c r="G261" s="24"/>
      <c r="H261" s="34"/>
      <c r="I261" s="25"/>
      <c r="J261" s="25"/>
      <c r="K261" s="25"/>
      <c r="L261" s="26"/>
      <c r="M261" s="59" t="str">
        <f>IFERROR(INDEX(Vocab_NameList!$O:$O,MATCH($J261, Vocab_NameList!$M:$M, 0)),"")</f>
        <v/>
      </c>
      <c r="N261" s="29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63" t="str">
        <f>Table2[[#This Row],[Governorate
(Select from Dropdown)]]&amp;Table2[[#This Row],[Neighborhood
(Select from Dropdown)]]&amp;Table2[[#This Row],[Organization Name]]</f>
        <v/>
      </c>
      <c r="Z261" s="67"/>
    </row>
    <row r="262" spans="1:26" ht="30" customHeight="1" x14ac:dyDescent="0.25">
      <c r="A262" s="21"/>
      <c r="B262" s="33"/>
      <c r="C262" s="33"/>
      <c r="D262" s="24"/>
      <c r="E262" s="24"/>
      <c r="F262" s="24"/>
      <c r="G262" s="24"/>
      <c r="H262" s="34"/>
      <c r="I262" s="25"/>
      <c r="J262" s="25"/>
      <c r="K262" s="25"/>
      <c r="L262" s="26"/>
      <c r="M262" s="59" t="str">
        <f>IFERROR(INDEX(Vocab_NameList!$O:$O,MATCH($J262, Vocab_NameList!$M:$M, 0)),"")</f>
        <v/>
      </c>
      <c r="N262" s="29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63" t="str">
        <f>Table2[[#This Row],[Governorate
(Select from Dropdown)]]&amp;Table2[[#This Row],[Neighborhood
(Select from Dropdown)]]&amp;Table2[[#This Row],[Organization Name]]</f>
        <v/>
      </c>
      <c r="Z262" s="67"/>
    </row>
    <row r="263" spans="1:26" ht="30" customHeight="1" x14ac:dyDescent="0.25">
      <c r="A263" s="21"/>
      <c r="B263" s="33"/>
      <c r="C263" s="33"/>
      <c r="D263" s="24"/>
      <c r="E263" s="24"/>
      <c r="F263" s="24"/>
      <c r="G263" s="24"/>
      <c r="H263" s="34"/>
      <c r="I263" s="25"/>
      <c r="J263" s="25"/>
      <c r="K263" s="25"/>
      <c r="L263" s="26"/>
      <c r="M263" s="59" t="str">
        <f>IFERROR(INDEX(Vocab_NameList!$O:$O,MATCH($J263, Vocab_NameList!$M:$M, 0)),"")</f>
        <v/>
      </c>
      <c r="N263" s="29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63" t="str">
        <f>Table2[[#This Row],[Governorate
(Select from Dropdown)]]&amp;Table2[[#This Row],[Neighborhood
(Select from Dropdown)]]&amp;Table2[[#This Row],[Organization Name]]</f>
        <v/>
      </c>
      <c r="Z263" s="67"/>
    </row>
    <row r="264" spans="1:26" ht="30" customHeight="1" x14ac:dyDescent="0.25">
      <c r="A264" s="21"/>
      <c r="B264" s="33"/>
      <c r="C264" s="33"/>
      <c r="D264" s="24"/>
      <c r="E264" s="24"/>
      <c r="F264" s="24"/>
      <c r="G264" s="24"/>
      <c r="H264" s="34"/>
      <c r="I264" s="25"/>
      <c r="J264" s="25"/>
      <c r="K264" s="25"/>
      <c r="L264" s="26"/>
      <c r="M264" s="59" t="str">
        <f>IFERROR(INDEX(Vocab_NameList!$O:$O,MATCH($J264, Vocab_NameList!$M:$M, 0)),"")</f>
        <v/>
      </c>
      <c r="N264" s="29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63" t="str">
        <f>Table2[[#This Row],[Governorate
(Select from Dropdown)]]&amp;Table2[[#This Row],[Neighborhood
(Select from Dropdown)]]&amp;Table2[[#This Row],[Organization Name]]</f>
        <v/>
      </c>
      <c r="Z264" s="67"/>
    </row>
    <row r="265" spans="1:26" ht="30" customHeight="1" x14ac:dyDescent="0.25">
      <c r="A265" s="21"/>
      <c r="B265" s="33"/>
      <c r="C265" s="33"/>
      <c r="D265" s="24"/>
      <c r="E265" s="24"/>
      <c r="F265" s="24"/>
      <c r="G265" s="24"/>
      <c r="H265" s="34"/>
      <c r="I265" s="25"/>
      <c r="J265" s="25"/>
      <c r="K265" s="25"/>
      <c r="L265" s="26"/>
      <c r="M265" s="59" t="str">
        <f>IFERROR(INDEX(Vocab_NameList!$O:$O,MATCH($J265, Vocab_NameList!$M:$M, 0)),"")</f>
        <v/>
      </c>
      <c r="N265" s="29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63" t="str">
        <f>Table2[[#This Row],[Governorate
(Select from Dropdown)]]&amp;Table2[[#This Row],[Neighborhood
(Select from Dropdown)]]&amp;Table2[[#This Row],[Organization Name]]</f>
        <v/>
      </c>
      <c r="Z265" s="67"/>
    </row>
    <row r="266" spans="1:26" ht="30" customHeight="1" x14ac:dyDescent="0.25">
      <c r="A266" s="21"/>
      <c r="B266" s="33"/>
      <c r="C266" s="33"/>
      <c r="D266" s="24"/>
      <c r="E266" s="24"/>
      <c r="F266" s="24"/>
      <c r="G266" s="24"/>
      <c r="H266" s="34"/>
      <c r="I266" s="25"/>
      <c r="J266" s="25"/>
      <c r="K266" s="25"/>
      <c r="L266" s="26"/>
      <c r="M266" s="59" t="str">
        <f>IFERROR(INDEX(Vocab_NameList!$O:$O,MATCH($J266, Vocab_NameList!$M:$M, 0)),"")</f>
        <v/>
      </c>
      <c r="N266" s="29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63" t="str">
        <f>Table2[[#This Row],[Governorate
(Select from Dropdown)]]&amp;Table2[[#This Row],[Neighborhood
(Select from Dropdown)]]&amp;Table2[[#This Row],[Organization Name]]</f>
        <v/>
      </c>
      <c r="Z266" s="67"/>
    </row>
    <row r="267" spans="1:26" ht="30" customHeight="1" x14ac:dyDescent="0.25">
      <c r="A267" s="21"/>
      <c r="B267" s="33"/>
      <c r="C267" s="33"/>
      <c r="D267" s="24"/>
      <c r="E267" s="24"/>
      <c r="F267" s="24"/>
      <c r="G267" s="24"/>
      <c r="H267" s="34"/>
      <c r="I267" s="25"/>
      <c r="J267" s="25"/>
      <c r="K267" s="25"/>
      <c r="L267" s="26"/>
      <c r="M267" s="59" t="str">
        <f>IFERROR(INDEX(Vocab_NameList!$O:$O,MATCH($J267, Vocab_NameList!$M:$M, 0)),"")</f>
        <v/>
      </c>
      <c r="N267" s="29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63" t="str">
        <f>Table2[[#This Row],[Governorate
(Select from Dropdown)]]&amp;Table2[[#This Row],[Neighborhood
(Select from Dropdown)]]&amp;Table2[[#This Row],[Organization Name]]</f>
        <v/>
      </c>
      <c r="Z267" s="67"/>
    </row>
    <row r="268" spans="1:26" ht="30" customHeight="1" x14ac:dyDescent="0.25">
      <c r="A268" s="21"/>
      <c r="B268" s="33"/>
      <c r="C268" s="33"/>
      <c r="D268" s="24"/>
      <c r="E268" s="24"/>
      <c r="F268" s="24"/>
      <c r="G268" s="24"/>
      <c r="H268" s="34"/>
      <c r="I268" s="25"/>
      <c r="J268" s="25"/>
      <c r="K268" s="25"/>
      <c r="L268" s="26"/>
      <c r="M268" s="59" t="str">
        <f>IFERROR(INDEX(Vocab_NameList!$O:$O,MATCH($J268, Vocab_NameList!$M:$M, 0)),"")</f>
        <v/>
      </c>
      <c r="N268" s="29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63" t="str">
        <f>Table2[[#This Row],[Governorate
(Select from Dropdown)]]&amp;Table2[[#This Row],[Neighborhood
(Select from Dropdown)]]&amp;Table2[[#This Row],[Organization Name]]</f>
        <v/>
      </c>
      <c r="Z268" s="67"/>
    </row>
    <row r="269" spans="1:26" ht="30" customHeight="1" x14ac:dyDescent="0.25">
      <c r="A269" s="21"/>
      <c r="B269" s="33"/>
      <c r="C269" s="33"/>
      <c r="D269" s="24"/>
      <c r="E269" s="24"/>
      <c r="F269" s="24"/>
      <c r="G269" s="24"/>
      <c r="H269" s="34"/>
      <c r="I269" s="25"/>
      <c r="J269" s="25"/>
      <c r="K269" s="25"/>
      <c r="L269" s="26"/>
      <c r="M269" s="59" t="str">
        <f>IFERROR(INDEX(Vocab_NameList!$O:$O,MATCH($J269, Vocab_NameList!$M:$M, 0)),"")</f>
        <v/>
      </c>
      <c r="N269" s="29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63" t="str">
        <f>Table2[[#This Row],[Governorate
(Select from Dropdown)]]&amp;Table2[[#This Row],[Neighborhood
(Select from Dropdown)]]&amp;Table2[[#This Row],[Organization Name]]</f>
        <v/>
      </c>
      <c r="Z269" s="67"/>
    </row>
    <row r="270" spans="1:26" ht="30" customHeight="1" x14ac:dyDescent="0.25">
      <c r="A270" s="21"/>
      <c r="B270" s="33"/>
      <c r="C270" s="33"/>
      <c r="D270" s="24"/>
      <c r="E270" s="24"/>
      <c r="F270" s="24"/>
      <c r="G270" s="24"/>
      <c r="H270" s="34"/>
      <c r="I270" s="25"/>
      <c r="J270" s="25"/>
      <c r="K270" s="25"/>
      <c r="L270" s="26"/>
      <c r="M270" s="59" t="str">
        <f>IFERROR(INDEX(Vocab_NameList!$O:$O,MATCH($J270, Vocab_NameList!$M:$M, 0)),"")</f>
        <v/>
      </c>
      <c r="N270" s="29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63" t="str">
        <f>Table2[[#This Row],[Governorate
(Select from Dropdown)]]&amp;Table2[[#This Row],[Neighborhood
(Select from Dropdown)]]&amp;Table2[[#This Row],[Organization Name]]</f>
        <v/>
      </c>
      <c r="Z270" s="67"/>
    </row>
    <row r="271" spans="1:26" ht="30" customHeight="1" x14ac:dyDescent="0.25">
      <c r="A271" s="21"/>
      <c r="B271" s="33"/>
      <c r="C271" s="33"/>
      <c r="D271" s="24"/>
      <c r="E271" s="24"/>
      <c r="F271" s="24"/>
      <c r="G271" s="24"/>
      <c r="H271" s="34"/>
      <c r="I271" s="25"/>
      <c r="J271" s="25"/>
      <c r="K271" s="25"/>
      <c r="L271" s="26"/>
      <c r="M271" s="59" t="str">
        <f>IFERROR(INDEX(Vocab_NameList!$O:$O,MATCH($J271, Vocab_NameList!$M:$M, 0)),"")</f>
        <v/>
      </c>
      <c r="N271" s="29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63" t="str">
        <f>Table2[[#This Row],[Governorate
(Select from Dropdown)]]&amp;Table2[[#This Row],[Neighborhood
(Select from Dropdown)]]&amp;Table2[[#This Row],[Organization Name]]</f>
        <v/>
      </c>
      <c r="Z271" s="67"/>
    </row>
    <row r="272" spans="1:26" ht="30" customHeight="1" x14ac:dyDescent="0.25">
      <c r="A272" s="21"/>
      <c r="B272" s="33"/>
      <c r="C272" s="33"/>
      <c r="D272" s="24"/>
      <c r="E272" s="24"/>
      <c r="F272" s="24"/>
      <c r="G272" s="24"/>
      <c r="H272" s="34"/>
      <c r="I272" s="25"/>
      <c r="J272" s="25"/>
      <c r="K272" s="25"/>
      <c r="L272" s="26"/>
      <c r="M272" s="59" t="str">
        <f>IFERROR(INDEX(Vocab_NameList!$O:$O,MATCH($J272, Vocab_NameList!$M:$M, 0)),"")</f>
        <v/>
      </c>
      <c r="N272" s="29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63" t="str">
        <f>Table2[[#This Row],[Governorate
(Select from Dropdown)]]&amp;Table2[[#This Row],[Neighborhood
(Select from Dropdown)]]&amp;Table2[[#This Row],[Organization Name]]</f>
        <v/>
      </c>
      <c r="Z272" s="67"/>
    </row>
    <row r="273" spans="1:26" ht="30" customHeight="1" x14ac:dyDescent="0.25">
      <c r="A273" s="21"/>
      <c r="B273" s="33"/>
      <c r="C273" s="33"/>
      <c r="D273" s="24"/>
      <c r="E273" s="24"/>
      <c r="F273" s="24"/>
      <c r="G273" s="24"/>
      <c r="H273" s="34"/>
      <c r="I273" s="25"/>
      <c r="J273" s="25"/>
      <c r="K273" s="25"/>
      <c r="L273" s="26"/>
      <c r="M273" s="59" t="str">
        <f>IFERROR(INDEX(Vocab_NameList!$O:$O,MATCH($J273, Vocab_NameList!$M:$M, 0)),"")</f>
        <v/>
      </c>
      <c r="N273" s="29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63" t="str">
        <f>Table2[[#This Row],[Governorate
(Select from Dropdown)]]&amp;Table2[[#This Row],[Neighborhood
(Select from Dropdown)]]&amp;Table2[[#This Row],[Organization Name]]</f>
        <v/>
      </c>
      <c r="Z273" s="67"/>
    </row>
    <row r="274" spans="1:26" ht="30" customHeight="1" x14ac:dyDescent="0.25">
      <c r="A274" s="21"/>
      <c r="B274" s="33"/>
      <c r="C274" s="33"/>
      <c r="D274" s="24"/>
      <c r="E274" s="24"/>
      <c r="F274" s="24"/>
      <c r="G274" s="24"/>
      <c r="H274" s="34"/>
      <c r="I274" s="25"/>
      <c r="J274" s="25"/>
      <c r="K274" s="25"/>
      <c r="L274" s="26"/>
      <c r="M274" s="59" t="str">
        <f>IFERROR(INDEX(Vocab_NameList!$O:$O,MATCH($J274, Vocab_NameList!$M:$M, 0)),"")</f>
        <v/>
      </c>
      <c r="N274" s="29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63" t="str">
        <f>Table2[[#This Row],[Governorate
(Select from Dropdown)]]&amp;Table2[[#This Row],[Neighborhood
(Select from Dropdown)]]&amp;Table2[[#This Row],[Organization Name]]</f>
        <v/>
      </c>
      <c r="Z274" s="67"/>
    </row>
    <row r="275" spans="1:26" ht="30" customHeight="1" x14ac:dyDescent="0.25">
      <c r="A275" s="21"/>
      <c r="B275" s="33"/>
      <c r="C275" s="33"/>
      <c r="D275" s="24"/>
      <c r="E275" s="24"/>
      <c r="F275" s="24"/>
      <c r="G275" s="24"/>
      <c r="H275" s="34"/>
      <c r="I275" s="25"/>
      <c r="J275" s="25"/>
      <c r="K275" s="25"/>
      <c r="L275" s="26"/>
      <c r="M275" s="59" t="str">
        <f>IFERROR(INDEX(Vocab_NameList!$O:$O,MATCH($J275, Vocab_NameList!$M:$M, 0)),"")</f>
        <v/>
      </c>
      <c r="N275" s="29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63" t="str">
        <f>Table2[[#This Row],[Governorate
(Select from Dropdown)]]&amp;Table2[[#This Row],[Neighborhood
(Select from Dropdown)]]&amp;Table2[[#This Row],[Organization Name]]</f>
        <v/>
      </c>
      <c r="Z275" s="67"/>
    </row>
    <row r="276" spans="1:26" ht="30" customHeight="1" x14ac:dyDescent="0.25">
      <c r="A276" s="21"/>
      <c r="B276" s="33"/>
      <c r="C276" s="33"/>
      <c r="D276" s="24"/>
      <c r="E276" s="24"/>
      <c r="F276" s="24"/>
      <c r="G276" s="24"/>
      <c r="H276" s="34"/>
      <c r="I276" s="25"/>
      <c r="J276" s="25"/>
      <c r="K276" s="25"/>
      <c r="L276" s="26"/>
      <c r="M276" s="59" t="str">
        <f>IFERROR(INDEX(Vocab_NameList!$O:$O,MATCH($J276, Vocab_NameList!$M:$M, 0)),"")</f>
        <v/>
      </c>
      <c r="N276" s="29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63" t="str">
        <f>Table2[[#This Row],[Governorate
(Select from Dropdown)]]&amp;Table2[[#This Row],[Neighborhood
(Select from Dropdown)]]&amp;Table2[[#This Row],[Organization Name]]</f>
        <v/>
      </c>
      <c r="Z276" s="67"/>
    </row>
    <row r="277" spans="1:26" ht="30" customHeight="1" x14ac:dyDescent="0.25">
      <c r="A277" s="21"/>
      <c r="B277" s="33"/>
      <c r="C277" s="33"/>
      <c r="D277" s="24"/>
      <c r="E277" s="24"/>
      <c r="F277" s="24"/>
      <c r="G277" s="24"/>
      <c r="H277" s="34"/>
      <c r="I277" s="25"/>
      <c r="J277" s="25"/>
      <c r="K277" s="25"/>
      <c r="L277" s="26"/>
      <c r="M277" s="59" t="str">
        <f>IFERROR(INDEX(Vocab_NameList!$O:$O,MATCH($J277, Vocab_NameList!$M:$M, 0)),"")</f>
        <v/>
      </c>
      <c r="N277" s="29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63" t="str">
        <f>Table2[[#This Row],[Governorate
(Select from Dropdown)]]&amp;Table2[[#This Row],[Neighborhood
(Select from Dropdown)]]&amp;Table2[[#This Row],[Organization Name]]</f>
        <v/>
      </c>
      <c r="Z277" s="67"/>
    </row>
    <row r="278" spans="1:26" ht="30" customHeight="1" x14ac:dyDescent="0.25">
      <c r="A278" s="21"/>
      <c r="B278" s="33"/>
      <c r="C278" s="33"/>
      <c r="D278" s="24"/>
      <c r="E278" s="24"/>
      <c r="F278" s="24"/>
      <c r="G278" s="24"/>
      <c r="H278" s="34"/>
      <c r="I278" s="25"/>
      <c r="J278" s="25"/>
      <c r="K278" s="25"/>
      <c r="L278" s="26"/>
      <c r="M278" s="59" t="str">
        <f>IFERROR(INDEX(Vocab_NameList!$O:$O,MATCH($J278, Vocab_NameList!$M:$M, 0)),"")</f>
        <v/>
      </c>
      <c r="N278" s="29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63" t="str">
        <f>Table2[[#This Row],[Governorate
(Select from Dropdown)]]&amp;Table2[[#This Row],[Neighborhood
(Select from Dropdown)]]&amp;Table2[[#This Row],[Organization Name]]</f>
        <v/>
      </c>
      <c r="Z278" s="67"/>
    </row>
    <row r="279" spans="1:26" ht="30" customHeight="1" x14ac:dyDescent="0.25">
      <c r="A279" s="21"/>
      <c r="B279" s="33"/>
      <c r="C279" s="33"/>
      <c r="D279" s="24"/>
      <c r="E279" s="24"/>
      <c r="F279" s="24"/>
      <c r="G279" s="24"/>
      <c r="H279" s="34"/>
      <c r="I279" s="25"/>
      <c r="J279" s="25"/>
      <c r="K279" s="25"/>
      <c r="L279" s="26"/>
      <c r="M279" s="59" t="str">
        <f>IFERROR(INDEX(Vocab_NameList!$O:$O,MATCH($J279, Vocab_NameList!$M:$M, 0)),"")</f>
        <v/>
      </c>
      <c r="N279" s="29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63" t="str">
        <f>Table2[[#This Row],[Governorate
(Select from Dropdown)]]&amp;Table2[[#This Row],[Neighborhood
(Select from Dropdown)]]&amp;Table2[[#This Row],[Organization Name]]</f>
        <v/>
      </c>
      <c r="Z279" s="67"/>
    </row>
    <row r="280" spans="1:26" ht="30" customHeight="1" x14ac:dyDescent="0.25">
      <c r="A280" s="21"/>
      <c r="B280" s="33"/>
      <c r="C280" s="33"/>
      <c r="D280" s="24"/>
      <c r="E280" s="24"/>
      <c r="F280" s="24"/>
      <c r="G280" s="24"/>
      <c r="H280" s="34"/>
      <c r="I280" s="25"/>
      <c r="J280" s="25"/>
      <c r="K280" s="25"/>
      <c r="L280" s="26"/>
      <c r="M280" s="59" t="str">
        <f>IFERROR(INDEX(Vocab_NameList!$O:$O,MATCH($J280, Vocab_NameList!$M:$M, 0)),"")</f>
        <v/>
      </c>
      <c r="N280" s="29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63" t="str">
        <f>Table2[[#This Row],[Governorate
(Select from Dropdown)]]&amp;Table2[[#This Row],[Neighborhood
(Select from Dropdown)]]&amp;Table2[[#This Row],[Organization Name]]</f>
        <v/>
      </c>
      <c r="Z280" s="67"/>
    </row>
    <row r="281" spans="1:26" ht="30" customHeight="1" x14ac:dyDescent="0.25">
      <c r="A281" s="21"/>
      <c r="B281" s="33"/>
      <c r="C281" s="33"/>
      <c r="D281" s="24"/>
      <c r="E281" s="24"/>
      <c r="F281" s="24"/>
      <c r="G281" s="24"/>
      <c r="H281" s="34"/>
      <c r="I281" s="25"/>
      <c r="J281" s="25"/>
      <c r="K281" s="25"/>
      <c r="L281" s="26"/>
      <c r="M281" s="59" t="str">
        <f>IFERROR(INDEX(Vocab_NameList!$O:$O,MATCH($J281, Vocab_NameList!$M:$M, 0)),"")</f>
        <v/>
      </c>
      <c r="N281" s="29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63" t="str">
        <f>Table2[[#This Row],[Governorate
(Select from Dropdown)]]&amp;Table2[[#This Row],[Neighborhood
(Select from Dropdown)]]&amp;Table2[[#This Row],[Organization Name]]</f>
        <v/>
      </c>
      <c r="Z281" s="67"/>
    </row>
    <row r="282" spans="1:26" ht="30" customHeight="1" x14ac:dyDescent="0.25">
      <c r="A282" s="21"/>
      <c r="B282" s="33"/>
      <c r="C282" s="33"/>
      <c r="D282" s="24"/>
      <c r="E282" s="24"/>
      <c r="F282" s="24"/>
      <c r="G282" s="24"/>
      <c r="H282" s="34"/>
      <c r="I282" s="25"/>
      <c r="J282" s="25"/>
      <c r="K282" s="25"/>
      <c r="L282" s="26"/>
      <c r="M282" s="59" t="str">
        <f>IFERROR(INDEX(Vocab_NameList!$O:$O,MATCH($J282, Vocab_NameList!$M:$M, 0)),"")</f>
        <v/>
      </c>
      <c r="N282" s="29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63" t="str">
        <f>Table2[[#This Row],[Governorate
(Select from Dropdown)]]&amp;Table2[[#This Row],[Neighborhood
(Select from Dropdown)]]&amp;Table2[[#This Row],[Organization Name]]</f>
        <v/>
      </c>
      <c r="Z282" s="67"/>
    </row>
    <row r="283" spans="1:26" ht="30" customHeight="1" x14ac:dyDescent="0.25">
      <c r="A283" s="21"/>
      <c r="B283" s="33"/>
      <c r="C283" s="33"/>
      <c r="D283" s="24"/>
      <c r="E283" s="24"/>
      <c r="F283" s="24"/>
      <c r="G283" s="24"/>
      <c r="H283" s="34"/>
      <c r="I283" s="25"/>
      <c r="J283" s="25"/>
      <c r="K283" s="25"/>
      <c r="L283" s="26"/>
      <c r="M283" s="59" t="str">
        <f>IFERROR(INDEX(Vocab_NameList!$O:$O,MATCH($J283, Vocab_NameList!$M:$M, 0)),"")</f>
        <v/>
      </c>
      <c r="N283" s="29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63" t="str">
        <f>Table2[[#This Row],[Governorate
(Select from Dropdown)]]&amp;Table2[[#This Row],[Neighborhood
(Select from Dropdown)]]&amp;Table2[[#This Row],[Organization Name]]</f>
        <v/>
      </c>
      <c r="Z283" s="67"/>
    </row>
    <row r="284" spans="1:26" ht="30" customHeight="1" x14ac:dyDescent="0.25">
      <c r="A284" s="21"/>
      <c r="B284" s="33"/>
      <c r="C284" s="33"/>
      <c r="D284" s="24"/>
      <c r="E284" s="24"/>
      <c r="F284" s="24"/>
      <c r="G284" s="24"/>
      <c r="H284" s="34"/>
      <c r="I284" s="25"/>
      <c r="J284" s="25"/>
      <c r="K284" s="25"/>
      <c r="L284" s="26"/>
      <c r="M284" s="59" t="str">
        <f>IFERROR(INDEX(Vocab_NameList!$O:$O,MATCH($J284, Vocab_NameList!$M:$M, 0)),"")</f>
        <v/>
      </c>
      <c r="N284" s="29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63" t="str">
        <f>Table2[[#This Row],[Governorate
(Select from Dropdown)]]&amp;Table2[[#This Row],[Neighborhood
(Select from Dropdown)]]&amp;Table2[[#This Row],[Organization Name]]</f>
        <v/>
      </c>
      <c r="Z284" s="67"/>
    </row>
    <row r="285" spans="1:26" ht="30" customHeight="1" x14ac:dyDescent="0.25">
      <c r="A285" s="21"/>
      <c r="B285" s="33"/>
      <c r="C285" s="33"/>
      <c r="D285" s="24"/>
      <c r="E285" s="24"/>
      <c r="F285" s="24"/>
      <c r="G285" s="24"/>
      <c r="H285" s="34"/>
      <c r="I285" s="25"/>
      <c r="J285" s="25"/>
      <c r="K285" s="25"/>
      <c r="L285" s="26"/>
      <c r="M285" s="59" t="str">
        <f>IFERROR(INDEX(Vocab_NameList!$O:$O,MATCH($J285, Vocab_NameList!$M:$M, 0)),"")</f>
        <v/>
      </c>
      <c r="N285" s="29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63" t="str">
        <f>Table2[[#This Row],[Governorate
(Select from Dropdown)]]&amp;Table2[[#This Row],[Neighborhood
(Select from Dropdown)]]&amp;Table2[[#This Row],[Organization Name]]</f>
        <v/>
      </c>
      <c r="Z285" s="67"/>
    </row>
    <row r="286" spans="1:26" ht="30" customHeight="1" x14ac:dyDescent="0.25">
      <c r="A286" s="21"/>
      <c r="B286" s="33"/>
      <c r="C286" s="33"/>
      <c r="D286" s="24"/>
      <c r="E286" s="24"/>
      <c r="F286" s="24"/>
      <c r="G286" s="24"/>
      <c r="H286" s="34"/>
      <c r="I286" s="25"/>
      <c r="J286" s="25"/>
      <c r="K286" s="25"/>
      <c r="L286" s="26"/>
      <c r="M286" s="59" t="str">
        <f>IFERROR(INDEX(Vocab_NameList!$O:$O,MATCH($J286, Vocab_NameList!$M:$M, 0)),"")</f>
        <v/>
      </c>
      <c r="N286" s="29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63" t="str">
        <f>Table2[[#This Row],[Governorate
(Select from Dropdown)]]&amp;Table2[[#This Row],[Neighborhood
(Select from Dropdown)]]&amp;Table2[[#This Row],[Organization Name]]</f>
        <v/>
      </c>
      <c r="Z286" s="67"/>
    </row>
    <row r="287" spans="1:26" ht="30" customHeight="1" x14ac:dyDescent="0.25">
      <c r="A287" s="21"/>
      <c r="B287" s="33"/>
      <c r="C287" s="33"/>
      <c r="D287" s="24"/>
      <c r="E287" s="24"/>
      <c r="F287" s="24"/>
      <c r="G287" s="24"/>
      <c r="H287" s="34"/>
      <c r="I287" s="25"/>
      <c r="J287" s="25"/>
      <c r="K287" s="25"/>
      <c r="L287" s="26"/>
      <c r="M287" s="59" t="str">
        <f>IFERROR(INDEX(Vocab_NameList!$O:$O,MATCH($J287, Vocab_NameList!$M:$M, 0)),"")</f>
        <v/>
      </c>
      <c r="N287" s="29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63" t="str">
        <f>Table2[[#This Row],[Governorate
(Select from Dropdown)]]&amp;Table2[[#This Row],[Neighborhood
(Select from Dropdown)]]&amp;Table2[[#This Row],[Organization Name]]</f>
        <v/>
      </c>
      <c r="Z287" s="67"/>
    </row>
    <row r="288" spans="1:26" ht="30" customHeight="1" x14ac:dyDescent="0.25">
      <c r="A288" s="21"/>
      <c r="B288" s="33"/>
      <c r="C288" s="33"/>
      <c r="D288" s="24"/>
      <c r="E288" s="24"/>
      <c r="F288" s="24"/>
      <c r="G288" s="24"/>
      <c r="H288" s="34"/>
      <c r="I288" s="25"/>
      <c r="J288" s="25"/>
      <c r="K288" s="25"/>
      <c r="L288" s="26"/>
      <c r="M288" s="59" t="str">
        <f>IFERROR(INDEX(Vocab_NameList!$O:$O,MATCH($J288, Vocab_NameList!$M:$M, 0)),"")</f>
        <v/>
      </c>
      <c r="N288" s="29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63" t="str">
        <f>Table2[[#This Row],[Governorate
(Select from Dropdown)]]&amp;Table2[[#This Row],[Neighborhood
(Select from Dropdown)]]&amp;Table2[[#This Row],[Organization Name]]</f>
        <v/>
      </c>
      <c r="Z288" s="67"/>
    </row>
    <row r="289" spans="1:26" ht="30" customHeight="1" x14ac:dyDescent="0.25">
      <c r="A289" s="21"/>
      <c r="B289" s="33"/>
      <c r="C289" s="33"/>
      <c r="D289" s="24"/>
      <c r="E289" s="24"/>
      <c r="F289" s="24"/>
      <c r="G289" s="24"/>
      <c r="H289" s="34"/>
      <c r="I289" s="25"/>
      <c r="J289" s="25"/>
      <c r="K289" s="25"/>
      <c r="L289" s="26"/>
      <c r="M289" s="59" t="str">
        <f>IFERROR(INDEX(Vocab_NameList!$O:$O,MATCH($J289, Vocab_NameList!$M:$M, 0)),"")</f>
        <v/>
      </c>
      <c r="N289" s="29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63" t="str">
        <f>Table2[[#This Row],[Governorate
(Select from Dropdown)]]&amp;Table2[[#This Row],[Neighborhood
(Select from Dropdown)]]&amp;Table2[[#This Row],[Organization Name]]</f>
        <v/>
      </c>
      <c r="Z289" s="67"/>
    </row>
    <row r="290" spans="1:26" ht="30" customHeight="1" x14ac:dyDescent="0.25">
      <c r="A290" s="21"/>
      <c r="B290" s="33"/>
      <c r="C290" s="33"/>
      <c r="D290" s="24"/>
      <c r="E290" s="24"/>
      <c r="F290" s="24"/>
      <c r="G290" s="24"/>
      <c r="H290" s="34"/>
      <c r="I290" s="25"/>
      <c r="J290" s="25"/>
      <c r="K290" s="25"/>
      <c r="L290" s="26"/>
      <c r="M290" s="59" t="str">
        <f>IFERROR(INDEX(Vocab_NameList!$O:$O,MATCH($J290, Vocab_NameList!$M:$M, 0)),"")</f>
        <v/>
      </c>
      <c r="N290" s="29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63" t="str">
        <f>Table2[[#This Row],[Governorate
(Select from Dropdown)]]&amp;Table2[[#This Row],[Neighborhood
(Select from Dropdown)]]&amp;Table2[[#This Row],[Organization Name]]</f>
        <v/>
      </c>
      <c r="Z290" s="67"/>
    </row>
    <row r="291" spans="1:26" ht="30" customHeight="1" x14ac:dyDescent="0.25">
      <c r="A291" s="21"/>
      <c r="B291" s="33"/>
      <c r="C291" s="33"/>
      <c r="D291" s="24"/>
      <c r="E291" s="24"/>
      <c r="F291" s="24"/>
      <c r="G291" s="24"/>
      <c r="H291" s="34"/>
      <c r="I291" s="25"/>
      <c r="J291" s="25"/>
      <c r="K291" s="25"/>
      <c r="L291" s="26"/>
      <c r="M291" s="59" t="str">
        <f>IFERROR(INDEX(Vocab_NameList!$O:$O,MATCH($J291, Vocab_NameList!$M:$M, 0)),"")</f>
        <v/>
      </c>
      <c r="N291" s="29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63" t="str">
        <f>Table2[[#This Row],[Governorate
(Select from Dropdown)]]&amp;Table2[[#This Row],[Neighborhood
(Select from Dropdown)]]&amp;Table2[[#This Row],[Organization Name]]</f>
        <v/>
      </c>
      <c r="Z291" s="67"/>
    </row>
    <row r="292" spans="1:26" ht="30" customHeight="1" x14ac:dyDescent="0.25">
      <c r="A292" s="21"/>
      <c r="B292" s="33"/>
      <c r="C292" s="33"/>
      <c r="D292" s="24"/>
      <c r="E292" s="24"/>
      <c r="F292" s="24"/>
      <c r="G292" s="24"/>
      <c r="H292" s="34"/>
      <c r="I292" s="25"/>
      <c r="J292" s="25"/>
      <c r="K292" s="25"/>
      <c r="L292" s="26"/>
      <c r="M292" s="59" t="str">
        <f>IFERROR(INDEX(Vocab_NameList!$O:$O,MATCH($J292, Vocab_NameList!$M:$M, 0)),"")</f>
        <v/>
      </c>
      <c r="N292" s="29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63" t="str">
        <f>Table2[[#This Row],[Governorate
(Select from Dropdown)]]&amp;Table2[[#This Row],[Neighborhood
(Select from Dropdown)]]&amp;Table2[[#This Row],[Organization Name]]</f>
        <v/>
      </c>
      <c r="Z292" s="67"/>
    </row>
    <row r="293" spans="1:26" ht="30" customHeight="1" x14ac:dyDescent="0.25">
      <c r="A293" s="21"/>
      <c r="B293" s="33"/>
      <c r="C293" s="33"/>
      <c r="D293" s="24"/>
      <c r="E293" s="24"/>
      <c r="F293" s="24"/>
      <c r="G293" s="24"/>
      <c r="H293" s="34"/>
      <c r="I293" s="25"/>
      <c r="J293" s="25"/>
      <c r="K293" s="25"/>
      <c r="L293" s="26"/>
      <c r="M293" s="59" t="str">
        <f>IFERROR(INDEX(Vocab_NameList!$O:$O,MATCH($J293, Vocab_NameList!$M:$M, 0)),"")</f>
        <v/>
      </c>
      <c r="N293" s="29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63" t="str">
        <f>Table2[[#This Row],[Governorate
(Select from Dropdown)]]&amp;Table2[[#This Row],[Neighborhood
(Select from Dropdown)]]&amp;Table2[[#This Row],[Organization Name]]</f>
        <v/>
      </c>
      <c r="Z293" s="67"/>
    </row>
    <row r="294" spans="1:26" ht="30" customHeight="1" x14ac:dyDescent="0.25">
      <c r="A294" s="21"/>
      <c r="B294" s="33"/>
      <c r="C294" s="33"/>
      <c r="D294" s="24"/>
      <c r="E294" s="24"/>
      <c r="F294" s="24"/>
      <c r="G294" s="24"/>
      <c r="H294" s="34"/>
      <c r="I294" s="25"/>
      <c r="J294" s="25"/>
      <c r="K294" s="25"/>
      <c r="L294" s="26"/>
      <c r="M294" s="59" t="str">
        <f>IFERROR(INDEX(Vocab_NameList!$O:$O,MATCH($J294, Vocab_NameList!$M:$M, 0)),"")</f>
        <v/>
      </c>
      <c r="N294" s="29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63" t="str">
        <f>Table2[[#This Row],[Governorate
(Select from Dropdown)]]&amp;Table2[[#This Row],[Neighborhood
(Select from Dropdown)]]&amp;Table2[[#This Row],[Organization Name]]</f>
        <v/>
      </c>
      <c r="Z294" s="67"/>
    </row>
    <row r="295" spans="1:26" ht="30" customHeight="1" x14ac:dyDescent="0.25">
      <c r="A295" s="21"/>
      <c r="B295" s="33"/>
      <c r="C295" s="33"/>
      <c r="D295" s="24"/>
      <c r="E295" s="24"/>
      <c r="F295" s="24"/>
      <c r="G295" s="24"/>
      <c r="H295" s="34"/>
      <c r="I295" s="25"/>
      <c r="J295" s="25"/>
      <c r="K295" s="25"/>
      <c r="L295" s="26"/>
      <c r="M295" s="59" t="str">
        <f>IFERROR(INDEX(Vocab_NameList!$O:$O,MATCH($J295, Vocab_NameList!$M:$M, 0)),"")</f>
        <v/>
      </c>
      <c r="N295" s="29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63" t="str">
        <f>Table2[[#This Row],[Governorate
(Select from Dropdown)]]&amp;Table2[[#This Row],[Neighborhood
(Select from Dropdown)]]&amp;Table2[[#This Row],[Organization Name]]</f>
        <v/>
      </c>
      <c r="Z295" s="67"/>
    </row>
    <row r="296" spans="1:26" ht="30" customHeight="1" x14ac:dyDescent="0.25">
      <c r="A296" s="21"/>
      <c r="B296" s="33"/>
      <c r="C296" s="33"/>
      <c r="D296" s="24"/>
      <c r="E296" s="24"/>
      <c r="F296" s="24"/>
      <c r="G296" s="24"/>
      <c r="H296" s="34"/>
      <c r="I296" s="25"/>
      <c r="J296" s="25"/>
      <c r="K296" s="25"/>
      <c r="L296" s="26"/>
      <c r="M296" s="59" t="str">
        <f>IFERROR(INDEX(Vocab_NameList!$O:$O,MATCH($J296, Vocab_NameList!$M:$M, 0)),"")</f>
        <v/>
      </c>
      <c r="N296" s="29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63" t="str">
        <f>Table2[[#This Row],[Governorate
(Select from Dropdown)]]&amp;Table2[[#This Row],[Neighborhood
(Select from Dropdown)]]&amp;Table2[[#This Row],[Organization Name]]</f>
        <v/>
      </c>
      <c r="Z296" s="67"/>
    </row>
    <row r="297" spans="1:26" ht="30" customHeight="1" x14ac:dyDescent="0.25">
      <c r="A297" s="21"/>
      <c r="B297" s="33"/>
      <c r="C297" s="33"/>
      <c r="D297" s="24"/>
      <c r="E297" s="24"/>
      <c r="F297" s="24"/>
      <c r="G297" s="24"/>
      <c r="H297" s="34"/>
      <c r="I297" s="25"/>
      <c r="J297" s="25"/>
      <c r="K297" s="25"/>
      <c r="L297" s="26"/>
      <c r="M297" s="59" t="str">
        <f>IFERROR(INDEX(Vocab_NameList!$O:$O,MATCH($J297, Vocab_NameList!$M:$M, 0)),"")</f>
        <v/>
      </c>
      <c r="N297" s="29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63" t="str">
        <f>Table2[[#This Row],[Governorate
(Select from Dropdown)]]&amp;Table2[[#This Row],[Neighborhood
(Select from Dropdown)]]&amp;Table2[[#This Row],[Organization Name]]</f>
        <v/>
      </c>
      <c r="Z297" s="67"/>
    </row>
    <row r="298" spans="1:26" ht="30" customHeight="1" x14ac:dyDescent="0.25">
      <c r="A298" s="21"/>
      <c r="B298" s="33"/>
      <c r="C298" s="33"/>
      <c r="D298" s="24"/>
      <c r="E298" s="24"/>
      <c r="F298" s="24"/>
      <c r="G298" s="24"/>
      <c r="H298" s="34"/>
      <c r="I298" s="25"/>
      <c r="J298" s="25"/>
      <c r="K298" s="25"/>
      <c r="L298" s="26"/>
      <c r="M298" s="59" t="str">
        <f>IFERROR(INDEX(Vocab_NameList!$O:$O,MATCH($J298, Vocab_NameList!$M:$M, 0)),"")</f>
        <v/>
      </c>
      <c r="N298" s="29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63" t="str">
        <f>Table2[[#This Row],[Governorate
(Select from Dropdown)]]&amp;Table2[[#This Row],[Neighborhood
(Select from Dropdown)]]&amp;Table2[[#This Row],[Organization Name]]</f>
        <v/>
      </c>
      <c r="Z298" s="67"/>
    </row>
    <row r="299" spans="1:26" ht="30" customHeight="1" x14ac:dyDescent="0.25">
      <c r="A299" s="21"/>
      <c r="B299" s="33"/>
      <c r="C299" s="33"/>
      <c r="D299" s="24"/>
      <c r="E299" s="24"/>
      <c r="F299" s="24"/>
      <c r="G299" s="24"/>
      <c r="H299" s="34"/>
      <c r="I299" s="25"/>
      <c r="J299" s="25"/>
      <c r="K299" s="25"/>
      <c r="L299" s="26"/>
      <c r="M299" s="59" t="str">
        <f>IFERROR(INDEX(Vocab_NameList!$O:$O,MATCH($J299, Vocab_NameList!$M:$M, 0)),"")</f>
        <v/>
      </c>
      <c r="N299" s="29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63" t="str">
        <f>Table2[[#This Row],[Governorate
(Select from Dropdown)]]&amp;Table2[[#This Row],[Neighborhood
(Select from Dropdown)]]&amp;Table2[[#This Row],[Organization Name]]</f>
        <v/>
      </c>
      <c r="Z299" s="67"/>
    </row>
    <row r="300" spans="1:26" ht="30" customHeight="1" x14ac:dyDescent="0.25">
      <c r="A300" s="21"/>
      <c r="B300" s="33"/>
      <c r="C300" s="33"/>
      <c r="D300" s="24"/>
      <c r="E300" s="24"/>
      <c r="F300" s="24"/>
      <c r="G300" s="24"/>
      <c r="H300" s="34"/>
      <c r="I300" s="25"/>
      <c r="J300" s="25"/>
      <c r="K300" s="25"/>
      <c r="L300" s="26"/>
      <c r="M300" s="59" t="str">
        <f>IFERROR(INDEX(Vocab_NameList!$O:$O,MATCH($J300, Vocab_NameList!$M:$M, 0)),"")</f>
        <v/>
      </c>
      <c r="N300" s="29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63" t="str">
        <f>Table2[[#This Row],[Governorate
(Select from Dropdown)]]&amp;Table2[[#This Row],[Neighborhood
(Select from Dropdown)]]&amp;Table2[[#This Row],[Organization Name]]</f>
        <v/>
      </c>
      <c r="Z300" s="67"/>
    </row>
    <row r="301" spans="1:26" ht="30" customHeight="1" x14ac:dyDescent="0.25">
      <c r="A301" s="21"/>
      <c r="B301" s="33"/>
      <c r="C301" s="33"/>
      <c r="D301" s="24"/>
      <c r="E301" s="24"/>
      <c r="F301" s="24"/>
      <c r="G301" s="24"/>
      <c r="H301" s="34"/>
      <c r="I301" s="25"/>
      <c r="J301" s="25"/>
      <c r="K301" s="25"/>
      <c r="L301" s="26"/>
      <c r="M301" s="59" t="str">
        <f>IFERROR(INDEX(Vocab_NameList!$O:$O,MATCH($J301, Vocab_NameList!$M:$M, 0)),"")</f>
        <v/>
      </c>
      <c r="N301" s="29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63" t="str">
        <f>Table2[[#This Row],[Governorate
(Select from Dropdown)]]&amp;Table2[[#This Row],[Neighborhood
(Select from Dropdown)]]&amp;Table2[[#This Row],[Organization Name]]</f>
        <v/>
      </c>
      <c r="Z301" s="67"/>
    </row>
    <row r="302" spans="1:26" ht="30" customHeight="1" x14ac:dyDescent="0.25">
      <c r="A302" s="21"/>
      <c r="B302" s="33"/>
      <c r="C302" s="33"/>
      <c r="D302" s="24"/>
      <c r="E302" s="24"/>
      <c r="F302" s="24"/>
      <c r="G302" s="24"/>
      <c r="H302" s="34"/>
      <c r="I302" s="25"/>
      <c r="J302" s="25"/>
      <c r="K302" s="25"/>
      <c r="L302" s="26"/>
      <c r="M302" s="59" t="str">
        <f>IFERROR(INDEX(Vocab_NameList!$O:$O,MATCH($J302, Vocab_NameList!$M:$M, 0)),"")</f>
        <v/>
      </c>
      <c r="N302" s="29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63" t="str">
        <f>Table2[[#This Row],[Governorate
(Select from Dropdown)]]&amp;Table2[[#This Row],[Neighborhood
(Select from Dropdown)]]&amp;Table2[[#This Row],[Organization Name]]</f>
        <v/>
      </c>
      <c r="Z302" s="67"/>
    </row>
    <row r="303" spans="1:26" ht="30" customHeight="1" x14ac:dyDescent="0.25">
      <c r="A303" s="21"/>
      <c r="B303" s="33"/>
      <c r="C303" s="33"/>
      <c r="D303" s="24"/>
      <c r="E303" s="24"/>
      <c r="F303" s="24"/>
      <c r="G303" s="24"/>
      <c r="H303" s="34"/>
      <c r="I303" s="25"/>
      <c r="J303" s="25"/>
      <c r="K303" s="25"/>
      <c r="L303" s="26"/>
      <c r="M303" s="59" t="str">
        <f>IFERROR(INDEX(Vocab_NameList!$O:$O,MATCH($J303, Vocab_NameList!$M:$M, 0)),"")</f>
        <v/>
      </c>
      <c r="N303" s="29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63" t="str">
        <f>Table2[[#This Row],[Governorate
(Select from Dropdown)]]&amp;Table2[[#This Row],[Neighborhood
(Select from Dropdown)]]&amp;Table2[[#This Row],[Organization Name]]</f>
        <v/>
      </c>
      <c r="Z303" s="67"/>
    </row>
    <row r="304" spans="1:26" ht="30" customHeight="1" x14ac:dyDescent="0.25">
      <c r="A304" s="21"/>
      <c r="B304" s="33"/>
      <c r="C304" s="33"/>
      <c r="D304" s="24"/>
      <c r="E304" s="24"/>
      <c r="F304" s="24"/>
      <c r="G304" s="24"/>
      <c r="H304" s="34"/>
      <c r="I304" s="25"/>
      <c r="J304" s="25"/>
      <c r="K304" s="25"/>
      <c r="L304" s="26"/>
      <c r="M304" s="59" t="str">
        <f>IFERROR(INDEX(Vocab_NameList!$O:$O,MATCH($J304, Vocab_NameList!$M:$M, 0)),"")</f>
        <v/>
      </c>
      <c r="N304" s="29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63" t="str">
        <f>Table2[[#This Row],[Governorate
(Select from Dropdown)]]&amp;Table2[[#This Row],[Neighborhood
(Select from Dropdown)]]&amp;Table2[[#This Row],[Organization Name]]</f>
        <v/>
      </c>
      <c r="Z304" s="67"/>
    </row>
    <row r="305" spans="1:26" ht="30" customHeight="1" x14ac:dyDescent="0.25">
      <c r="A305" s="21"/>
      <c r="B305" s="33"/>
      <c r="C305" s="33"/>
      <c r="D305" s="24"/>
      <c r="E305" s="24"/>
      <c r="F305" s="24"/>
      <c r="G305" s="24"/>
      <c r="H305" s="34"/>
      <c r="I305" s="25"/>
      <c r="J305" s="25"/>
      <c r="K305" s="25"/>
      <c r="L305" s="26"/>
      <c r="M305" s="59" t="str">
        <f>IFERROR(INDEX(Vocab_NameList!$O:$O,MATCH($J305, Vocab_NameList!$M:$M, 0)),"")</f>
        <v/>
      </c>
      <c r="N305" s="29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63" t="str">
        <f>Table2[[#This Row],[Governorate
(Select from Dropdown)]]&amp;Table2[[#This Row],[Neighborhood
(Select from Dropdown)]]&amp;Table2[[#This Row],[Organization Name]]</f>
        <v/>
      </c>
      <c r="Z305" s="67"/>
    </row>
    <row r="306" spans="1:26" ht="30" customHeight="1" x14ac:dyDescent="0.25">
      <c r="A306" s="21"/>
      <c r="B306" s="33"/>
      <c r="C306" s="33"/>
      <c r="D306" s="24"/>
      <c r="E306" s="24"/>
      <c r="F306" s="24"/>
      <c r="G306" s="24"/>
      <c r="H306" s="34"/>
      <c r="I306" s="25"/>
      <c r="J306" s="25"/>
      <c r="K306" s="25"/>
      <c r="L306" s="26"/>
      <c r="M306" s="59" t="str">
        <f>IFERROR(INDEX(Vocab_NameList!$O:$O,MATCH($J306, Vocab_NameList!$M:$M, 0)),"")</f>
        <v/>
      </c>
      <c r="N306" s="29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63" t="str">
        <f>Table2[[#This Row],[Governorate
(Select from Dropdown)]]&amp;Table2[[#This Row],[Neighborhood
(Select from Dropdown)]]&amp;Table2[[#This Row],[Organization Name]]</f>
        <v/>
      </c>
      <c r="Z306" s="67"/>
    </row>
    <row r="307" spans="1:26" ht="30" customHeight="1" x14ac:dyDescent="0.25">
      <c r="A307" s="21"/>
      <c r="B307" s="33"/>
      <c r="C307" s="33"/>
      <c r="D307" s="24"/>
      <c r="E307" s="24"/>
      <c r="F307" s="24"/>
      <c r="G307" s="24"/>
      <c r="H307" s="34"/>
      <c r="I307" s="25"/>
      <c r="J307" s="25"/>
      <c r="K307" s="25"/>
      <c r="L307" s="26"/>
      <c r="M307" s="59" t="str">
        <f>IFERROR(INDEX(Vocab_NameList!$O:$O,MATCH($J307, Vocab_NameList!$M:$M, 0)),"")</f>
        <v/>
      </c>
      <c r="N307" s="29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63" t="str">
        <f>Table2[[#This Row],[Governorate
(Select from Dropdown)]]&amp;Table2[[#This Row],[Neighborhood
(Select from Dropdown)]]&amp;Table2[[#This Row],[Organization Name]]</f>
        <v/>
      </c>
      <c r="Z307" s="67"/>
    </row>
    <row r="308" spans="1:26" ht="30" customHeight="1" x14ac:dyDescent="0.25">
      <c r="A308" s="21"/>
      <c r="B308" s="33"/>
      <c r="C308" s="33"/>
      <c r="D308" s="24"/>
      <c r="E308" s="24"/>
      <c r="F308" s="24"/>
      <c r="G308" s="24"/>
      <c r="H308" s="34"/>
      <c r="I308" s="25"/>
      <c r="J308" s="25"/>
      <c r="K308" s="25"/>
      <c r="L308" s="26"/>
      <c r="M308" s="59" t="str">
        <f>IFERROR(INDEX(Vocab_NameList!$O:$O,MATCH($J308, Vocab_NameList!$M:$M, 0)),"")</f>
        <v/>
      </c>
      <c r="N308" s="29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63" t="str">
        <f>Table2[[#This Row],[Governorate
(Select from Dropdown)]]&amp;Table2[[#This Row],[Neighborhood
(Select from Dropdown)]]&amp;Table2[[#This Row],[Organization Name]]</f>
        <v/>
      </c>
      <c r="Z308" s="67"/>
    </row>
    <row r="309" spans="1:26" ht="30" customHeight="1" x14ac:dyDescent="0.25">
      <c r="A309" s="21"/>
      <c r="B309" s="33"/>
      <c r="C309" s="33"/>
      <c r="D309" s="24"/>
      <c r="E309" s="24"/>
      <c r="F309" s="24"/>
      <c r="G309" s="24"/>
      <c r="H309" s="34"/>
      <c r="I309" s="25"/>
      <c r="J309" s="25"/>
      <c r="K309" s="25"/>
      <c r="L309" s="26"/>
      <c r="M309" s="59" t="str">
        <f>IFERROR(INDEX(Vocab_NameList!$O:$O,MATCH($J309, Vocab_NameList!$M:$M, 0)),"")</f>
        <v/>
      </c>
      <c r="N309" s="29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63" t="str">
        <f>Table2[[#This Row],[Governorate
(Select from Dropdown)]]&amp;Table2[[#This Row],[Neighborhood
(Select from Dropdown)]]&amp;Table2[[#This Row],[Organization Name]]</f>
        <v/>
      </c>
      <c r="Z309" s="67"/>
    </row>
    <row r="310" spans="1:26" ht="30" customHeight="1" x14ac:dyDescent="0.25">
      <c r="A310" s="21"/>
      <c r="B310" s="33"/>
      <c r="C310" s="33"/>
      <c r="D310" s="24"/>
      <c r="E310" s="24"/>
      <c r="F310" s="24"/>
      <c r="G310" s="24"/>
      <c r="H310" s="34"/>
      <c r="I310" s="25"/>
      <c r="J310" s="25"/>
      <c r="K310" s="25"/>
      <c r="L310" s="26"/>
      <c r="M310" s="59" t="str">
        <f>IFERROR(INDEX(Vocab_NameList!$O:$O,MATCH($J310, Vocab_NameList!$M:$M, 0)),"")</f>
        <v/>
      </c>
      <c r="N310" s="29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63" t="str">
        <f>Table2[[#This Row],[Governorate
(Select from Dropdown)]]&amp;Table2[[#This Row],[Neighborhood
(Select from Dropdown)]]&amp;Table2[[#This Row],[Organization Name]]</f>
        <v/>
      </c>
      <c r="Z310" s="67"/>
    </row>
    <row r="311" spans="1:26" ht="30" customHeight="1" x14ac:dyDescent="0.25">
      <c r="A311" s="21"/>
      <c r="B311" s="33"/>
      <c r="C311" s="33"/>
      <c r="D311" s="24"/>
      <c r="E311" s="24"/>
      <c r="F311" s="24"/>
      <c r="G311" s="24"/>
      <c r="H311" s="34"/>
      <c r="I311" s="25"/>
      <c r="J311" s="25"/>
      <c r="K311" s="25"/>
      <c r="L311" s="26"/>
      <c r="M311" s="59" t="str">
        <f>IFERROR(INDEX(Vocab_NameList!$O:$O,MATCH($J311, Vocab_NameList!$M:$M, 0)),"")</f>
        <v/>
      </c>
      <c r="N311" s="29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63" t="str">
        <f>Table2[[#This Row],[Governorate
(Select from Dropdown)]]&amp;Table2[[#This Row],[Neighborhood
(Select from Dropdown)]]&amp;Table2[[#This Row],[Organization Name]]</f>
        <v/>
      </c>
      <c r="Z311" s="67"/>
    </row>
    <row r="312" spans="1:26" ht="30" customHeight="1" x14ac:dyDescent="0.25">
      <c r="A312" s="21"/>
      <c r="B312" s="33"/>
      <c r="C312" s="33"/>
      <c r="D312" s="24"/>
      <c r="E312" s="24"/>
      <c r="F312" s="24"/>
      <c r="G312" s="24"/>
      <c r="H312" s="34"/>
      <c r="I312" s="25"/>
      <c r="J312" s="25"/>
      <c r="K312" s="25"/>
      <c r="L312" s="26"/>
      <c r="M312" s="59" t="str">
        <f>IFERROR(INDEX(Vocab_NameList!$O:$O,MATCH($J312, Vocab_NameList!$M:$M, 0)),"")</f>
        <v/>
      </c>
      <c r="N312" s="29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63" t="str">
        <f>Table2[[#This Row],[Governorate
(Select from Dropdown)]]&amp;Table2[[#This Row],[Neighborhood
(Select from Dropdown)]]&amp;Table2[[#This Row],[Organization Name]]</f>
        <v/>
      </c>
      <c r="Z312" s="67"/>
    </row>
    <row r="313" spans="1:26" ht="30" customHeight="1" x14ac:dyDescent="0.25">
      <c r="A313" s="21"/>
      <c r="B313" s="33"/>
      <c r="C313" s="33"/>
      <c r="D313" s="24"/>
      <c r="E313" s="24"/>
      <c r="F313" s="24"/>
      <c r="G313" s="24"/>
      <c r="H313" s="34"/>
      <c r="I313" s="25"/>
      <c r="J313" s="25"/>
      <c r="K313" s="25"/>
      <c r="L313" s="26"/>
      <c r="M313" s="59" t="str">
        <f>IFERROR(INDEX(Vocab_NameList!$O:$O,MATCH($J313, Vocab_NameList!$M:$M, 0)),"")</f>
        <v/>
      </c>
      <c r="N313" s="29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63" t="str">
        <f>Table2[[#This Row],[Governorate
(Select from Dropdown)]]&amp;Table2[[#This Row],[Neighborhood
(Select from Dropdown)]]&amp;Table2[[#This Row],[Organization Name]]</f>
        <v/>
      </c>
      <c r="Z313" s="67"/>
    </row>
    <row r="314" spans="1:26" ht="30" customHeight="1" x14ac:dyDescent="0.25">
      <c r="A314" s="21"/>
      <c r="B314" s="33"/>
      <c r="C314" s="33"/>
      <c r="D314" s="24"/>
      <c r="E314" s="24"/>
      <c r="F314" s="24"/>
      <c r="G314" s="24"/>
      <c r="H314" s="34"/>
      <c r="I314" s="25"/>
      <c r="J314" s="25"/>
      <c r="K314" s="25"/>
      <c r="L314" s="26"/>
      <c r="M314" s="59" t="str">
        <f>IFERROR(INDEX(Vocab_NameList!$O:$O,MATCH($J314, Vocab_NameList!$M:$M, 0)),"")</f>
        <v/>
      </c>
      <c r="N314" s="29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63" t="str">
        <f>Table2[[#This Row],[Governorate
(Select from Dropdown)]]&amp;Table2[[#This Row],[Neighborhood
(Select from Dropdown)]]&amp;Table2[[#This Row],[Organization Name]]</f>
        <v/>
      </c>
      <c r="Z314" s="67"/>
    </row>
    <row r="315" spans="1:26" ht="30" customHeight="1" x14ac:dyDescent="0.25">
      <c r="A315" s="21"/>
      <c r="B315" s="33"/>
      <c r="C315" s="33"/>
      <c r="D315" s="24"/>
      <c r="E315" s="24"/>
      <c r="F315" s="24"/>
      <c r="G315" s="24"/>
      <c r="H315" s="34"/>
      <c r="I315" s="25"/>
      <c r="J315" s="25"/>
      <c r="K315" s="25"/>
      <c r="L315" s="26"/>
      <c r="M315" s="59" t="str">
        <f>IFERROR(INDEX(Vocab_NameList!$O:$O,MATCH($J315, Vocab_NameList!$M:$M, 0)),"")</f>
        <v/>
      </c>
      <c r="N315" s="29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63" t="str">
        <f>Table2[[#This Row],[Governorate
(Select from Dropdown)]]&amp;Table2[[#This Row],[Neighborhood
(Select from Dropdown)]]&amp;Table2[[#This Row],[Organization Name]]</f>
        <v/>
      </c>
      <c r="Z315" s="67"/>
    </row>
    <row r="316" spans="1:26" ht="30" customHeight="1" x14ac:dyDescent="0.25">
      <c r="A316" s="21"/>
      <c r="B316" s="33"/>
      <c r="C316" s="33"/>
      <c r="D316" s="24"/>
      <c r="E316" s="24"/>
      <c r="F316" s="24"/>
      <c r="G316" s="24"/>
      <c r="H316" s="34"/>
      <c r="I316" s="25"/>
      <c r="J316" s="25"/>
      <c r="K316" s="25"/>
      <c r="L316" s="26"/>
      <c r="M316" s="59" t="str">
        <f>IFERROR(INDEX(Vocab_NameList!$O:$O,MATCH($J316, Vocab_NameList!$M:$M, 0)),"")</f>
        <v/>
      </c>
      <c r="N316" s="29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63" t="str">
        <f>Table2[[#This Row],[Governorate
(Select from Dropdown)]]&amp;Table2[[#This Row],[Neighborhood
(Select from Dropdown)]]&amp;Table2[[#This Row],[Organization Name]]</f>
        <v/>
      </c>
      <c r="Z316" s="67"/>
    </row>
    <row r="317" spans="1:26" ht="30" customHeight="1" x14ac:dyDescent="0.25">
      <c r="A317" s="21"/>
      <c r="B317" s="33"/>
      <c r="C317" s="33"/>
      <c r="D317" s="24"/>
      <c r="E317" s="24"/>
      <c r="F317" s="24"/>
      <c r="G317" s="24"/>
      <c r="H317" s="34"/>
      <c r="I317" s="25"/>
      <c r="J317" s="25"/>
      <c r="K317" s="25"/>
      <c r="L317" s="26"/>
      <c r="M317" s="59" t="str">
        <f>IFERROR(INDEX(Vocab_NameList!$O:$O,MATCH($J317, Vocab_NameList!$M:$M, 0)),"")</f>
        <v/>
      </c>
      <c r="N317" s="29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63" t="str">
        <f>Table2[[#This Row],[Governorate
(Select from Dropdown)]]&amp;Table2[[#This Row],[Neighborhood
(Select from Dropdown)]]&amp;Table2[[#This Row],[Organization Name]]</f>
        <v/>
      </c>
      <c r="Z317" s="67"/>
    </row>
    <row r="318" spans="1:26" ht="30" customHeight="1" x14ac:dyDescent="0.25">
      <c r="A318" s="21"/>
      <c r="B318" s="33"/>
      <c r="C318" s="33"/>
      <c r="D318" s="24"/>
      <c r="E318" s="24"/>
      <c r="F318" s="24"/>
      <c r="G318" s="24"/>
      <c r="H318" s="34"/>
      <c r="I318" s="25"/>
      <c r="J318" s="25"/>
      <c r="K318" s="25"/>
      <c r="L318" s="26"/>
      <c r="M318" s="59" t="str">
        <f>IFERROR(INDEX(Vocab_NameList!$O:$O,MATCH($J318, Vocab_NameList!$M:$M, 0)),"")</f>
        <v/>
      </c>
      <c r="N318" s="29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63" t="str">
        <f>Table2[[#This Row],[Governorate
(Select from Dropdown)]]&amp;Table2[[#This Row],[Neighborhood
(Select from Dropdown)]]&amp;Table2[[#This Row],[Organization Name]]</f>
        <v/>
      </c>
      <c r="Z318" s="67"/>
    </row>
    <row r="319" spans="1:26" ht="30" customHeight="1" x14ac:dyDescent="0.25">
      <c r="A319" s="21"/>
      <c r="B319" s="33"/>
      <c r="C319" s="33"/>
      <c r="D319" s="24"/>
      <c r="E319" s="24"/>
      <c r="F319" s="24"/>
      <c r="G319" s="24"/>
      <c r="H319" s="34"/>
      <c r="I319" s="25"/>
      <c r="J319" s="25"/>
      <c r="K319" s="25"/>
      <c r="L319" s="26"/>
      <c r="M319" s="59" t="str">
        <f>IFERROR(INDEX(Vocab_NameList!$O:$O,MATCH($J319, Vocab_NameList!$M:$M, 0)),"")</f>
        <v/>
      </c>
      <c r="N319" s="29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63" t="str">
        <f>Table2[[#This Row],[Governorate
(Select from Dropdown)]]&amp;Table2[[#This Row],[Neighborhood
(Select from Dropdown)]]&amp;Table2[[#This Row],[Organization Name]]</f>
        <v/>
      </c>
      <c r="Z319" s="67"/>
    </row>
    <row r="320" spans="1:26" ht="30" customHeight="1" x14ac:dyDescent="0.25">
      <c r="A320" s="21"/>
      <c r="B320" s="33"/>
      <c r="C320" s="33"/>
      <c r="D320" s="24"/>
      <c r="E320" s="24"/>
      <c r="F320" s="24"/>
      <c r="G320" s="24"/>
      <c r="H320" s="34"/>
      <c r="I320" s="25"/>
      <c r="J320" s="25"/>
      <c r="K320" s="25"/>
      <c r="L320" s="26"/>
      <c r="M320" s="59" t="str">
        <f>IFERROR(INDEX(Vocab_NameList!$O:$O,MATCH($J320, Vocab_NameList!$M:$M, 0)),"")</f>
        <v/>
      </c>
      <c r="N320" s="29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63" t="str">
        <f>Table2[[#This Row],[Governorate
(Select from Dropdown)]]&amp;Table2[[#This Row],[Neighborhood
(Select from Dropdown)]]&amp;Table2[[#This Row],[Organization Name]]</f>
        <v/>
      </c>
      <c r="Z320" s="67"/>
    </row>
    <row r="321" spans="1:26" ht="30" customHeight="1" x14ac:dyDescent="0.25">
      <c r="A321" s="21"/>
      <c r="B321" s="33"/>
      <c r="C321" s="33"/>
      <c r="D321" s="24"/>
      <c r="E321" s="24"/>
      <c r="F321" s="24"/>
      <c r="G321" s="24"/>
      <c r="H321" s="34"/>
      <c r="I321" s="25"/>
      <c r="J321" s="25"/>
      <c r="K321" s="25"/>
      <c r="L321" s="26"/>
      <c r="M321" s="59" t="str">
        <f>IFERROR(INDEX(Vocab_NameList!$O:$O,MATCH($J321, Vocab_NameList!$M:$M, 0)),"")</f>
        <v/>
      </c>
      <c r="N321" s="29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63" t="str">
        <f>Table2[[#This Row],[Governorate
(Select from Dropdown)]]&amp;Table2[[#This Row],[Neighborhood
(Select from Dropdown)]]&amp;Table2[[#This Row],[Organization Name]]</f>
        <v/>
      </c>
      <c r="Z321" s="67"/>
    </row>
    <row r="322" spans="1:26" ht="30" customHeight="1" x14ac:dyDescent="0.25">
      <c r="A322" s="21"/>
      <c r="B322" s="33"/>
      <c r="C322" s="33"/>
      <c r="D322" s="24"/>
      <c r="E322" s="24"/>
      <c r="F322" s="24"/>
      <c r="G322" s="24"/>
      <c r="H322" s="34"/>
      <c r="I322" s="25"/>
      <c r="J322" s="25"/>
      <c r="K322" s="25"/>
      <c r="L322" s="26"/>
      <c r="M322" s="59" t="str">
        <f>IFERROR(INDEX(Vocab_NameList!$O:$O,MATCH($J322, Vocab_NameList!$M:$M, 0)),"")</f>
        <v/>
      </c>
      <c r="N322" s="29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63" t="str">
        <f>Table2[[#This Row],[Governorate
(Select from Dropdown)]]&amp;Table2[[#This Row],[Neighborhood
(Select from Dropdown)]]&amp;Table2[[#This Row],[Organization Name]]</f>
        <v/>
      </c>
      <c r="Z322" s="67"/>
    </row>
    <row r="323" spans="1:26" ht="30" customHeight="1" x14ac:dyDescent="0.25">
      <c r="A323" s="21"/>
      <c r="B323" s="33"/>
      <c r="C323" s="33"/>
      <c r="D323" s="24"/>
      <c r="E323" s="24"/>
      <c r="F323" s="24"/>
      <c r="G323" s="24"/>
      <c r="H323" s="34"/>
      <c r="I323" s="25"/>
      <c r="J323" s="25"/>
      <c r="K323" s="25"/>
      <c r="L323" s="26"/>
      <c r="M323" s="59" t="str">
        <f>IFERROR(INDEX(Vocab_NameList!$O:$O,MATCH($J323, Vocab_NameList!$M:$M, 0)),"")</f>
        <v/>
      </c>
      <c r="N323" s="29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63" t="str">
        <f>Table2[[#This Row],[Governorate
(Select from Dropdown)]]&amp;Table2[[#This Row],[Neighborhood
(Select from Dropdown)]]&amp;Table2[[#This Row],[Organization Name]]</f>
        <v/>
      </c>
      <c r="Z323" s="67"/>
    </row>
    <row r="324" spans="1:26" ht="30" customHeight="1" x14ac:dyDescent="0.25">
      <c r="A324" s="21"/>
      <c r="B324" s="33"/>
      <c r="C324" s="33"/>
      <c r="D324" s="24"/>
      <c r="E324" s="24"/>
      <c r="F324" s="24"/>
      <c r="G324" s="24"/>
      <c r="H324" s="34"/>
      <c r="I324" s="25"/>
      <c r="J324" s="25"/>
      <c r="K324" s="25"/>
      <c r="L324" s="26"/>
      <c r="M324" s="59" t="str">
        <f>IFERROR(INDEX(Vocab_NameList!$O:$O,MATCH($J324, Vocab_NameList!$M:$M, 0)),"")</f>
        <v/>
      </c>
      <c r="N324" s="29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63" t="str">
        <f>Table2[[#This Row],[Governorate
(Select from Dropdown)]]&amp;Table2[[#This Row],[Neighborhood
(Select from Dropdown)]]&amp;Table2[[#This Row],[Organization Name]]</f>
        <v/>
      </c>
      <c r="Z324" s="67"/>
    </row>
    <row r="325" spans="1:26" ht="30" customHeight="1" x14ac:dyDescent="0.25">
      <c r="A325" s="21"/>
      <c r="B325" s="33"/>
      <c r="C325" s="33"/>
      <c r="D325" s="24"/>
      <c r="E325" s="24"/>
      <c r="F325" s="24"/>
      <c r="G325" s="24"/>
      <c r="H325" s="34"/>
      <c r="I325" s="25"/>
      <c r="J325" s="25"/>
      <c r="K325" s="25"/>
      <c r="L325" s="26"/>
      <c r="M325" s="59" t="str">
        <f>IFERROR(INDEX(Vocab_NameList!$O:$O,MATCH($J325, Vocab_NameList!$M:$M, 0)),"")</f>
        <v/>
      </c>
      <c r="N325" s="29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63" t="str">
        <f>Table2[[#This Row],[Governorate
(Select from Dropdown)]]&amp;Table2[[#This Row],[Neighborhood
(Select from Dropdown)]]&amp;Table2[[#This Row],[Organization Name]]</f>
        <v/>
      </c>
      <c r="Z325" s="67"/>
    </row>
    <row r="326" spans="1:26" ht="30" customHeight="1" x14ac:dyDescent="0.25">
      <c r="A326" s="21"/>
      <c r="B326" s="33"/>
      <c r="C326" s="33"/>
      <c r="D326" s="24"/>
      <c r="E326" s="24"/>
      <c r="F326" s="24"/>
      <c r="G326" s="24"/>
      <c r="H326" s="34"/>
      <c r="I326" s="25"/>
      <c r="J326" s="25"/>
      <c r="K326" s="25"/>
      <c r="L326" s="26"/>
      <c r="M326" s="59" t="str">
        <f>IFERROR(INDEX(Vocab_NameList!$O:$O,MATCH($J326, Vocab_NameList!$M:$M, 0)),"")</f>
        <v/>
      </c>
      <c r="N326" s="29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63" t="str">
        <f>Table2[[#This Row],[Governorate
(Select from Dropdown)]]&amp;Table2[[#This Row],[Neighborhood
(Select from Dropdown)]]&amp;Table2[[#This Row],[Organization Name]]</f>
        <v/>
      </c>
      <c r="Z326" s="67"/>
    </row>
    <row r="327" spans="1:26" ht="30" customHeight="1" x14ac:dyDescent="0.25">
      <c r="A327" s="35"/>
      <c r="B327" s="36"/>
      <c r="C327" s="36"/>
      <c r="D327" s="37"/>
      <c r="E327" s="37"/>
      <c r="F327" s="37"/>
      <c r="G327" s="37"/>
      <c r="H327" s="38"/>
      <c r="I327" s="39"/>
      <c r="J327" s="39"/>
      <c r="K327" s="39"/>
      <c r="L327" s="40"/>
      <c r="M327" s="60" t="str">
        <f>IFERROR(INDEX(Vocab_NameList!$O:$O,MATCH($J327, Vocab_NameList!$M:$M, 0)),"")</f>
        <v/>
      </c>
      <c r="N327" s="41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63" t="str">
        <f>Table2[[#This Row],[Governorate
(Select from Dropdown)]]&amp;Table2[[#This Row],[Neighborhood
(Select from Dropdown)]]&amp;Table2[[#This Row],[Organization Name]]</f>
        <v/>
      </c>
      <c r="Z327" s="67"/>
    </row>
    <row r="328" spans="1:26" ht="30" customHeight="1" x14ac:dyDescent="0.25">
      <c r="A328" s="21"/>
      <c r="B328" s="33"/>
      <c r="C328" s="33"/>
      <c r="D328" s="24"/>
      <c r="E328" s="24"/>
      <c r="F328" s="24"/>
      <c r="G328" s="24"/>
      <c r="H328" s="34"/>
      <c r="I328" s="25"/>
      <c r="J328" s="25"/>
      <c r="K328" s="25"/>
      <c r="L328" s="26"/>
      <c r="M328" s="59" t="str">
        <f>IFERROR(INDEX(Vocab_NameList!$O:$O,MATCH($J328, Vocab_NameList!$M:$M, 0)),"")</f>
        <v/>
      </c>
      <c r="N328" s="29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63" t="str">
        <f>Table2[[#This Row],[Governorate
(Select from Dropdown)]]&amp;Table2[[#This Row],[Neighborhood
(Select from Dropdown)]]&amp;Table2[[#This Row],[Organization Name]]</f>
        <v/>
      </c>
      <c r="Z328" s="67"/>
    </row>
    <row r="329" spans="1:26" ht="30" customHeight="1" x14ac:dyDescent="0.25">
      <c r="A329" s="21"/>
      <c r="B329" s="33"/>
      <c r="C329" s="33"/>
      <c r="D329" s="24"/>
      <c r="E329" s="24"/>
      <c r="F329" s="24"/>
      <c r="G329" s="24"/>
      <c r="H329" s="34"/>
      <c r="I329" s="25"/>
      <c r="J329" s="25"/>
      <c r="K329" s="25"/>
      <c r="L329" s="26"/>
      <c r="M329" s="59" t="str">
        <f>IFERROR(INDEX(Vocab_NameList!$O:$O,MATCH($J329, Vocab_NameList!$M:$M, 0)),"")</f>
        <v/>
      </c>
      <c r="N329" s="29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63" t="str">
        <f>Table2[[#This Row],[Governorate
(Select from Dropdown)]]&amp;Table2[[#This Row],[Neighborhood
(Select from Dropdown)]]&amp;Table2[[#This Row],[Organization Name]]</f>
        <v/>
      </c>
      <c r="Z329" s="67"/>
    </row>
    <row r="330" spans="1:26" ht="30" customHeight="1" x14ac:dyDescent="0.25">
      <c r="A330" s="21"/>
      <c r="B330" s="33"/>
      <c r="C330" s="33"/>
      <c r="D330" s="24"/>
      <c r="E330" s="24"/>
      <c r="F330" s="24"/>
      <c r="G330" s="24"/>
      <c r="H330" s="34"/>
      <c r="I330" s="25"/>
      <c r="J330" s="25"/>
      <c r="K330" s="25"/>
      <c r="L330" s="26"/>
      <c r="M330" s="59" t="str">
        <f>IFERROR(INDEX(Vocab_NameList!$O:$O,MATCH($J330, Vocab_NameList!$M:$M, 0)),"")</f>
        <v/>
      </c>
      <c r="N330" s="29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63" t="str">
        <f>Table2[[#This Row],[Governorate
(Select from Dropdown)]]&amp;Table2[[#This Row],[Neighborhood
(Select from Dropdown)]]&amp;Table2[[#This Row],[Organization Name]]</f>
        <v/>
      </c>
      <c r="Z330" s="67"/>
    </row>
    <row r="331" spans="1:26" ht="30" customHeight="1" x14ac:dyDescent="0.25">
      <c r="A331" s="21"/>
      <c r="B331" s="33"/>
      <c r="C331" s="33"/>
      <c r="D331" s="24"/>
      <c r="E331" s="24"/>
      <c r="F331" s="24"/>
      <c r="G331" s="24"/>
      <c r="H331" s="34"/>
      <c r="I331" s="25"/>
      <c r="J331" s="25"/>
      <c r="K331" s="25"/>
      <c r="L331" s="26"/>
      <c r="M331" s="59" t="str">
        <f>IFERROR(INDEX(Vocab_NameList!$O:$O,MATCH($J331, Vocab_NameList!$M:$M, 0)),"")</f>
        <v/>
      </c>
      <c r="N331" s="29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63" t="str">
        <f>Table2[[#This Row],[Governorate
(Select from Dropdown)]]&amp;Table2[[#This Row],[Neighborhood
(Select from Dropdown)]]&amp;Table2[[#This Row],[Organization Name]]</f>
        <v/>
      </c>
      <c r="Z331" s="67"/>
    </row>
    <row r="332" spans="1:26" ht="30" customHeight="1" x14ac:dyDescent="0.25">
      <c r="A332" s="21"/>
      <c r="B332" s="33"/>
      <c r="C332" s="33"/>
      <c r="D332" s="24"/>
      <c r="E332" s="24"/>
      <c r="F332" s="24"/>
      <c r="G332" s="24"/>
      <c r="H332" s="34"/>
      <c r="I332" s="25"/>
      <c r="J332" s="25"/>
      <c r="K332" s="25"/>
      <c r="L332" s="26"/>
      <c r="M332" s="59" t="str">
        <f>IFERROR(INDEX(Vocab_NameList!$O:$O,MATCH($J332, Vocab_NameList!$M:$M, 0)),"")</f>
        <v/>
      </c>
      <c r="N332" s="29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63" t="str">
        <f>Table2[[#This Row],[Governorate
(Select from Dropdown)]]&amp;Table2[[#This Row],[Neighborhood
(Select from Dropdown)]]&amp;Table2[[#This Row],[Organization Name]]</f>
        <v/>
      </c>
      <c r="Z332" s="67"/>
    </row>
    <row r="333" spans="1:26" ht="30" customHeight="1" x14ac:dyDescent="0.25">
      <c r="A333" s="21"/>
      <c r="B333" s="33"/>
      <c r="C333" s="33"/>
      <c r="D333" s="24"/>
      <c r="E333" s="24"/>
      <c r="F333" s="24"/>
      <c r="G333" s="24"/>
      <c r="H333" s="34"/>
      <c r="I333" s="25"/>
      <c r="J333" s="25"/>
      <c r="K333" s="25"/>
      <c r="L333" s="26"/>
      <c r="M333" s="59" t="str">
        <f>IFERROR(INDEX(Vocab_NameList!$O:$O,MATCH($J333, Vocab_NameList!$M:$M, 0)),"")</f>
        <v/>
      </c>
      <c r="N333" s="29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63" t="str">
        <f>Table2[[#This Row],[Governorate
(Select from Dropdown)]]&amp;Table2[[#This Row],[Neighborhood
(Select from Dropdown)]]&amp;Table2[[#This Row],[Organization Name]]</f>
        <v/>
      </c>
      <c r="Z333" s="67"/>
    </row>
    <row r="334" spans="1:26" ht="30" customHeight="1" x14ac:dyDescent="0.25">
      <c r="A334" s="21"/>
      <c r="B334" s="33"/>
      <c r="C334" s="33"/>
      <c r="D334" s="24"/>
      <c r="E334" s="24"/>
      <c r="F334" s="24"/>
      <c r="G334" s="24"/>
      <c r="H334" s="34"/>
      <c r="I334" s="25"/>
      <c r="J334" s="25"/>
      <c r="K334" s="25"/>
      <c r="L334" s="26"/>
      <c r="M334" s="59" t="str">
        <f>IFERROR(INDEX(Vocab_NameList!$O:$O,MATCH($J334, Vocab_NameList!$M:$M, 0)),"")</f>
        <v/>
      </c>
      <c r="N334" s="29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63" t="str">
        <f>Table2[[#This Row],[Governorate
(Select from Dropdown)]]&amp;Table2[[#This Row],[Neighborhood
(Select from Dropdown)]]&amp;Table2[[#This Row],[Organization Name]]</f>
        <v/>
      </c>
      <c r="Z334" s="67"/>
    </row>
    <row r="335" spans="1:26" ht="30" customHeight="1" x14ac:dyDescent="0.25">
      <c r="A335" s="21"/>
      <c r="B335" s="33"/>
      <c r="C335" s="33"/>
      <c r="D335" s="24"/>
      <c r="E335" s="24"/>
      <c r="F335" s="24"/>
      <c r="G335" s="24"/>
      <c r="H335" s="34"/>
      <c r="I335" s="25"/>
      <c r="J335" s="25"/>
      <c r="K335" s="25"/>
      <c r="L335" s="26"/>
      <c r="M335" s="59" t="str">
        <f>IFERROR(INDEX(Vocab_NameList!$O:$O,MATCH($J335, Vocab_NameList!$M:$M, 0)),"")</f>
        <v/>
      </c>
      <c r="N335" s="29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63" t="str">
        <f>Table2[[#This Row],[Governorate
(Select from Dropdown)]]&amp;Table2[[#This Row],[Neighborhood
(Select from Dropdown)]]&amp;Table2[[#This Row],[Organization Name]]</f>
        <v/>
      </c>
      <c r="Z335" s="67"/>
    </row>
    <row r="336" spans="1:26" ht="30" customHeight="1" x14ac:dyDescent="0.25">
      <c r="A336" s="21"/>
      <c r="B336" s="33"/>
      <c r="C336" s="33"/>
      <c r="D336" s="24"/>
      <c r="E336" s="24"/>
      <c r="F336" s="24"/>
      <c r="G336" s="24"/>
      <c r="H336" s="34"/>
      <c r="I336" s="25"/>
      <c r="J336" s="25"/>
      <c r="K336" s="25"/>
      <c r="L336" s="26"/>
      <c r="M336" s="59" t="str">
        <f>IFERROR(INDEX(Vocab_NameList!$O:$O,MATCH($J336, Vocab_NameList!$M:$M, 0)),"")</f>
        <v/>
      </c>
      <c r="N336" s="29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63" t="str">
        <f>Table2[[#This Row],[Governorate
(Select from Dropdown)]]&amp;Table2[[#This Row],[Neighborhood
(Select from Dropdown)]]&amp;Table2[[#This Row],[Organization Name]]</f>
        <v/>
      </c>
      <c r="Z336" s="67"/>
    </row>
    <row r="337" spans="1:26" ht="30" customHeight="1" x14ac:dyDescent="0.25">
      <c r="A337" s="21"/>
      <c r="B337" s="33"/>
      <c r="C337" s="33"/>
      <c r="D337" s="24"/>
      <c r="E337" s="24"/>
      <c r="F337" s="24"/>
      <c r="G337" s="24"/>
      <c r="H337" s="34"/>
      <c r="I337" s="25"/>
      <c r="J337" s="25"/>
      <c r="K337" s="25"/>
      <c r="L337" s="26"/>
      <c r="M337" s="59" t="str">
        <f>IFERROR(INDEX(Vocab_NameList!$O:$O,MATCH($J337, Vocab_NameList!$M:$M, 0)),"")</f>
        <v/>
      </c>
      <c r="N337" s="29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63" t="str">
        <f>Table2[[#This Row],[Governorate
(Select from Dropdown)]]&amp;Table2[[#This Row],[Neighborhood
(Select from Dropdown)]]&amp;Table2[[#This Row],[Organization Name]]</f>
        <v/>
      </c>
      <c r="Z337" s="67"/>
    </row>
    <row r="338" spans="1:26" ht="30" customHeight="1" x14ac:dyDescent="0.25">
      <c r="A338" s="21"/>
      <c r="B338" s="33"/>
      <c r="C338" s="33"/>
      <c r="D338" s="24"/>
      <c r="E338" s="24"/>
      <c r="F338" s="24"/>
      <c r="G338" s="24"/>
      <c r="H338" s="34"/>
      <c r="I338" s="25"/>
      <c r="J338" s="25"/>
      <c r="K338" s="25"/>
      <c r="L338" s="26"/>
      <c r="M338" s="59" t="str">
        <f>IFERROR(INDEX(Vocab_NameList!$O:$O,MATCH($J338, Vocab_NameList!$M:$M, 0)),"")</f>
        <v/>
      </c>
      <c r="N338" s="29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63" t="str">
        <f>Table2[[#This Row],[Governorate
(Select from Dropdown)]]&amp;Table2[[#This Row],[Neighborhood
(Select from Dropdown)]]&amp;Table2[[#This Row],[Organization Name]]</f>
        <v/>
      </c>
      <c r="Z338" s="67"/>
    </row>
    <row r="339" spans="1:26" ht="30" customHeight="1" x14ac:dyDescent="0.25">
      <c r="A339" s="21"/>
      <c r="B339" s="33"/>
      <c r="C339" s="33"/>
      <c r="D339" s="24"/>
      <c r="E339" s="24"/>
      <c r="F339" s="24"/>
      <c r="G339" s="24"/>
      <c r="H339" s="34"/>
      <c r="I339" s="25"/>
      <c r="J339" s="25"/>
      <c r="K339" s="25"/>
      <c r="L339" s="26"/>
      <c r="M339" s="59" t="str">
        <f>IFERROR(INDEX(Vocab_NameList!$O:$O,MATCH($J339, Vocab_NameList!$M:$M, 0)),"")</f>
        <v/>
      </c>
      <c r="N339" s="29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63" t="str">
        <f>Table2[[#This Row],[Governorate
(Select from Dropdown)]]&amp;Table2[[#This Row],[Neighborhood
(Select from Dropdown)]]&amp;Table2[[#This Row],[Organization Name]]</f>
        <v/>
      </c>
      <c r="Z339" s="67"/>
    </row>
    <row r="340" spans="1:26" ht="30" customHeight="1" x14ac:dyDescent="0.25">
      <c r="A340" s="21"/>
      <c r="B340" s="33"/>
      <c r="C340" s="33"/>
      <c r="D340" s="24"/>
      <c r="E340" s="24"/>
      <c r="F340" s="24"/>
      <c r="G340" s="24"/>
      <c r="H340" s="34"/>
      <c r="I340" s="25"/>
      <c r="J340" s="25"/>
      <c r="K340" s="25"/>
      <c r="L340" s="26"/>
      <c r="M340" s="59" t="str">
        <f>IFERROR(INDEX(Vocab_NameList!$O:$O,MATCH($J340, Vocab_NameList!$M:$M, 0)),"")</f>
        <v/>
      </c>
      <c r="N340" s="29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63" t="str">
        <f>Table2[[#This Row],[Governorate
(Select from Dropdown)]]&amp;Table2[[#This Row],[Neighborhood
(Select from Dropdown)]]&amp;Table2[[#This Row],[Organization Name]]</f>
        <v/>
      </c>
      <c r="Z340" s="67"/>
    </row>
    <row r="341" spans="1:26" ht="30" customHeight="1" x14ac:dyDescent="0.25">
      <c r="A341" s="21"/>
      <c r="B341" s="33"/>
      <c r="C341" s="33"/>
      <c r="D341" s="24"/>
      <c r="E341" s="24"/>
      <c r="F341" s="24"/>
      <c r="G341" s="24"/>
      <c r="H341" s="34"/>
      <c r="I341" s="25"/>
      <c r="J341" s="25"/>
      <c r="K341" s="25"/>
      <c r="L341" s="26"/>
      <c r="M341" s="59" t="str">
        <f>IFERROR(INDEX(Vocab_NameList!$O:$O,MATCH($J341, Vocab_NameList!$M:$M, 0)),"")</f>
        <v/>
      </c>
      <c r="N341" s="29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63" t="str">
        <f>Table2[[#This Row],[Governorate
(Select from Dropdown)]]&amp;Table2[[#This Row],[Neighborhood
(Select from Dropdown)]]&amp;Table2[[#This Row],[Organization Name]]</f>
        <v/>
      </c>
      <c r="Z341" s="67"/>
    </row>
    <row r="342" spans="1:26" ht="30" customHeight="1" x14ac:dyDescent="0.25">
      <c r="A342" s="21"/>
      <c r="B342" s="33"/>
      <c r="C342" s="33"/>
      <c r="D342" s="24"/>
      <c r="E342" s="24"/>
      <c r="F342" s="24"/>
      <c r="G342" s="24"/>
      <c r="H342" s="34"/>
      <c r="I342" s="25"/>
      <c r="J342" s="25"/>
      <c r="K342" s="25"/>
      <c r="L342" s="26"/>
      <c r="M342" s="59" t="str">
        <f>IFERROR(INDEX(Vocab_NameList!$O:$O,MATCH($J342, Vocab_NameList!$M:$M, 0)),"")</f>
        <v/>
      </c>
      <c r="N342" s="29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63" t="str">
        <f>Table2[[#This Row],[Governorate
(Select from Dropdown)]]&amp;Table2[[#This Row],[Neighborhood
(Select from Dropdown)]]&amp;Table2[[#This Row],[Organization Name]]</f>
        <v/>
      </c>
      <c r="Z342" s="67"/>
    </row>
    <row r="343" spans="1:26" ht="30" customHeight="1" x14ac:dyDescent="0.25">
      <c r="A343" s="21"/>
      <c r="B343" s="33"/>
      <c r="C343" s="33"/>
      <c r="D343" s="24"/>
      <c r="E343" s="24"/>
      <c r="F343" s="24"/>
      <c r="G343" s="24"/>
      <c r="H343" s="34"/>
      <c r="I343" s="25"/>
      <c r="J343" s="25"/>
      <c r="K343" s="25"/>
      <c r="L343" s="26"/>
      <c r="M343" s="59" t="str">
        <f>IFERROR(INDEX(Vocab_NameList!$O:$O,MATCH($J343, Vocab_NameList!$M:$M, 0)),"")</f>
        <v/>
      </c>
      <c r="N343" s="29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63" t="str">
        <f>Table2[[#This Row],[Governorate
(Select from Dropdown)]]&amp;Table2[[#This Row],[Neighborhood
(Select from Dropdown)]]&amp;Table2[[#This Row],[Organization Name]]</f>
        <v/>
      </c>
      <c r="Z343" s="67"/>
    </row>
    <row r="344" spans="1:26" ht="30" customHeight="1" x14ac:dyDescent="0.25">
      <c r="A344" s="21"/>
      <c r="B344" s="33"/>
      <c r="C344" s="33"/>
      <c r="D344" s="24"/>
      <c r="E344" s="24"/>
      <c r="F344" s="24"/>
      <c r="G344" s="24"/>
      <c r="H344" s="34"/>
      <c r="I344" s="25"/>
      <c r="J344" s="25"/>
      <c r="K344" s="25"/>
      <c r="L344" s="26"/>
      <c r="M344" s="59" t="str">
        <f>IFERROR(INDEX(Vocab_NameList!$O:$O,MATCH($J344, Vocab_NameList!$M:$M, 0)),"")</f>
        <v/>
      </c>
      <c r="N344" s="29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63" t="str">
        <f>Table2[[#This Row],[Governorate
(Select from Dropdown)]]&amp;Table2[[#This Row],[Neighborhood
(Select from Dropdown)]]&amp;Table2[[#This Row],[Organization Name]]</f>
        <v/>
      </c>
      <c r="Z344" s="67"/>
    </row>
    <row r="345" spans="1:26" ht="30" customHeight="1" x14ac:dyDescent="0.25">
      <c r="A345" s="21"/>
      <c r="B345" s="33"/>
      <c r="C345" s="33"/>
      <c r="D345" s="24"/>
      <c r="E345" s="24"/>
      <c r="F345" s="24"/>
      <c r="G345" s="24"/>
      <c r="H345" s="34"/>
      <c r="I345" s="25"/>
      <c r="J345" s="25"/>
      <c r="K345" s="25"/>
      <c r="L345" s="26"/>
      <c r="M345" s="59" t="str">
        <f>IFERROR(INDEX(Vocab_NameList!$O:$O,MATCH($J345, Vocab_NameList!$M:$M, 0)),"")</f>
        <v/>
      </c>
      <c r="N345" s="29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63" t="str">
        <f>Table2[[#This Row],[Governorate
(Select from Dropdown)]]&amp;Table2[[#This Row],[Neighborhood
(Select from Dropdown)]]&amp;Table2[[#This Row],[Organization Name]]</f>
        <v/>
      </c>
      <c r="Z345" s="67"/>
    </row>
    <row r="346" spans="1:26" ht="30" customHeight="1" x14ac:dyDescent="0.25">
      <c r="A346" s="21"/>
      <c r="B346" s="33"/>
      <c r="C346" s="33"/>
      <c r="D346" s="24"/>
      <c r="E346" s="24"/>
      <c r="F346" s="24"/>
      <c r="G346" s="24"/>
      <c r="H346" s="34"/>
      <c r="I346" s="25"/>
      <c r="J346" s="25"/>
      <c r="K346" s="25"/>
      <c r="L346" s="26"/>
      <c r="M346" s="59" t="str">
        <f>IFERROR(INDEX(Vocab_NameList!$O:$O,MATCH($J346, Vocab_NameList!$M:$M, 0)),"")</f>
        <v/>
      </c>
      <c r="N346" s="29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63" t="str">
        <f>Table2[[#This Row],[Governorate
(Select from Dropdown)]]&amp;Table2[[#This Row],[Neighborhood
(Select from Dropdown)]]&amp;Table2[[#This Row],[Organization Name]]</f>
        <v/>
      </c>
      <c r="Z346" s="67"/>
    </row>
    <row r="347" spans="1:26" ht="30" customHeight="1" x14ac:dyDescent="0.25">
      <c r="A347" s="21"/>
      <c r="B347" s="33"/>
      <c r="C347" s="33"/>
      <c r="D347" s="24"/>
      <c r="E347" s="24"/>
      <c r="F347" s="24"/>
      <c r="G347" s="24"/>
      <c r="H347" s="34"/>
      <c r="I347" s="25"/>
      <c r="J347" s="25"/>
      <c r="K347" s="25"/>
      <c r="L347" s="26"/>
      <c r="M347" s="59" t="str">
        <f>IFERROR(INDEX(Vocab_NameList!$O:$O,MATCH($J347, Vocab_NameList!$M:$M, 0)),"")</f>
        <v/>
      </c>
      <c r="N347" s="29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63" t="str">
        <f>Table2[[#This Row],[Governorate
(Select from Dropdown)]]&amp;Table2[[#This Row],[Neighborhood
(Select from Dropdown)]]&amp;Table2[[#This Row],[Organization Name]]</f>
        <v/>
      </c>
      <c r="Z347" s="67"/>
    </row>
    <row r="348" spans="1:26" ht="30" customHeight="1" x14ac:dyDescent="0.25">
      <c r="A348" s="21"/>
      <c r="B348" s="33"/>
      <c r="C348" s="33"/>
      <c r="D348" s="24"/>
      <c r="E348" s="24"/>
      <c r="F348" s="24"/>
      <c r="G348" s="24"/>
      <c r="H348" s="34"/>
      <c r="I348" s="25"/>
      <c r="J348" s="25"/>
      <c r="K348" s="25"/>
      <c r="L348" s="26"/>
      <c r="M348" s="59" t="str">
        <f>IFERROR(INDEX(Vocab_NameList!$O:$O,MATCH($J348, Vocab_NameList!$M:$M, 0)),"")</f>
        <v/>
      </c>
      <c r="N348" s="29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63" t="str">
        <f>Table2[[#This Row],[Governorate
(Select from Dropdown)]]&amp;Table2[[#This Row],[Neighborhood
(Select from Dropdown)]]&amp;Table2[[#This Row],[Organization Name]]</f>
        <v/>
      </c>
      <c r="Z348" s="67"/>
    </row>
    <row r="349" spans="1:26" ht="30" customHeight="1" x14ac:dyDescent="0.25">
      <c r="A349" s="21"/>
      <c r="B349" s="33"/>
      <c r="C349" s="33"/>
      <c r="D349" s="24"/>
      <c r="E349" s="24"/>
      <c r="F349" s="24"/>
      <c r="G349" s="24"/>
      <c r="H349" s="34"/>
      <c r="I349" s="25"/>
      <c r="J349" s="25"/>
      <c r="K349" s="25"/>
      <c r="L349" s="26"/>
      <c r="M349" s="59" t="str">
        <f>IFERROR(INDEX(Vocab_NameList!$O:$O,MATCH($J349, Vocab_NameList!$M:$M, 0)),"")</f>
        <v/>
      </c>
      <c r="N349" s="29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63" t="str">
        <f>Table2[[#This Row],[Governorate
(Select from Dropdown)]]&amp;Table2[[#This Row],[Neighborhood
(Select from Dropdown)]]&amp;Table2[[#This Row],[Organization Name]]</f>
        <v/>
      </c>
      <c r="Z349" s="67"/>
    </row>
    <row r="350" spans="1:26" ht="30" customHeight="1" x14ac:dyDescent="0.25">
      <c r="A350" s="21"/>
      <c r="B350" s="33"/>
      <c r="C350" s="33"/>
      <c r="D350" s="24"/>
      <c r="E350" s="24"/>
      <c r="F350" s="24"/>
      <c r="G350" s="24"/>
      <c r="H350" s="34"/>
      <c r="I350" s="25"/>
      <c r="J350" s="25"/>
      <c r="K350" s="25"/>
      <c r="L350" s="26"/>
      <c r="M350" s="59" t="str">
        <f>IFERROR(INDEX(Vocab_NameList!$O:$O,MATCH($J350, Vocab_NameList!$M:$M, 0)),"")</f>
        <v/>
      </c>
      <c r="N350" s="29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63" t="str">
        <f>Table2[[#This Row],[Governorate
(Select from Dropdown)]]&amp;Table2[[#This Row],[Neighborhood
(Select from Dropdown)]]&amp;Table2[[#This Row],[Organization Name]]</f>
        <v/>
      </c>
      <c r="Z350" s="67"/>
    </row>
    <row r="351" spans="1:26" ht="30" customHeight="1" x14ac:dyDescent="0.25">
      <c r="A351" s="21"/>
      <c r="B351" s="33"/>
      <c r="C351" s="33"/>
      <c r="D351" s="24"/>
      <c r="E351" s="24"/>
      <c r="F351" s="24"/>
      <c r="G351" s="24"/>
      <c r="H351" s="34"/>
      <c r="I351" s="25"/>
      <c r="J351" s="25"/>
      <c r="K351" s="25"/>
      <c r="L351" s="26"/>
      <c r="M351" s="59" t="str">
        <f>IFERROR(INDEX(Vocab_NameList!$O:$O,MATCH($J351, Vocab_NameList!$M:$M, 0)),"")</f>
        <v/>
      </c>
      <c r="N351" s="29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63" t="str">
        <f>Table2[[#This Row],[Governorate
(Select from Dropdown)]]&amp;Table2[[#This Row],[Neighborhood
(Select from Dropdown)]]&amp;Table2[[#This Row],[Organization Name]]</f>
        <v/>
      </c>
      <c r="Z351" s="67"/>
    </row>
    <row r="352" spans="1:26" ht="30" customHeight="1" x14ac:dyDescent="0.25">
      <c r="A352" s="21"/>
      <c r="B352" s="33"/>
      <c r="C352" s="33"/>
      <c r="D352" s="24"/>
      <c r="E352" s="24"/>
      <c r="F352" s="24"/>
      <c r="G352" s="24"/>
      <c r="H352" s="34"/>
      <c r="I352" s="25"/>
      <c r="J352" s="25"/>
      <c r="K352" s="25"/>
      <c r="L352" s="26"/>
      <c r="M352" s="59" t="str">
        <f>IFERROR(INDEX(Vocab_NameList!$O:$O,MATCH($J352, Vocab_NameList!$M:$M, 0)),"")</f>
        <v/>
      </c>
      <c r="N352" s="29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63" t="str">
        <f>Table2[[#This Row],[Governorate
(Select from Dropdown)]]&amp;Table2[[#This Row],[Neighborhood
(Select from Dropdown)]]&amp;Table2[[#This Row],[Organization Name]]</f>
        <v/>
      </c>
      <c r="Z352" s="67"/>
    </row>
    <row r="353" spans="1:26" ht="30" customHeight="1" x14ac:dyDescent="0.25">
      <c r="A353" s="21"/>
      <c r="B353" s="33"/>
      <c r="C353" s="33"/>
      <c r="D353" s="24"/>
      <c r="E353" s="24"/>
      <c r="F353" s="24"/>
      <c r="G353" s="24"/>
      <c r="H353" s="34"/>
      <c r="I353" s="25"/>
      <c r="J353" s="25"/>
      <c r="K353" s="25"/>
      <c r="L353" s="26"/>
      <c r="M353" s="59" t="str">
        <f>IFERROR(INDEX(Vocab_NameList!$O:$O,MATCH($J353, Vocab_NameList!$M:$M, 0)),"")</f>
        <v/>
      </c>
      <c r="N353" s="29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63" t="str">
        <f>Table2[[#This Row],[Governorate
(Select from Dropdown)]]&amp;Table2[[#This Row],[Neighborhood
(Select from Dropdown)]]&amp;Table2[[#This Row],[Organization Name]]</f>
        <v/>
      </c>
      <c r="Z353" s="67"/>
    </row>
    <row r="354" spans="1:26" ht="30" customHeight="1" x14ac:dyDescent="0.25">
      <c r="A354" s="35"/>
      <c r="B354" s="33"/>
      <c r="C354" s="36"/>
      <c r="D354" s="37"/>
      <c r="E354" s="37"/>
      <c r="F354" s="37"/>
      <c r="G354" s="37"/>
      <c r="H354" s="38"/>
      <c r="I354" s="39"/>
      <c r="J354" s="39"/>
      <c r="K354" s="39"/>
      <c r="L354" s="40"/>
      <c r="M354" s="60" t="str">
        <f>IFERROR(INDEX(Vocab_NameList!$O:$O,MATCH($J354, Vocab_NameList!$M:$M, 0)),"")</f>
        <v/>
      </c>
      <c r="N354" s="41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63" t="str">
        <f>Table2[[#This Row],[Governorate
(Select from Dropdown)]]&amp;Table2[[#This Row],[Neighborhood
(Select from Dropdown)]]&amp;Table2[[#This Row],[Organization Name]]</f>
        <v/>
      </c>
      <c r="Z354" s="67"/>
    </row>
    <row r="355" spans="1:26" ht="30" customHeight="1" x14ac:dyDescent="0.25">
      <c r="A355" s="21"/>
      <c r="B355" s="33"/>
      <c r="C355" s="33"/>
      <c r="D355" s="24"/>
      <c r="E355" s="24"/>
      <c r="F355" s="24"/>
      <c r="G355" s="24"/>
      <c r="H355" s="34"/>
      <c r="I355" s="25"/>
      <c r="J355" s="25"/>
      <c r="K355" s="25"/>
      <c r="L355" s="26"/>
      <c r="M355" s="59" t="str">
        <f>IFERROR(INDEX(Vocab_NameList!$O:$O,MATCH($J355, Vocab_NameList!$M:$M, 0)),"")</f>
        <v/>
      </c>
      <c r="N355" s="29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63" t="str">
        <f>Table2[[#This Row],[Governorate
(Select from Dropdown)]]&amp;Table2[[#This Row],[Neighborhood
(Select from Dropdown)]]&amp;Table2[[#This Row],[Organization Name]]</f>
        <v/>
      </c>
      <c r="Z355" s="67"/>
    </row>
    <row r="356" spans="1:26" ht="30" customHeight="1" x14ac:dyDescent="0.25">
      <c r="A356" s="21"/>
      <c r="B356" s="33"/>
      <c r="C356" s="33"/>
      <c r="D356" s="24"/>
      <c r="E356" s="24"/>
      <c r="F356" s="24"/>
      <c r="G356" s="24"/>
      <c r="H356" s="34"/>
      <c r="I356" s="25"/>
      <c r="J356" s="25"/>
      <c r="K356" s="25"/>
      <c r="L356" s="26"/>
      <c r="M356" s="59" t="str">
        <f>IFERROR(INDEX(Vocab_NameList!$O:$O,MATCH($J356, Vocab_NameList!$M:$M, 0)),"")</f>
        <v/>
      </c>
      <c r="N356" s="29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63" t="str">
        <f>Table2[[#This Row],[Governorate
(Select from Dropdown)]]&amp;Table2[[#This Row],[Neighborhood
(Select from Dropdown)]]&amp;Table2[[#This Row],[Organization Name]]</f>
        <v/>
      </c>
      <c r="Z356" s="67"/>
    </row>
    <row r="357" spans="1:26" ht="30" customHeight="1" x14ac:dyDescent="0.25">
      <c r="A357" s="21"/>
      <c r="B357" s="33"/>
      <c r="C357" s="33"/>
      <c r="D357" s="24"/>
      <c r="E357" s="24"/>
      <c r="F357" s="24"/>
      <c r="G357" s="24"/>
      <c r="H357" s="34"/>
      <c r="I357" s="25"/>
      <c r="J357" s="25"/>
      <c r="K357" s="25"/>
      <c r="L357" s="26"/>
      <c r="M357" s="59" t="str">
        <f>IFERROR(INDEX(Vocab_NameList!$O:$O,MATCH($J357, Vocab_NameList!$M:$M, 0)),"")</f>
        <v/>
      </c>
      <c r="N357" s="29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63" t="str">
        <f>Table2[[#This Row],[Governorate
(Select from Dropdown)]]&amp;Table2[[#This Row],[Neighborhood
(Select from Dropdown)]]&amp;Table2[[#This Row],[Organization Name]]</f>
        <v/>
      </c>
      <c r="Z357" s="67"/>
    </row>
    <row r="358" spans="1:26" ht="30" customHeight="1" x14ac:dyDescent="0.25">
      <c r="A358" s="21"/>
      <c r="B358" s="33"/>
      <c r="C358" s="33"/>
      <c r="D358" s="24"/>
      <c r="E358" s="24"/>
      <c r="F358" s="24"/>
      <c r="G358" s="24"/>
      <c r="H358" s="34"/>
      <c r="I358" s="25"/>
      <c r="J358" s="25"/>
      <c r="K358" s="25"/>
      <c r="L358" s="26"/>
      <c r="M358" s="59" t="str">
        <f>IFERROR(INDEX(Vocab_NameList!$O:$O,MATCH($J358, Vocab_NameList!$M:$M, 0)),"")</f>
        <v/>
      </c>
      <c r="N358" s="29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63" t="str">
        <f>Table2[[#This Row],[Governorate
(Select from Dropdown)]]&amp;Table2[[#This Row],[Neighborhood
(Select from Dropdown)]]&amp;Table2[[#This Row],[Organization Name]]</f>
        <v/>
      </c>
      <c r="Z358" s="67"/>
    </row>
    <row r="359" spans="1:26" ht="30" customHeight="1" x14ac:dyDescent="0.25">
      <c r="A359" s="21"/>
      <c r="B359" s="33"/>
      <c r="C359" s="33"/>
      <c r="D359" s="24"/>
      <c r="E359" s="24"/>
      <c r="F359" s="24"/>
      <c r="G359" s="24"/>
      <c r="H359" s="34"/>
      <c r="I359" s="25"/>
      <c r="J359" s="25"/>
      <c r="K359" s="25"/>
      <c r="L359" s="26"/>
      <c r="M359" s="59" t="str">
        <f>IFERROR(INDEX(Vocab_NameList!$O:$O,MATCH($J359, Vocab_NameList!$M:$M, 0)),"")</f>
        <v/>
      </c>
      <c r="N359" s="29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63" t="str">
        <f>Table2[[#This Row],[Governorate
(Select from Dropdown)]]&amp;Table2[[#This Row],[Neighborhood
(Select from Dropdown)]]&amp;Table2[[#This Row],[Organization Name]]</f>
        <v/>
      </c>
      <c r="Z359" s="67"/>
    </row>
    <row r="360" spans="1:26" ht="30" customHeight="1" x14ac:dyDescent="0.25">
      <c r="A360" s="21"/>
      <c r="B360" s="33"/>
      <c r="C360" s="33"/>
      <c r="D360" s="24"/>
      <c r="E360" s="24"/>
      <c r="F360" s="24"/>
      <c r="G360" s="24"/>
      <c r="H360" s="34"/>
      <c r="I360" s="25"/>
      <c r="J360" s="25"/>
      <c r="K360" s="25"/>
      <c r="L360" s="26"/>
      <c r="M360" s="59" t="str">
        <f>IFERROR(INDEX(Vocab_NameList!$O:$O,MATCH($J360, Vocab_NameList!$M:$M, 0)),"")</f>
        <v/>
      </c>
      <c r="N360" s="29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63" t="str">
        <f>Table2[[#This Row],[Governorate
(Select from Dropdown)]]&amp;Table2[[#This Row],[Neighborhood
(Select from Dropdown)]]&amp;Table2[[#This Row],[Organization Name]]</f>
        <v/>
      </c>
      <c r="Z360" s="67"/>
    </row>
    <row r="361" spans="1:26" ht="30" customHeight="1" x14ac:dyDescent="0.25">
      <c r="A361" s="21"/>
      <c r="B361" s="33"/>
      <c r="C361" s="33"/>
      <c r="D361" s="24"/>
      <c r="E361" s="24"/>
      <c r="F361" s="24"/>
      <c r="G361" s="24"/>
      <c r="H361" s="34"/>
      <c r="I361" s="25"/>
      <c r="J361" s="25"/>
      <c r="K361" s="25"/>
      <c r="L361" s="26"/>
      <c r="M361" s="59" t="str">
        <f>IFERROR(INDEX(Vocab_NameList!$O:$O,MATCH($J361, Vocab_NameList!$M:$M, 0)),"")</f>
        <v/>
      </c>
      <c r="N361" s="29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63" t="str">
        <f>Table2[[#This Row],[Governorate
(Select from Dropdown)]]&amp;Table2[[#This Row],[Neighborhood
(Select from Dropdown)]]&amp;Table2[[#This Row],[Organization Name]]</f>
        <v/>
      </c>
      <c r="Z361" s="67"/>
    </row>
    <row r="362" spans="1:26" ht="30" customHeight="1" x14ac:dyDescent="0.25">
      <c r="A362" s="21"/>
      <c r="B362" s="33"/>
      <c r="C362" s="33"/>
      <c r="D362" s="24"/>
      <c r="E362" s="24"/>
      <c r="F362" s="24"/>
      <c r="G362" s="24"/>
      <c r="H362" s="34"/>
      <c r="I362" s="25"/>
      <c r="J362" s="25"/>
      <c r="K362" s="25"/>
      <c r="L362" s="26"/>
      <c r="M362" s="59" t="str">
        <f>IFERROR(INDEX(Vocab_NameList!$O:$O,MATCH($J362, Vocab_NameList!$M:$M, 0)),"")</f>
        <v/>
      </c>
      <c r="N362" s="29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63" t="str">
        <f>Table2[[#This Row],[Governorate
(Select from Dropdown)]]&amp;Table2[[#This Row],[Neighborhood
(Select from Dropdown)]]&amp;Table2[[#This Row],[Organization Name]]</f>
        <v/>
      </c>
      <c r="Z362" s="67"/>
    </row>
    <row r="363" spans="1:26" ht="30" customHeight="1" x14ac:dyDescent="0.25">
      <c r="A363" s="21"/>
      <c r="B363" s="33"/>
      <c r="C363" s="33"/>
      <c r="D363" s="24"/>
      <c r="E363" s="24"/>
      <c r="F363" s="24"/>
      <c r="G363" s="24"/>
      <c r="H363" s="34"/>
      <c r="I363" s="25"/>
      <c r="J363" s="25"/>
      <c r="K363" s="25"/>
      <c r="L363" s="26"/>
      <c r="M363" s="59" t="str">
        <f>IFERROR(INDEX(Vocab_NameList!$O:$O,MATCH($J363, Vocab_NameList!$M:$M, 0)),"")</f>
        <v/>
      </c>
      <c r="N363" s="29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63" t="str">
        <f>Table2[[#This Row],[Governorate
(Select from Dropdown)]]&amp;Table2[[#This Row],[Neighborhood
(Select from Dropdown)]]&amp;Table2[[#This Row],[Organization Name]]</f>
        <v/>
      </c>
      <c r="Z363" s="67"/>
    </row>
    <row r="364" spans="1:26" ht="30" customHeight="1" x14ac:dyDescent="0.25">
      <c r="A364" s="21"/>
      <c r="B364" s="33"/>
      <c r="C364" s="33"/>
      <c r="D364" s="24"/>
      <c r="E364" s="24"/>
      <c r="F364" s="24"/>
      <c r="G364" s="24"/>
      <c r="H364" s="34"/>
      <c r="I364" s="25"/>
      <c r="J364" s="25"/>
      <c r="K364" s="25"/>
      <c r="L364" s="26"/>
      <c r="M364" s="59" t="str">
        <f>IFERROR(INDEX(Vocab_NameList!$O:$O,MATCH($J364, Vocab_NameList!$M:$M, 0)),"")</f>
        <v/>
      </c>
      <c r="N364" s="29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63" t="str">
        <f>Table2[[#This Row],[Governorate
(Select from Dropdown)]]&amp;Table2[[#This Row],[Neighborhood
(Select from Dropdown)]]&amp;Table2[[#This Row],[Organization Name]]</f>
        <v/>
      </c>
      <c r="Z364" s="67"/>
    </row>
    <row r="365" spans="1:26" ht="30" customHeight="1" x14ac:dyDescent="0.25">
      <c r="A365" s="21"/>
      <c r="B365" s="33"/>
      <c r="C365" s="33"/>
      <c r="D365" s="24"/>
      <c r="E365" s="24"/>
      <c r="F365" s="24"/>
      <c r="G365" s="24"/>
      <c r="H365" s="34"/>
      <c r="I365" s="25"/>
      <c r="J365" s="25"/>
      <c r="K365" s="25"/>
      <c r="L365" s="26"/>
      <c r="M365" s="59" t="str">
        <f>IFERROR(INDEX(Vocab_NameList!$O:$O,MATCH($J365, Vocab_NameList!$M:$M, 0)),"")</f>
        <v/>
      </c>
      <c r="N365" s="29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63" t="str">
        <f>Table2[[#This Row],[Governorate
(Select from Dropdown)]]&amp;Table2[[#This Row],[Neighborhood
(Select from Dropdown)]]&amp;Table2[[#This Row],[Organization Name]]</f>
        <v/>
      </c>
      <c r="Z365" s="67"/>
    </row>
    <row r="366" spans="1:26" ht="30" customHeight="1" x14ac:dyDescent="0.25">
      <c r="A366" s="21"/>
      <c r="B366" s="33"/>
      <c r="C366" s="33"/>
      <c r="D366" s="24"/>
      <c r="E366" s="24"/>
      <c r="F366" s="24"/>
      <c r="G366" s="24"/>
      <c r="H366" s="34"/>
      <c r="I366" s="25"/>
      <c r="J366" s="25"/>
      <c r="K366" s="25"/>
      <c r="L366" s="26"/>
      <c r="M366" s="59" t="str">
        <f>IFERROR(INDEX(Vocab_NameList!$O:$O,MATCH($J366, Vocab_NameList!$M:$M, 0)),"")</f>
        <v/>
      </c>
      <c r="N366" s="29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63" t="str">
        <f>Table2[[#This Row],[Governorate
(Select from Dropdown)]]&amp;Table2[[#This Row],[Neighborhood
(Select from Dropdown)]]&amp;Table2[[#This Row],[Organization Name]]</f>
        <v/>
      </c>
      <c r="Z366" s="67"/>
    </row>
    <row r="367" spans="1:26" ht="30" customHeight="1" x14ac:dyDescent="0.25">
      <c r="A367" s="21"/>
      <c r="B367" s="33"/>
      <c r="C367" s="33"/>
      <c r="D367" s="24"/>
      <c r="E367" s="24"/>
      <c r="F367" s="24"/>
      <c r="G367" s="24"/>
      <c r="H367" s="34"/>
      <c r="I367" s="25"/>
      <c r="J367" s="25"/>
      <c r="K367" s="25"/>
      <c r="L367" s="26"/>
      <c r="M367" s="59" t="str">
        <f>IFERROR(INDEX(Vocab_NameList!$O:$O,MATCH($J367, Vocab_NameList!$M:$M, 0)),"")</f>
        <v/>
      </c>
      <c r="N367" s="29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63" t="str">
        <f>Table2[[#This Row],[Governorate
(Select from Dropdown)]]&amp;Table2[[#This Row],[Neighborhood
(Select from Dropdown)]]&amp;Table2[[#This Row],[Organization Name]]</f>
        <v/>
      </c>
      <c r="Z367" s="67"/>
    </row>
    <row r="368" spans="1:26" ht="30" customHeight="1" x14ac:dyDescent="0.25">
      <c r="A368" s="21"/>
      <c r="B368" s="33"/>
      <c r="C368" s="33"/>
      <c r="D368" s="24"/>
      <c r="E368" s="24"/>
      <c r="F368" s="24"/>
      <c r="G368" s="24"/>
      <c r="H368" s="34"/>
      <c r="I368" s="25"/>
      <c r="J368" s="25"/>
      <c r="K368" s="25"/>
      <c r="L368" s="26"/>
      <c r="M368" s="59" t="str">
        <f>IFERROR(INDEX(Vocab_NameList!$O:$O,MATCH($J368, Vocab_NameList!$M:$M, 0)),"")</f>
        <v/>
      </c>
      <c r="N368" s="29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63" t="str">
        <f>Table2[[#This Row],[Governorate
(Select from Dropdown)]]&amp;Table2[[#This Row],[Neighborhood
(Select from Dropdown)]]&amp;Table2[[#This Row],[Organization Name]]</f>
        <v/>
      </c>
      <c r="Z368" s="67"/>
    </row>
    <row r="369" spans="1:26" ht="30" customHeight="1" x14ac:dyDescent="0.25">
      <c r="A369" s="21"/>
      <c r="B369" s="33"/>
      <c r="C369" s="33"/>
      <c r="D369" s="24"/>
      <c r="E369" s="24"/>
      <c r="F369" s="24"/>
      <c r="G369" s="24"/>
      <c r="H369" s="34"/>
      <c r="I369" s="25"/>
      <c r="J369" s="25"/>
      <c r="K369" s="25"/>
      <c r="L369" s="26"/>
      <c r="M369" s="59" t="str">
        <f>IFERROR(INDEX(Vocab_NameList!$O:$O,MATCH($J369, Vocab_NameList!$M:$M, 0)),"")</f>
        <v/>
      </c>
      <c r="N369" s="29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63" t="str">
        <f>Table2[[#This Row],[Governorate
(Select from Dropdown)]]&amp;Table2[[#This Row],[Neighborhood
(Select from Dropdown)]]&amp;Table2[[#This Row],[Organization Name]]</f>
        <v/>
      </c>
      <c r="Z369" s="67"/>
    </row>
    <row r="370" spans="1:26" ht="30" customHeight="1" x14ac:dyDescent="0.25">
      <c r="A370" s="21"/>
      <c r="B370" s="33"/>
      <c r="C370" s="33"/>
      <c r="D370" s="24"/>
      <c r="E370" s="24"/>
      <c r="F370" s="24"/>
      <c r="G370" s="24"/>
      <c r="H370" s="34"/>
      <c r="I370" s="25"/>
      <c r="J370" s="25"/>
      <c r="K370" s="25"/>
      <c r="L370" s="26"/>
      <c r="M370" s="59" t="str">
        <f>IFERROR(INDEX(Vocab_NameList!$O:$O,MATCH($J370, Vocab_NameList!$M:$M, 0)),"")</f>
        <v/>
      </c>
      <c r="N370" s="29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63" t="str">
        <f>Table2[[#This Row],[Governorate
(Select from Dropdown)]]&amp;Table2[[#This Row],[Neighborhood
(Select from Dropdown)]]&amp;Table2[[#This Row],[Organization Name]]</f>
        <v/>
      </c>
      <c r="Z370" s="67"/>
    </row>
    <row r="371" spans="1:26" ht="30" customHeight="1" x14ac:dyDescent="0.25">
      <c r="A371" s="21"/>
      <c r="B371" s="33"/>
      <c r="C371" s="33"/>
      <c r="D371" s="24"/>
      <c r="E371" s="24"/>
      <c r="F371" s="24"/>
      <c r="G371" s="24"/>
      <c r="H371" s="34"/>
      <c r="I371" s="25"/>
      <c r="J371" s="25"/>
      <c r="K371" s="25"/>
      <c r="L371" s="26"/>
      <c r="M371" s="59" t="str">
        <f>IFERROR(INDEX(Vocab_NameList!$O:$O,MATCH($J371, Vocab_NameList!$M:$M, 0)),"")</f>
        <v/>
      </c>
      <c r="N371" s="29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63" t="str">
        <f>Table2[[#This Row],[Governorate
(Select from Dropdown)]]&amp;Table2[[#This Row],[Neighborhood
(Select from Dropdown)]]&amp;Table2[[#This Row],[Organization Name]]</f>
        <v/>
      </c>
      <c r="Z371" s="67"/>
    </row>
    <row r="372" spans="1:26" ht="30" customHeight="1" x14ac:dyDescent="0.25">
      <c r="A372" s="21"/>
      <c r="B372" s="33"/>
      <c r="C372" s="33"/>
      <c r="D372" s="24"/>
      <c r="E372" s="24"/>
      <c r="F372" s="24"/>
      <c r="G372" s="24"/>
      <c r="H372" s="34"/>
      <c r="I372" s="25"/>
      <c r="J372" s="25"/>
      <c r="K372" s="25"/>
      <c r="L372" s="26"/>
      <c r="M372" s="59" t="str">
        <f>IFERROR(INDEX(Vocab_NameList!$O:$O,MATCH($J372, Vocab_NameList!$M:$M, 0)),"")</f>
        <v/>
      </c>
      <c r="N372" s="29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63" t="str">
        <f>Table2[[#This Row],[Governorate
(Select from Dropdown)]]&amp;Table2[[#This Row],[Neighborhood
(Select from Dropdown)]]&amp;Table2[[#This Row],[Organization Name]]</f>
        <v/>
      </c>
      <c r="Z372" s="67"/>
    </row>
    <row r="373" spans="1:26" ht="30" customHeight="1" x14ac:dyDescent="0.25">
      <c r="A373" s="21"/>
      <c r="B373" s="33"/>
      <c r="C373" s="33"/>
      <c r="D373" s="24"/>
      <c r="E373" s="24"/>
      <c r="F373" s="24"/>
      <c r="G373" s="24"/>
      <c r="H373" s="34"/>
      <c r="I373" s="25"/>
      <c r="J373" s="25"/>
      <c r="K373" s="25"/>
      <c r="L373" s="26"/>
      <c r="M373" s="59" t="str">
        <f>IFERROR(INDEX(Vocab_NameList!$O:$O,MATCH($J373, Vocab_NameList!$M:$M, 0)),"")</f>
        <v/>
      </c>
      <c r="N373" s="29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63" t="str">
        <f>Table2[[#This Row],[Governorate
(Select from Dropdown)]]&amp;Table2[[#This Row],[Neighborhood
(Select from Dropdown)]]&amp;Table2[[#This Row],[Organization Name]]</f>
        <v/>
      </c>
      <c r="Z373" s="67"/>
    </row>
    <row r="374" spans="1:26" ht="30" customHeight="1" x14ac:dyDescent="0.25">
      <c r="A374" s="21"/>
      <c r="B374" s="33"/>
      <c r="C374" s="33"/>
      <c r="D374" s="24"/>
      <c r="E374" s="24"/>
      <c r="F374" s="24"/>
      <c r="G374" s="24"/>
      <c r="H374" s="34"/>
      <c r="I374" s="25"/>
      <c r="J374" s="25"/>
      <c r="K374" s="25"/>
      <c r="L374" s="26"/>
      <c r="M374" s="59" t="str">
        <f>IFERROR(INDEX(Vocab_NameList!$O:$O,MATCH($J374, Vocab_NameList!$M:$M, 0)),"")</f>
        <v/>
      </c>
      <c r="N374" s="29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63" t="str">
        <f>Table2[[#This Row],[Governorate
(Select from Dropdown)]]&amp;Table2[[#This Row],[Neighborhood
(Select from Dropdown)]]&amp;Table2[[#This Row],[Organization Name]]</f>
        <v/>
      </c>
      <c r="Z374" s="67"/>
    </row>
    <row r="375" spans="1:26" ht="30" customHeight="1" x14ac:dyDescent="0.25">
      <c r="A375" s="21"/>
      <c r="B375" s="33"/>
      <c r="C375" s="33"/>
      <c r="D375" s="24"/>
      <c r="E375" s="24"/>
      <c r="F375" s="24"/>
      <c r="G375" s="24"/>
      <c r="H375" s="34"/>
      <c r="I375" s="25"/>
      <c r="J375" s="25"/>
      <c r="K375" s="25"/>
      <c r="L375" s="26"/>
      <c r="M375" s="59" t="str">
        <f>IFERROR(INDEX(Vocab_NameList!$O:$O,MATCH($J375, Vocab_NameList!$M:$M, 0)),"")</f>
        <v/>
      </c>
      <c r="N375" s="29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63" t="str">
        <f>Table2[[#This Row],[Governorate
(Select from Dropdown)]]&amp;Table2[[#This Row],[Neighborhood
(Select from Dropdown)]]&amp;Table2[[#This Row],[Organization Name]]</f>
        <v/>
      </c>
      <c r="Z375" s="67"/>
    </row>
    <row r="376" spans="1:26" ht="30" customHeight="1" x14ac:dyDescent="0.25">
      <c r="A376" s="21"/>
      <c r="B376" s="33"/>
      <c r="C376" s="33"/>
      <c r="D376" s="24"/>
      <c r="E376" s="24"/>
      <c r="F376" s="24"/>
      <c r="G376" s="24"/>
      <c r="H376" s="34"/>
      <c r="I376" s="25"/>
      <c r="J376" s="25"/>
      <c r="K376" s="25"/>
      <c r="L376" s="26"/>
      <c r="M376" s="59" t="str">
        <f>IFERROR(INDEX(Vocab_NameList!$O:$O,MATCH($J376, Vocab_NameList!$M:$M, 0)),"")</f>
        <v/>
      </c>
      <c r="N376" s="29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63" t="str">
        <f>Table2[[#This Row],[Governorate
(Select from Dropdown)]]&amp;Table2[[#This Row],[Neighborhood
(Select from Dropdown)]]&amp;Table2[[#This Row],[Organization Name]]</f>
        <v/>
      </c>
      <c r="Z376" s="67"/>
    </row>
    <row r="377" spans="1:26" ht="30" customHeight="1" x14ac:dyDescent="0.25">
      <c r="A377" s="21"/>
      <c r="B377" s="33"/>
      <c r="C377" s="33"/>
      <c r="D377" s="24"/>
      <c r="E377" s="24"/>
      <c r="F377" s="24"/>
      <c r="G377" s="24"/>
      <c r="H377" s="34"/>
      <c r="I377" s="25"/>
      <c r="J377" s="25"/>
      <c r="K377" s="25"/>
      <c r="L377" s="26"/>
      <c r="M377" s="59" t="str">
        <f>IFERROR(INDEX(Vocab_NameList!$O:$O,MATCH($J377, Vocab_NameList!$M:$M, 0)),"")</f>
        <v/>
      </c>
      <c r="N377" s="29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63" t="str">
        <f>Table2[[#This Row],[Governorate
(Select from Dropdown)]]&amp;Table2[[#This Row],[Neighborhood
(Select from Dropdown)]]&amp;Table2[[#This Row],[Organization Name]]</f>
        <v/>
      </c>
      <c r="Z377" s="67"/>
    </row>
    <row r="378" spans="1:26" ht="30" customHeight="1" x14ac:dyDescent="0.25">
      <c r="A378" s="21"/>
      <c r="B378" s="33"/>
      <c r="C378" s="33"/>
      <c r="D378" s="24"/>
      <c r="E378" s="24"/>
      <c r="F378" s="24"/>
      <c r="G378" s="24"/>
      <c r="H378" s="34"/>
      <c r="I378" s="25"/>
      <c r="J378" s="25"/>
      <c r="K378" s="25"/>
      <c r="L378" s="26"/>
      <c r="M378" s="59" t="str">
        <f>IFERROR(INDEX(Vocab_NameList!$O:$O,MATCH($J378, Vocab_NameList!$M:$M, 0)),"")</f>
        <v/>
      </c>
      <c r="N378" s="29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63" t="str">
        <f>Table2[[#This Row],[Governorate
(Select from Dropdown)]]&amp;Table2[[#This Row],[Neighborhood
(Select from Dropdown)]]&amp;Table2[[#This Row],[Organization Name]]</f>
        <v/>
      </c>
      <c r="Z378" s="67"/>
    </row>
    <row r="379" spans="1:26" ht="30" customHeight="1" x14ac:dyDescent="0.25">
      <c r="A379" s="21"/>
      <c r="B379" s="33"/>
      <c r="C379" s="33"/>
      <c r="D379" s="24"/>
      <c r="E379" s="24"/>
      <c r="F379" s="24"/>
      <c r="G379" s="24"/>
      <c r="H379" s="34"/>
      <c r="I379" s="25"/>
      <c r="J379" s="25"/>
      <c r="K379" s="25"/>
      <c r="L379" s="26"/>
      <c r="M379" s="59" t="str">
        <f>IFERROR(INDEX(Vocab_NameList!$O:$O,MATCH($J379, Vocab_NameList!$M:$M, 0)),"")</f>
        <v/>
      </c>
      <c r="N379" s="29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63" t="str">
        <f>Table2[[#This Row],[Governorate
(Select from Dropdown)]]&amp;Table2[[#This Row],[Neighborhood
(Select from Dropdown)]]&amp;Table2[[#This Row],[Organization Name]]</f>
        <v/>
      </c>
      <c r="Z379" s="67"/>
    </row>
    <row r="380" spans="1:26" ht="30" customHeight="1" x14ac:dyDescent="0.25">
      <c r="A380" s="21"/>
      <c r="B380" s="33"/>
      <c r="C380" s="33"/>
      <c r="D380" s="24"/>
      <c r="E380" s="24"/>
      <c r="F380" s="24"/>
      <c r="G380" s="24"/>
      <c r="H380" s="34"/>
      <c r="I380" s="25"/>
      <c r="J380" s="25"/>
      <c r="K380" s="25"/>
      <c r="L380" s="26"/>
      <c r="M380" s="59" t="str">
        <f>IFERROR(INDEX(Vocab_NameList!$O:$O,MATCH($J380, Vocab_NameList!$M:$M, 0)),"")</f>
        <v/>
      </c>
      <c r="N380" s="29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63" t="str">
        <f>Table2[[#This Row],[Governorate
(Select from Dropdown)]]&amp;Table2[[#This Row],[Neighborhood
(Select from Dropdown)]]&amp;Table2[[#This Row],[Organization Name]]</f>
        <v/>
      </c>
      <c r="Z380" s="67"/>
    </row>
    <row r="381" spans="1:26" ht="30" customHeight="1" x14ac:dyDescent="0.25">
      <c r="A381" s="21"/>
      <c r="B381" s="33"/>
      <c r="C381" s="33"/>
      <c r="D381" s="24"/>
      <c r="E381" s="24"/>
      <c r="F381" s="24"/>
      <c r="G381" s="24"/>
      <c r="H381" s="34"/>
      <c r="I381" s="25"/>
      <c r="J381" s="25"/>
      <c r="K381" s="25"/>
      <c r="L381" s="26"/>
      <c r="M381" s="59" t="str">
        <f>IFERROR(INDEX(Vocab_NameList!$O:$O,MATCH($J381, Vocab_NameList!$M:$M, 0)),"")</f>
        <v/>
      </c>
      <c r="N381" s="29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63" t="str">
        <f>Table2[[#This Row],[Governorate
(Select from Dropdown)]]&amp;Table2[[#This Row],[Neighborhood
(Select from Dropdown)]]&amp;Table2[[#This Row],[Organization Name]]</f>
        <v/>
      </c>
      <c r="Z381" s="67"/>
    </row>
    <row r="382" spans="1:26" ht="30" customHeight="1" x14ac:dyDescent="0.25">
      <c r="A382" s="21"/>
      <c r="B382" s="33"/>
      <c r="C382" s="33"/>
      <c r="D382" s="24"/>
      <c r="E382" s="24"/>
      <c r="F382" s="24"/>
      <c r="G382" s="24"/>
      <c r="H382" s="34"/>
      <c r="I382" s="25"/>
      <c r="J382" s="25"/>
      <c r="K382" s="25"/>
      <c r="L382" s="26"/>
      <c r="M382" s="59" t="str">
        <f>IFERROR(INDEX(Vocab_NameList!$O:$O,MATCH($J382, Vocab_NameList!$M:$M, 0)),"")</f>
        <v/>
      </c>
      <c r="N382" s="29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63" t="str">
        <f>Table2[[#This Row],[Governorate
(Select from Dropdown)]]&amp;Table2[[#This Row],[Neighborhood
(Select from Dropdown)]]&amp;Table2[[#This Row],[Organization Name]]</f>
        <v/>
      </c>
      <c r="Z382" s="67"/>
    </row>
    <row r="383" spans="1:26" ht="30" customHeight="1" x14ac:dyDescent="0.25">
      <c r="A383" s="21"/>
      <c r="B383" s="33"/>
      <c r="C383" s="33"/>
      <c r="D383" s="24"/>
      <c r="E383" s="24"/>
      <c r="F383" s="24"/>
      <c r="G383" s="24"/>
      <c r="H383" s="34"/>
      <c r="I383" s="25"/>
      <c r="J383" s="25"/>
      <c r="K383" s="25"/>
      <c r="L383" s="26"/>
      <c r="M383" s="59" t="str">
        <f>IFERROR(INDEX(Vocab_NameList!$O:$O,MATCH($J383, Vocab_NameList!$M:$M, 0)),"")</f>
        <v/>
      </c>
      <c r="N383" s="29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63" t="str">
        <f>Table2[[#This Row],[Governorate
(Select from Dropdown)]]&amp;Table2[[#This Row],[Neighborhood
(Select from Dropdown)]]&amp;Table2[[#This Row],[Organization Name]]</f>
        <v/>
      </c>
      <c r="Z383" s="67"/>
    </row>
    <row r="384" spans="1:26" ht="30" customHeight="1" x14ac:dyDescent="0.25">
      <c r="A384" s="21"/>
      <c r="B384" s="33"/>
      <c r="C384" s="33"/>
      <c r="D384" s="24"/>
      <c r="E384" s="24"/>
      <c r="F384" s="24"/>
      <c r="G384" s="24"/>
      <c r="H384" s="34"/>
      <c r="I384" s="25"/>
      <c r="J384" s="25"/>
      <c r="K384" s="25"/>
      <c r="L384" s="26"/>
      <c r="M384" s="59" t="str">
        <f>IFERROR(INDEX(Vocab_NameList!$O:$O,MATCH($J384, Vocab_NameList!$M:$M, 0)),"")</f>
        <v/>
      </c>
      <c r="N384" s="29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63" t="str">
        <f>Table2[[#This Row],[Governorate
(Select from Dropdown)]]&amp;Table2[[#This Row],[Neighborhood
(Select from Dropdown)]]&amp;Table2[[#This Row],[Organization Name]]</f>
        <v/>
      </c>
      <c r="Z384" s="67"/>
    </row>
    <row r="385" spans="1:26" ht="30" customHeight="1" x14ac:dyDescent="0.25">
      <c r="A385" s="21"/>
      <c r="B385" s="33"/>
      <c r="C385" s="33"/>
      <c r="D385" s="24"/>
      <c r="E385" s="24"/>
      <c r="F385" s="24"/>
      <c r="G385" s="24"/>
      <c r="H385" s="34"/>
      <c r="I385" s="25"/>
      <c r="J385" s="25"/>
      <c r="K385" s="25"/>
      <c r="L385" s="26"/>
      <c r="M385" s="59" t="str">
        <f>IFERROR(INDEX(Vocab_NameList!$O:$O,MATCH($J385, Vocab_NameList!$M:$M, 0)),"")</f>
        <v/>
      </c>
      <c r="N385" s="29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63" t="str">
        <f>Table2[[#This Row],[Governorate
(Select from Dropdown)]]&amp;Table2[[#This Row],[Neighborhood
(Select from Dropdown)]]&amp;Table2[[#This Row],[Organization Name]]</f>
        <v/>
      </c>
      <c r="Z385" s="67"/>
    </row>
    <row r="386" spans="1:26" ht="30" customHeight="1" x14ac:dyDescent="0.25">
      <c r="A386" s="21"/>
      <c r="B386" s="33"/>
      <c r="C386" s="33"/>
      <c r="D386" s="24"/>
      <c r="E386" s="24"/>
      <c r="F386" s="24"/>
      <c r="G386" s="24"/>
      <c r="H386" s="34"/>
      <c r="I386" s="25"/>
      <c r="J386" s="25"/>
      <c r="K386" s="25"/>
      <c r="L386" s="26"/>
      <c r="M386" s="59" t="str">
        <f>IFERROR(INDEX(Vocab_NameList!$O:$O,MATCH($J386, Vocab_NameList!$M:$M, 0)),"")</f>
        <v/>
      </c>
      <c r="N386" s="29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63" t="str">
        <f>Table2[[#This Row],[Governorate
(Select from Dropdown)]]&amp;Table2[[#This Row],[Neighborhood
(Select from Dropdown)]]&amp;Table2[[#This Row],[Organization Name]]</f>
        <v/>
      </c>
      <c r="Z386" s="67"/>
    </row>
    <row r="387" spans="1:26" ht="30" customHeight="1" x14ac:dyDescent="0.25">
      <c r="A387" s="21"/>
      <c r="B387" s="33"/>
      <c r="C387" s="33"/>
      <c r="D387" s="24"/>
      <c r="E387" s="24"/>
      <c r="F387" s="24"/>
      <c r="G387" s="24"/>
      <c r="H387" s="34"/>
      <c r="I387" s="25"/>
      <c r="J387" s="25"/>
      <c r="K387" s="25"/>
      <c r="L387" s="26"/>
      <c r="M387" s="59" t="str">
        <f>IFERROR(INDEX(Vocab_NameList!$O:$O,MATCH($J387, Vocab_NameList!$M:$M, 0)),"")</f>
        <v/>
      </c>
      <c r="N387" s="29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63" t="str">
        <f>Table2[[#This Row],[Governorate
(Select from Dropdown)]]&amp;Table2[[#This Row],[Neighborhood
(Select from Dropdown)]]&amp;Table2[[#This Row],[Organization Name]]</f>
        <v/>
      </c>
      <c r="Z387" s="67"/>
    </row>
    <row r="388" spans="1:26" ht="30" customHeight="1" x14ac:dyDescent="0.25">
      <c r="A388" s="21"/>
      <c r="B388" s="33"/>
      <c r="C388" s="33"/>
      <c r="D388" s="24"/>
      <c r="E388" s="24"/>
      <c r="F388" s="24"/>
      <c r="G388" s="24"/>
      <c r="H388" s="34"/>
      <c r="I388" s="25"/>
      <c r="J388" s="25"/>
      <c r="K388" s="25"/>
      <c r="L388" s="26"/>
      <c r="M388" s="59" t="str">
        <f>IFERROR(INDEX(Vocab_NameList!$O:$O,MATCH($J388, Vocab_NameList!$M:$M, 0)),"")</f>
        <v/>
      </c>
      <c r="N388" s="29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63" t="str">
        <f>Table2[[#This Row],[Governorate
(Select from Dropdown)]]&amp;Table2[[#This Row],[Neighborhood
(Select from Dropdown)]]&amp;Table2[[#This Row],[Organization Name]]</f>
        <v/>
      </c>
      <c r="Z388" s="67"/>
    </row>
    <row r="389" spans="1:26" ht="30" customHeight="1" x14ac:dyDescent="0.25">
      <c r="A389" s="21"/>
      <c r="B389" s="33"/>
      <c r="C389" s="33"/>
      <c r="D389" s="24"/>
      <c r="E389" s="24"/>
      <c r="F389" s="24"/>
      <c r="G389" s="24"/>
      <c r="H389" s="34"/>
      <c r="I389" s="25"/>
      <c r="J389" s="25"/>
      <c r="K389" s="25"/>
      <c r="L389" s="26"/>
      <c r="M389" s="59" t="str">
        <f>IFERROR(INDEX(Vocab_NameList!$O:$O,MATCH($J389, Vocab_NameList!$M:$M, 0)),"")</f>
        <v/>
      </c>
      <c r="N389" s="29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63" t="str">
        <f>Table2[[#This Row],[Governorate
(Select from Dropdown)]]&amp;Table2[[#This Row],[Neighborhood
(Select from Dropdown)]]&amp;Table2[[#This Row],[Organization Name]]</f>
        <v/>
      </c>
      <c r="Z389" s="67"/>
    </row>
    <row r="390" spans="1:26" ht="30" customHeight="1" x14ac:dyDescent="0.25">
      <c r="A390" s="21"/>
      <c r="B390" s="33"/>
      <c r="C390" s="33"/>
      <c r="D390" s="24"/>
      <c r="E390" s="24"/>
      <c r="F390" s="24"/>
      <c r="G390" s="24"/>
      <c r="H390" s="34"/>
      <c r="I390" s="25"/>
      <c r="J390" s="25"/>
      <c r="K390" s="25"/>
      <c r="L390" s="26"/>
      <c r="M390" s="59" t="str">
        <f>IFERROR(INDEX(Vocab_NameList!$O:$O,MATCH($J390, Vocab_NameList!$M:$M, 0)),"")</f>
        <v/>
      </c>
      <c r="N390" s="29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63" t="str">
        <f>Table2[[#This Row],[Governorate
(Select from Dropdown)]]&amp;Table2[[#This Row],[Neighborhood
(Select from Dropdown)]]&amp;Table2[[#This Row],[Organization Name]]</f>
        <v/>
      </c>
      <c r="Z390" s="67"/>
    </row>
    <row r="391" spans="1:26" ht="30" customHeight="1" x14ac:dyDescent="0.25">
      <c r="A391" s="21"/>
      <c r="B391" s="33"/>
      <c r="C391" s="33"/>
      <c r="D391" s="24"/>
      <c r="E391" s="24"/>
      <c r="F391" s="24"/>
      <c r="G391" s="24"/>
      <c r="H391" s="34"/>
      <c r="I391" s="25"/>
      <c r="J391" s="25"/>
      <c r="K391" s="25"/>
      <c r="L391" s="26"/>
      <c r="M391" s="59" t="str">
        <f>IFERROR(INDEX(Vocab_NameList!$O:$O,MATCH($J391, Vocab_NameList!$M:$M, 0)),"")</f>
        <v/>
      </c>
      <c r="N391" s="29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63" t="str">
        <f>Table2[[#This Row],[Governorate
(Select from Dropdown)]]&amp;Table2[[#This Row],[Neighborhood
(Select from Dropdown)]]&amp;Table2[[#This Row],[Organization Name]]</f>
        <v/>
      </c>
      <c r="Z391" s="67"/>
    </row>
    <row r="392" spans="1:26" ht="30" customHeight="1" x14ac:dyDescent="0.25">
      <c r="A392" s="21"/>
      <c r="B392" s="33"/>
      <c r="C392" s="33"/>
      <c r="D392" s="24"/>
      <c r="E392" s="24"/>
      <c r="F392" s="24"/>
      <c r="G392" s="24"/>
      <c r="H392" s="34"/>
      <c r="I392" s="25"/>
      <c r="J392" s="25"/>
      <c r="K392" s="25"/>
      <c r="L392" s="26"/>
      <c r="M392" s="59" t="str">
        <f>IFERROR(INDEX(Vocab_NameList!$O:$O,MATCH($J392, Vocab_NameList!$M:$M, 0)),"")</f>
        <v/>
      </c>
      <c r="N392" s="29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63" t="str">
        <f>Table2[[#This Row],[Governorate
(Select from Dropdown)]]&amp;Table2[[#This Row],[Neighborhood
(Select from Dropdown)]]&amp;Table2[[#This Row],[Organization Name]]</f>
        <v/>
      </c>
      <c r="Z392" s="67"/>
    </row>
    <row r="393" spans="1:26" ht="30" customHeight="1" x14ac:dyDescent="0.25">
      <c r="A393" s="21"/>
      <c r="B393" s="33"/>
      <c r="C393" s="33"/>
      <c r="D393" s="24"/>
      <c r="E393" s="24"/>
      <c r="F393" s="24"/>
      <c r="G393" s="24"/>
      <c r="H393" s="34"/>
      <c r="I393" s="25"/>
      <c r="J393" s="25"/>
      <c r="K393" s="25"/>
      <c r="L393" s="26"/>
      <c r="M393" s="59" t="str">
        <f>IFERROR(INDEX(Vocab_NameList!$O:$O,MATCH($J393, Vocab_NameList!$M:$M, 0)),"")</f>
        <v/>
      </c>
      <c r="N393" s="29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63" t="str">
        <f>Table2[[#This Row],[Governorate
(Select from Dropdown)]]&amp;Table2[[#This Row],[Neighborhood
(Select from Dropdown)]]&amp;Table2[[#This Row],[Organization Name]]</f>
        <v/>
      </c>
      <c r="Z393" s="67"/>
    </row>
    <row r="394" spans="1:26" ht="30" customHeight="1" x14ac:dyDescent="0.25">
      <c r="A394" s="21"/>
      <c r="B394" s="33"/>
      <c r="C394" s="33"/>
      <c r="D394" s="24"/>
      <c r="E394" s="24"/>
      <c r="F394" s="24"/>
      <c r="G394" s="24"/>
      <c r="H394" s="34"/>
      <c r="I394" s="25"/>
      <c r="J394" s="25"/>
      <c r="K394" s="25"/>
      <c r="L394" s="26"/>
      <c r="M394" s="59" t="str">
        <f>IFERROR(INDEX(Vocab_NameList!$O:$O,MATCH($J394, Vocab_NameList!$M:$M, 0)),"")</f>
        <v/>
      </c>
      <c r="N394" s="29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63" t="str">
        <f>Table2[[#This Row],[Governorate
(Select from Dropdown)]]&amp;Table2[[#This Row],[Neighborhood
(Select from Dropdown)]]&amp;Table2[[#This Row],[Organization Name]]</f>
        <v/>
      </c>
      <c r="Z394" s="67"/>
    </row>
    <row r="395" spans="1:26" ht="30" customHeight="1" x14ac:dyDescent="0.25">
      <c r="A395" s="21"/>
      <c r="B395" s="33"/>
      <c r="C395" s="33"/>
      <c r="D395" s="24"/>
      <c r="E395" s="24"/>
      <c r="F395" s="24"/>
      <c r="G395" s="24"/>
      <c r="H395" s="34"/>
      <c r="I395" s="25"/>
      <c r="J395" s="25"/>
      <c r="K395" s="25"/>
      <c r="L395" s="26"/>
      <c r="M395" s="59" t="str">
        <f>IFERROR(INDEX(Vocab_NameList!$O:$O,MATCH($J395, Vocab_NameList!$M:$M, 0)),"")</f>
        <v/>
      </c>
      <c r="N395" s="29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63" t="str">
        <f>Table2[[#This Row],[Governorate
(Select from Dropdown)]]&amp;Table2[[#This Row],[Neighborhood
(Select from Dropdown)]]&amp;Table2[[#This Row],[Organization Name]]</f>
        <v/>
      </c>
      <c r="Z395" s="67"/>
    </row>
    <row r="396" spans="1:26" ht="30" customHeight="1" x14ac:dyDescent="0.25">
      <c r="A396" s="21"/>
      <c r="B396" s="33"/>
      <c r="C396" s="33"/>
      <c r="D396" s="24"/>
      <c r="E396" s="24"/>
      <c r="F396" s="24"/>
      <c r="G396" s="24"/>
      <c r="H396" s="34"/>
      <c r="I396" s="25"/>
      <c r="J396" s="25"/>
      <c r="K396" s="25"/>
      <c r="L396" s="26"/>
      <c r="M396" s="59" t="str">
        <f>IFERROR(INDEX(Vocab_NameList!$O:$O,MATCH($J396, Vocab_NameList!$M:$M, 0)),"")</f>
        <v/>
      </c>
      <c r="N396" s="29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63" t="str">
        <f>Table2[[#This Row],[Governorate
(Select from Dropdown)]]&amp;Table2[[#This Row],[Neighborhood
(Select from Dropdown)]]&amp;Table2[[#This Row],[Organization Name]]</f>
        <v/>
      </c>
      <c r="Z396" s="67"/>
    </row>
    <row r="397" spans="1:26" ht="30" customHeight="1" x14ac:dyDescent="0.25">
      <c r="A397" s="35"/>
      <c r="B397" s="36"/>
      <c r="C397" s="36"/>
      <c r="D397" s="37"/>
      <c r="E397" s="37"/>
      <c r="F397" s="37"/>
      <c r="G397" s="37"/>
      <c r="H397" s="38"/>
      <c r="I397" s="39"/>
      <c r="J397" s="39"/>
      <c r="K397" s="39"/>
      <c r="L397" s="40"/>
      <c r="M397" s="60" t="str">
        <f>IFERROR(INDEX(Vocab_NameList!$O:$O,MATCH($J397, Vocab_NameList!$M:$M, 0)),"")</f>
        <v/>
      </c>
      <c r="N397" s="41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63" t="str">
        <f>Table2[[#This Row],[Governorate
(Select from Dropdown)]]&amp;Table2[[#This Row],[Neighborhood
(Select from Dropdown)]]&amp;Table2[[#This Row],[Organization Name]]</f>
        <v/>
      </c>
      <c r="Z397" s="67"/>
    </row>
    <row r="398" spans="1:26" ht="30" customHeight="1" x14ac:dyDescent="0.25">
      <c r="A398" s="21"/>
      <c r="B398" s="33"/>
      <c r="C398" s="33"/>
      <c r="D398" s="24"/>
      <c r="E398" s="24"/>
      <c r="F398" s="24"/>
      <c r="G398" s="24"/>
      <c r="H398" s="34"/>
      <c r="I398" s="25"/>
      <c r="J398" s="25"/>
      <c r="K398" s="25"/>
      <c r="L398" s="26"/>
      <c r="M398" s="59" t="str">
        <f>IFERROR(INDEX(Vocab_NameList!$O:$O,MATCH($J398, Vocab_NameList!$M:$M, 0)),"")</f>
        <v/>
      </c>
      <c r="N398" s="29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68" t="str">
        <f>Table2[[#This Row],[Governorate
(Select from Dropdown)]]&amp;Table2[[#This Row],[Neighborhood
(Select from Dropdown)]]&amp;Table2[[#This Row],[Organization Name]]</f>
        <v/>
      </c>
      <c r="Z398" s="67"/>
    </row>
    <row r="399" spans="1:26" ht="30" customHeight="1" x14ac:dyDescent="0.25">
      <c r="A399" s="21"/>
      <c r="B399" s="33"/>
      <c r="C399" s="33"/>
      <c r="D399" s="24"/>
      <c r="E399" s="24"/>
      <c r="F399" s="24"/>
      <c r="G399" s="24"/>
      <c r="H399" s="34"/>
      <c r="I399" s="25"/>
      <c r="J399" s="25"/>
      <c r="K399" s="25"/>
      <c r="L399" s="26"/>
      <c r="M399" s="59" t="str">
        <f>IFERROR(INDEX(Vocab_NameList!$O:$O,MATCH($J399, Vocab_NameList!$M:$M, 0)),"")</f>
        <v/>
      </c>
      <c r="N399" s="29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68" t="str">
        <f>Table2[[#This Row],[Governorate
(Select from Dropdown)]]&amp;Table2[[#This Row],[Neighborhood
(Select from Dropdown)]]&amp;Table2[[#This Row],[Organization Name]]</f>
        <v/>
      </c>
      <c r="Z399" s="67"/>
    </row>
    <row r="400" spans="1:26" ht="30" customHeight="1" x14ac:dyDescent="0.25">
      <c r="A400" s="21"/>
      <c r="B400" s="33"/>
      <c r="C400" s="33"/>
      <c r="D400" s="24"/>
      <c r="E400" s="24"/>
      <c r="F400" s="24"/>
      <c r="G400" s="24"/>
      <c r="H400" s="34"/>
      <c r="I400" s="25"/>
      <c r="J400" s="25"/>
      <c r="K400" s="25"/>
      <c r="L400" s="26"/>
      <c r="M400" s="59" t="str">
        <f>IFERROR(INDEX(Vocab_NameList!$O:$O,MATCH($J400, Vocab_NameList!$M:$M, 0)),"")</f>
        <v/>
      </c>
      <c r="N400" s="29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68" t="str">
        <f>Table2[[#This Row],[Governorate
(Select from Dropdown)]]&amp;Table2[[#This Row],[Neighborhood
(Select from Dropdown)]]&amp;Table2[[#This Row],[Organization Name]]</f>
        <v/>
      </c>
      <c r="Z400" s="67"/>
    </row>
    <row r="401" spans="1:26" ht="30" customHeight="1" x14ac:dyDescent="0.25">
      <c r="A401" s="21"/>
      <c r="B401" s="33"/>
      <c r="C401" s="33"/>
      <c r="D401" s="24"/>
      <c r="E401" s="24"/>
      <c r="F401" s="24"/>
      <c r="G401" s="24"/>
      <c r="H401" s="34"/>
      <c r="I401" s="25"/>
      <c r="J401" s="25"/>
      <c r="K401" s="25"/>
      <c r="L401" s="26"/>
      <c r="M401" s="59" t="str">
        <f>IFERROR(INDEX(Vocab_NameList!$O:$O,MATCH($J401, Vocab_NameList!$M:$M, 0)),"")</f>
        <v/>
      </c>
      <c r="N401" s="29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68" t="str">
        <f>Table2[[#This Row],[Governorate
(Select from Dropdown)]]&amp;Table2[[#This Row],[Neighborhood
(Select from Dropdown)]]&amp;Table2[[#This Row],[Organization Name]]</f>
        <v/>
      </c>
      <c r="Z401" s="67"/>
    </row>
    <row r="402" spans="1:26" ht="30" customHeight="1" x14ac:dyDescent="0.25">
      <c r="A402" s="21"/>
      <c r="B402" s="33"/>
      <c r="C402" s="33"/>
      <c r="D402" s="24"/>
      <c r="E402" s="24"/>
      <c r="F402" s="24"/>
      <c r="G402" s="24"/>
      <c r="H402" s="34"/>
      <c r="I402" s="25"/>
      <c r="J402" s="25"/>
      <c r="K402" s="25"/>
      <c r="L402" s="26"/>
      <c r="M402" s="59" t="str">
        <f>IFERROR(INDEX(Vocab_NameList!$O:$O,MATCH($J402, Vocab_NameList!$M:$M, 0)),"")</f>
        <v/>
      </c>
      <c r="N402" s="29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68" t="str">
        <f>Table2[[#This Row],[Governorate
(Select from Dropdown)]]&amp;Table2[[#This Row],[Neighborhood
(Select from Dropdown)]]&amp;Table2[[#This Row],[Organization Name]]</f>
        <v/>
      </c>
      <c r="Z402" s="67"/>
    </row>
    <row r="403" spans="1:26" ht="30" customHeight="1" x14ac:dyDescent="0.25">
      <c r="A403" s="21"/>
      <c r="B403" s="33"/>
      <c r="C403" s="33"/>
      <c r="D403" s="24"/>
      <c r="E403" s="24"/>
      <c r="F403" s="24"/>
      <c r="G403" s="24"/>
      <c r="H403" s="34"/>
      <c r="I403" s="25"/>
      <c r="J403" s="25"/>
      <c r="K403" s="25"/>
      <c r="L403" s="26"/>
      <c r="M403" s="59" t="str">
        <f>IFERROR(INDEX(Vocab_NameList!$O:$O,MATCH($J403, Vocab_NameList!$M:$M, 0)),"")</f>
        <v/>
      </c>
      <c r="N403" s="29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68" t="str">
        <f>Table2[[#This Row],[Governorate
(Select from Dropdown)]]&amp;Table2[[#This Row],[Neighborhood
(Select from Dropdown)]]&amp;Table2[[#This Row],[Organization Name]]</f>
        <v/>
      </c>
      <c r="Z403" s="67"/>
    </row>
    <row r="404" spans="1:26" ht="30" customHeight="1" x14ac:dyDescent="0.25">
      <c r="A404" s="21"/>
      <c r="B404" s="33"/>
      <c r="C404" s="33"/>
      <c r="D404" s="24"/>
      <c r="E404" s="24"/>
      <c r="F404" s="24"/>
      <c r="G404" s="24"/>
      <c r="H404" s="34"/>
      <c r="I404" s="25"/>
      <c r="J404" s="25"/>
      <c r="K404" s="25"/>
      <c r="L404" s="26"/>
      <c r="M404" s="59" t="str">
        <f>IFERROR(INDEX(Vocab_NameList!$O:$O,MATCH($J404, Vocab_NameList!$M:$M, 0)),"")</f>
        <v/>
      </c>
      <c r="N404" s="29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68" t="str">
        <f>Table2[[#This Row],[Governorate
(Select from Dropdown)]]&amp;Table2[[#This Row],[Neighborhood
(Select from Dropdown)]]&amp;Table2[[#This Row],[Organization Name]]</f>
        <v/>
      </c>
      <c r="Z404" s="67"/>
    </row>
    <row r="405" spans="1:26" ht="30" customHeight="1" x14ac:dyDescent="0.25">
      <c r="A405" s="21"/>
      <c r="B405" s="33"/>
      <c r="C405" s="33"/>
      <c r="D405" s="24"/>
      <c r="E405" s="24"/>
      <c r="F405" s="24"/>
      <c r="G405" s="24"/>
      <c r="H405" s="34"/>
      <c r="I405" s="25"/>
      <c r="J405" s="25"/>
      <c r="K405" s="25"/>
      <c r="L405" s="26"/>
      <c r="M405" s="59" t="str">
        <f>IFERROR(INDEX(Vocab_NameList!$O:$O,MATCH($J405, Vocab_NameList!$M:$M, 0)),"")</f>
        <v/>
      </c>
      <c r="N405" s="29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68" t="str">
        <f>Table2[[#This Row],[Governorate
(Select from Dropdown)]]&amp;Table2[[#This Row],[Neighborhood
(Select from Dropdown)]]&amp;Table2[[#This Row],[Organization Name]]</f>
        <v/>
      </c>
      <c r="Z405" s="67"/>
    </row>
    <row r="406" spans="1:26" ht="30" customHeight="1" x14ac:dyDescent="0.25">
      <c r="A406" s="21"/>
      <c r="B406" s="33"/>
      <c r="C406" s="33"/>
      <c r="D406" s="24"/>
      <c r="E406" s="24"/>
      <c r="F406" s="24"/>
      <c r="G406" s="24"/>
      <c r="H406" s="34"/>
      <c r="I406" s="25"/>
      <c r="J406" s="25"/>
      <c r="K406" s="25"/>
      <c r="L406" s="26"/>
      <c r="M406" s="59" t="str">
        <f>IFERROR(INDEX(Vocab_NameList!$O:$O,MATCH($J406, Vocab_NameList!$M:$M, 0)),"")</f>
        <v/>
      </c>
      <c r="N406" s="29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68" t="str">
        <f>Table2[[#This Row],[Governorate
(Select from Dropdown)]]&amp;Table2[[#This Row],[Neighborhood
(Select from Dropdown)]]&amp;Table2[[#This Row],[Organization Name]]</f>
        <v/>
      </c>
      <c r="Z406" s="67"/>
    </row>
    <row r="407" spans="1:26" ht="30" customHeight="1" x14ac:dyDescent="0.25">
      <c r="A407" s="21"/>
      <c r="B407" s="33"/>
      <c r="C407" s="33"/>
      <c r="D407" s="24"/>
      <c r="E407" s="24"/>
      <c r="F407" s="24"/>
      <c r="G407" s="24"/>
      <c r="H407" s="34"/>
      <c r="I407" s="25"/>
      <c r="J407" s="25"/>
      <c r="K407" s="25"/>
      <c r="L407" s="26"/>
      <c r="M407" s="59" t="str">
        <f>IFERROR(INDEX(Vocab_NameList!$O:$O,MATCH($J407, Vocab_NameList!$M:$M, 0)),"")</f>
        <v/>
      </c>
      <c r="N407" s="29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68" t="str">
        <f>Table2[[#This Row],[Governorate
(Select from Dropdown)]]&amp;Table2[[#This Row],[Neighborhood
(Select from Dropdown)]]&amp;Table2[[#This Row],[Organization Name]]</f>
        <v/>
      </c>
      <c r="Z407" s="67"/>
    </row>
    <row r="408" spans="1:26" ht="30" customHeight="1" x14ac:dyDescent="0.25">
      <c r="A408" s="21"/>
      <c r="B408" s="33"/>
      <c r="C408" s="33"/>
      <c r="D408" s="24"/>
      <c r="E408" s="24"/>
      <c r="F408" s="24"/>
      <c r="G408" s="24"/>
      <c r="H408" s="34"/>
      <c r="I408" s="25"/>
      <c r="J408" s="25"/>
      <c r="K408" s="25"/>
      <c r="L408" s="26"/>
      <c r="M408" s="59" t="str">
        <f>IFERROR(INDEX(Vocab_NameList!$O:$O,MATCH($J408, Vocab_NameList!$M:$M, 0)),"")</f>
        <v/>
      </c>
      <c r="N408" s="29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68" t="str">
        <f>Table2[[#This Row],[Governorate
(Select from Dropdown)]]&amp;Table2[[#This Row],[Neighborhood
(Select from Dropdown)]]&amp;Table2[[#This Row],[Organization Name]]</f>
        <v/>
      </c>
      <c r="Z408" s="67"/>
    </row>
    <row r="409" spans="1:26" ht="30" customHeight="1" x14ac:dyDescent="0.25">
      <c r="A409" s="21"/>
      <c r="B409" s="33"/>
      <c r="C409" s="33"/>
      <c r="D409" s="24"/>
      <c r="E409" s="24"/>
      <c r="F409" s="24"/>
      <c r="G409" s="24"/>
      <c r="H409" s="34"/>
      <c r="I409" s="25"/>
      <c r="J409" s="25"/>
      <c r="K409" s="25"/>
      <c r="L409" s="26"/>
      <c r="M409" s="59" t="str">
        <f>IFERROR(INDEX(Vocab_NameList!$O:$O,MATCH($J409, Vocab_NameList!$M:$M, 0)),"")</f>
        <v/>
      </c>
      <c r="N409" s="29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68" t="str">
        <f>Table2[[#This Row],[Governorate
(Select from Dropdown)]]&amp;Table2[[#This Row],[Neighborhood
(Select from Dropdown)]]&amp;Table2[[#This Row],[Organization Name]]</f>
        <v/>
      </c>
      <c r="Z409" s="67"/>
    </row>
    <row r="410" spans="1:26" ht="30" customHeight="1" x14ac:dyDescent="0.25">
      <c r="A410" s="21"/>
      <c r="B410" s="33"/>
      <c r="C410" s="33"/>
      <c r="D410" s="24"/>
      <c r="E410" s="24"/>
      <c r="F410" s="24"/>
      <c r="G410" s="24"/>
      <c r="H410" s="34"/>
      <c r="I410" s="25"/>
      <c r="J410" s="25"/>
      <c r="K410" s="25"/>
      <c r="L410" s="26"/>
      <c r="M410" s="59" t="str">
        <f>IFERROR(INDEX(Vocab_NameList!$O:$O,MATCH($J410, Vocab_NameList!$M:$M, 0)),"")</f>
        <v/>
      </c>
      <c r="N410" s="29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68" t="str">
        <f>Table2[[#This Row],[Governorate
(Select from Dropdown)]]&amp;Table2[[#This Row],[Neighborhood
(Select from Dropdown)]]&amp;Table2[[#This Row],[Organization Name]]</f>
        <v/>
      </c>
      <c r="Z410" s="67"/>
    </row>
    <row r="411" spans="1:26" ht="30" customHeight="1" x14ac:dyDescent="0.25">
      <c r="A411" s="21"/>
      <c r="B411" s="33"/>
      <c r="C411" s="33"/>
      <c r="D411" s="24"/>
      <c r="E411" s="24"/>
      <c r="F411" s="24"/>
      <c r="G411" s="24"/>
      <c r="H411" s="34"/>
      <c r="I411" s="25"/>
      <c r="J411" s="25"/>
      <c r="K411" s="25"/>
      <c r="L411" s="26"/>
      <c r="M411" s="59" t="str">
        <f>IFERROR(INDEX(Vocab_NameList!$O:$O,MATCH($J411, Vocab_NameList!$M:$M, 0)),"")</f>
        <v/>
      </c>
      <c r="N411" s="29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68" t="str">
        <f>Table2[[#This Row],[Governorate
(Select from Dropdown)]]&amp;Table2[[#This Row],[Neighborhood
(Select from Dropdown)]]&amp;Table2[[#This Row],[Organization Name]]</f>
        <v/>
      </c>
      <c r="Z411" s="67"/>
    </row>
    <row r="412" spans="1:26" ht="30" customHeight="1" x14ac:dyDescent="0.25">
      <c r="A412" s="21"/>
      <c r="B412" s="33"/>
      <c r="C412" s="33"/>
      <c r="D412" s="24"/>
      <c r="E412" s="24"/>
      <c r="F412" s="24"/>
      <c r="G412" s="24"/>
      <c r="H412" s="34"/>
      <c r="I412" s="25"/>
      <c r="J412" s="25"/>
      <c r="K412" s="25"/>
      <c r="L412" s="26"/>
      <c r="M412" s="59" t="str">
        <f>IFERROR(INDEX(Vocab_NameList!$O:$O,MATCH($J412, Vocab_NameList!$M:$M, 0)),"")</f>
        <v/>
      </c>
      <c r="N412" s="29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68" t="str">
        <f>Table2[[#This Row],[Governorate
(Select from Dropdown)]]&amp;Table2[[#This Row],[Neighborhood
(Select from Dropdown)]]&amp;Table2[[#This Row],[Organization Name]]</f>
        <v/>
      </c>
      <c r="Z412" s="67"/>
    </row>
    <row r="413" spans="1:26" ht="30" customHeight="1" x14ac:dyDescent="0.25">
      <c r="A413" s="21"/>
      <c r="B413" s="33"/>
      <c r="C413" s="33"/>
      <c r="D413" s="24"/>
      <c r="E413" s="24"/>
      <c r="F413" s="24"/>
      <c r="G413" s="24"/>
      <c r="H413" s="34"/>
      <c r="I413" s="25"/>
      <c r="J413" s="25"/>
      <c r="K413" s="25"/>
      <c r="L413" s="26"/>
      <c r="M413" s="59" t="str">
        <f>IFERROR(INDEX(Vocab_NameList!$O:$O,MATCH($J413, Vocab_NameList!$M:$M, 0)),"")</f>
        <v/>
      </c>
      <c r="N413" s="29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68" t="str">
        <f>Table2[[#This Row],[Governorate
(Select from Dropdown)]]&amp;Table2[[#This Row],[Neighborhood
(Select from Dropdown)]]&amp;Table2[[#This Row],[Organization Name]]</f>
        <v/>
      </c>
      <c r="Z413" s="67"/>
    </row>
    <row r="414" spans="1:26" ht="30" customHeight="1" x14ac:dyDescent="0.25">
      <c r="A414" s="21"/>
      <c r="B414" s="33"/>
      <c r="C414" s="33"/>
      <c r="D414" s="24"/>
      <c r="E414" s="24"/>
      <c r="F414" s="24"/>
      <c r="G414" s="24"/>
      <c r="H414" s="34"/>
      <c r="I414" s="25"/>
      <c r="J414" s="25"/>
      <c r="K414" s="25"/>
      <c r="L414" s="26"/>
      <c r="M414" s="59" t="str">
        <f>IFERROR(INDEX(Vocab_NameList!$O:$O,MATCH($J414, Vocab_NameList!$M:$M, 0)),"")</f>
        <v/>
      </c>
      <c r="N414" s="29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68" t="str">
        <f>Table2[[#This Row],[Governorate
(Select from Dropdown)]]&amp;Table2[[#This Row],[Neighborhood
(Select from Dropdown)]]&amp;Table2[[#This Row],[Organization Name]]</f>
        <v/>
      </c>
      <c r="Z414" s="67"/>
    </row>
    <row r="415" spans="1:26" ht="30" customHeight="1" x14ac:dyDescent="0.25">
      <c r="A415" s="21"/>
      <c r="B415" s="33"/>
      <c r="C415" s="33"/>
      <c r="D415" s="24"/>
      <c r="E415" s="24"/>
      <c r="F415" s="24"/>
      <c r="G415" s="24"/>
      <c r="H415" s="34"/>
      <c r="I415" s="25"/>
      <c r="J415" s="25"/>
      <c r="K415" s="25"/>
      <c r="L415" s="26"/>
      <c r="M415" s="59" t="str">
        <f>IFERROR(INDEX(Vocab_NameList!$O:$O,MATCH($J415, Vocab_NameList!$M:$M, 0)),"")</f>
        <v/>
      </c>
      <c r="N415" s="29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68" t="str">
        <f>Table2[[#This Row],[Governorate
(Select from Dropdown)]]&amp;Table2[[#This Row],[Neighborhood
(Select from Dropdown)]]&amp;Table2[[#This Row],[Organization Name]]</f>
        <v/>
      </c>
      <c r="Z415" s="67"/>
    </row>
    <row r="416" spans="1:26" ht="30" customHeight="1" x14ac:dyDescent="0.25">
      <c r="A416" s="21"/>
      <c r="B416" s="33"/>
      <c r="C416" s="33"/>
      <c r="D416" s="24"/>
      <c r="E416" s="24"/>
      <c r="F416" s="24"/>
      <c r="G416" s="24"/>
      <c r="H416" s="34"/>
      <c r="I416" s="25"/>
      <c r="J416" s="25"/>
      <c r="K416" s="25"/>
      <c r="L416" s="26"/>
      <c r="M416" s="59" t="str">
        <f>IFERROR(INDEX(Vocab_NameList!$O:$O,MATCH($J416, Vocab_NameList!$M:$M, 0)),"")</f>
        <v/>
      </c>
      <c r="N416" s="29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68" t="str">
        <f>Table2[[#This Row],[Governorate
(Select from Dropdown)]]&amp;Table2[[#This Row],[Neighborhood
(Select from Dropdown)]]&amp;Table2[[#This Row],[Organization Name]]</f>
        <v/>
      </c>
      <c r="Z416" s="67"/>
    </row>
    <row r="417" spans="1:26" ht="30" customHeight="1" x14ac:dyDescent="0.25">
      <c r="A417" s="21"/>
      <c r="B417" s="33"/>
      <c r="C417" s="33"/>
      <c r="D417" s="24"/>
      <c r="E417" s="24"/>
      <c r="F417" s="24"/>
      <c r="G417" s="24"/>
      <c r="H417" s="34"/>
      <c r="I417" s="25"/>
      <c r="J417" s="25"/>
      <c r="K417" s="25"/>
      <c r="L417" s="26"/>
      <c r="M417" s="59" t="str">
        <f>IFERROR(INDEX(Vocab_NameList!$O:$O,MATCH($J417, Vocab_NameList!$M:$M, 0)),"")</f>
        <v/>
      </c>
      <c r="N417" s="29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68" t="str">
        <f>Table2[[#This Row],[Governorate
(Select from Dropdown)]]&amp;Table2[[#This Row],[Neighborhood
(Select from Dropdown)]]&amp;Table2[[#This Row],[Organization Name]]</f>
        <v/>
      </c>
      <c r="Z417" s="67"/>
    </row>
    <row r="418" spans="1:26" ht="30" customHeight="1" x14ac:dyDescent="0.25">
      <c r="A418" s="21"/>
      <c r="B418" s="33"/>
      <c r="C418" s="33"/>
      <c r="D418" s="24"/>
      <c r="E418" s="24"/>
      <c r="F418" s="24"/>
      <c r="G418" s="24"/>
      <c r="H418" s="34"/>
      <c r="I418" s="25"/>
      <c r="J418" s="25"/>
      <c r="K418" s="25"/>
      <c r="L418" s="26"/>
      <c r="M418" s="59" t="str">
        <f>IFERROR(INDEX(Vocab_NameList!$O:$O,MATCH($J418, Vocab_NameList!$M:$M, 0)),"")</f>
        <v/>
      </c>
      <c r="N418" s="29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68" t="str">
        <f>Table2[[#This Row],[Governorate
(Select from Dropdown)]]&amp;Table2[[#This Row],[Neighborhood
(Select from Dropdown)]]&amp;Table2[[#This Row],[Organization Name]]</f>
        <v/>
      </c>
      <c r="Z418" s="67"/>
    </row>
    <row r="419" spans="1:26" ht="30" customHeight="1" x14ac:dyDescent="0.25">
      <c r="A419" s="21"/>
      <c r="B419" s="33"/>
      <c r="C419" s="33"/>
      <c r="D419" s="24"/>
      <c r="E419" s="24"/>
      <c r="F419" s="24"/>
      <c r="G419" s="24"/>
      <c r="H419" s="34"/>
      <c r="I419" s="25"/>
      <c r="J419" s="25"/>
      <c r="K419" s="25"/>
      <c r="L419" s="26"/>
      <c r="M419" s="59" t="str">
        <f>IFERROR(INDEX(Vocab_NameList!$O:$O,MATCH($J419, Vocab_NameList!$M:$M, 0)),"")</f>
        <v/>
      </c>
      <c r="N419" s="29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68" t="str">
        <f>Table2[[#This Row],[Governorate
(Select from Dropdown)]]&amp;Table2[[#This Row],[Neighborhood
(Select from Dropdown)]]&amp;Table2[[#This Row],[Organization Name]]</f>
        <v/>
      </c>
      <c r="Z419" s="67"/>
    </row>
    <row r="420" spans="1:26" ht="30" customHeight="1" x14ac:dyDescent="0.25">
      <c r="A420" s="21"/>
      <c r="B420" s="33"/>
      <c r="C420" s="33"/>
      <c r="D420" s="24"/>
      <c r="E420" s="24"/>
      <c r="F420" s="24"/>
      <c r="G420" s="24"/>
      <c r="H420" s="34"/>
      <c r="I420" s="25"/>
      <c r="J420" s="25"/>
      <c r="K420" s="25"/>
      <c r="L420" s="26"/>
      <c r="M420" s="59" t="str">
        <f>IFERROR(INDEX(Vocab_NameList!$O:$O,MATCH($J420, Vocab_NameList!$M:$M, 0)),"")</f>
        <v/>
      </c>
      <c r="N420" s="29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68" t="str">
        <f>Table2[[#This Row],[Governorate
(Select from Dropdown)]]&amp;Table2[[#This Row],[Neighborhood
(Select from Dropdown)]]&amp;Table2[[#This Row],[Organization Name]]</f>
        <v/>
      </c>
      <c r="Z420" s="67"/>
    </row>
    <row r="421" spans="1:26" ht="30" customHeight="1" x14ac:dyDescent="0.25">
      <c r="A421" s="21"/>
      <c r="B421" s="33"/>
      <c r="C421" s="33"/>
      <c r="D421" s="24"/>
      <c r="E421" s="24"/>
      <c r="F421" s="24"/>
      <c r="G421" s="24"/>
      <c r="H421" s="34"/>
      <c r="I421" s="25"/>
      <c r="J421" s="25"/>
      <c r="K421" s="25"/>
      <c r="L421" s="26"/>
      <c r="M421" s="59" t="str">
        <f>IFERROR(INDEX(Vocab_NameList!$O:$O,MATCH($J421, Vocab_NameList!$M:$M, 0)),"")</f>
        <v/>
      </c>
      <c r="N421" s="29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68" t="str">
        <f>Table2[[#This Row],[Governorate
(Select from Dropdown)]]&amp;Table2[[#This Row],[Neighborhood
(Select from Dropdown)]]&amp;Table2[[#This Row],[Organization Name]]</f>
        <v/>
      </c>
      <c r="Z421" s="67"/>
    </row>
    <row r="422" spans="1:26" ht="30" customHeight="1" x14ac:dyDescent="0.25">
      <c r="A422" s="21"/>
      <c r="B422" s="33"/>
      <c r="C422" s="33"/>
      <c r="D422" s="24"/>
      <c r="E422" s="24"/>
      <c r="F422" s="24"/>
      <c r="G422" s="24"/>
      <c r="H422" s="34"/>
      <c r="I422" s="25"/>
      <c r="J422" s="25"/>
      <c r="K422" s="25"/>
      <c r="L422" s="26"/>
      <c r="M422" s="59" t="str">
        <f>IFERROR(INDEX(Vocab_NameList!$O:$O,MATCH($J422, Vocab_NameList!$M:$M, 0)),"")</f>
        <v/>
      </c>
      <c r="N422" s="29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68" t="str">
        <f>Table2[[#This Row],[Governorate
(Select from Dropdown)]]&amp;Table2[[#This Row],[Neighborhood
(Select from Dropdown)]]&amp;Table2[[#This Row],[Organization Name]]</f>
        <v/>
      </c>
      <c r="Z422" s="67"/>
    </row>
    <row r="423" spans="1:26" ht="30" customHeight="1" x14ac:dyDescent="0.25">
      <c r="A423" s="21"/>
      <c r="B423" s="33"/>
      <c r="C423" s="33"/>
      <c r="D423" s="24"/>
      <c r="E423" s="24"/>
      <c r="F423" s="24"/>
      <c r="G423" s="24"/>
      <c r="H423" s="34"/>
      <c r="I423" s="25"/>
      <c r="J423" s="25"/>
      <c r="K423" s="25"/>
      <c r="L423" s="26"/>
      <c r="M423" s="59" t="str">
        <f>IFERROR(INDEX(Vocab_NameList!$O:$O,MATCH($J423, Vocab_NameList!$M:$M, 0)),"")</f>
        <v/>
      </c>
      <c r="N423" s="29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68" t="str">
        <f>Table2[[#This Row],[Governorate
(Select from Dropdown)]]&amp;Table2[[#This Row],[Neighborhood
(Select from Dropdown)]]&amp;Table2[[#This Row],[Organization Name]]</f>
        <v/>
      </c>
      <c r="Z423" s="67"/>
    </row>
    <row r="424" spans="1:26" ht="30" customHeight="1" x14ac:dyDescent="0.25">
      <c r="A424" s="21"/>
      <c r="B424" s="33"/>
      <c r="C424" s="33"/>
      <c r="D424" s="24"/>
      <c r="E424" s="24"/>
      <c r="F424" s="24"/>
      <c r="G424" s="24"/>
      <c r="H424" s="34"/>
      <c r="I424" s="25"/>
      <c r="J424" s="25"/>
      <c r="K424" s="25"/>
      <c r="L424" s="26"/>
      <c r="M424" s="59" t="str">
        <f>IFERROR(INDEX(Vocab_NameList!$O:$O,MATCH($J424, Vocab_NameList!$M:$M, 0)),"")</f>
        <v/>
      </c>
      <c r="N424" s="29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68" t="str">
        <f>Table2[[#This Row],[Governorate
(Select from Dropdown)]]&amp;Table2[[#This Row],[Neighborhood
(Select from Dropdown)]]&amp;Table2[[#This Row],[Organization Name]]</f>
        <v/>
      </c>
      <c r="Z424" s="67"/>
    </row>
    <row r="425" spans="1:26" ht="30" customHeight="1" x14ac:dyDescent="0.25">
      <c r="A425" s="21"/>
      <c r="B425" s="33"/>
      <c r="C425" s="33"/>
      <c r="D425" s="24"/>
      <c r="E425" s="24"/>
      <c r="F425" s="24"/>
      <c r="G425" s="24"/>
      <c r="H425" s="34"/>
      <c r="I425" s="25"/>
      <c r="J425" s="25"/>
      <c r="K425" s="25"/>
      <c r="L425" s="26"/>
      <c r="M425" s="59" t="str">
        <f>IFERROR(INDEX(Vocab_NameList!$O:$O,MATCH($J425, Vocab_NameList!$M:$M, 0)),"")</f>
        <v/>
      </c>
      <c r="N425" s="29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68" t="str">
        <f>Table2[[#This Row],[Governorate
(Select from Dropdown)]]&amp;Table2[[#This Row],[Neighborhood
(Select from Dropdown)]]&amp;Table2[[#This Row],[Organization Name]]</f>
        <v/>
      </c>
      <c r="Z425" s="67"/>
    </row>
    <row r="426" spans="1:26" ht="30" customHeight="1" x14ac:dyDescent="0.25">
      <c r="A426" s="21"/>
      <c r="B426" s="33"/>
      <c r="C426" s="33"/>
      <c r="D426" s="24"/>
      <c r="E426" s="24"/>
      <c r="F426" s="24"/>
      <c r="G426" s="24"/>
      <c r="H426" s="34"/>
      <c r="I426" s="25"/>
      <c r="J426" s="25"/>
      <c r="K426" s="25"/>
      <c r="L426" s="26"/>
      <c r="M426" s="59" t="str">
        <f>IFERROR(INDEX(Vocab_NameList!$O:$O,MATCH($J426, Vocab_NameList!$M:$M, 0)),"")</f>
        <v/>
      </c>
      <c r="N426" s="29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68" t="str">
        <f>Table2[[#This Row],[Governorate
(Select from Dropdown)]]&amp;Table2[[#This Row],[Neighborhood
(Select from Dropdown)]]&amp;Table2[[#This Row],[Organization Name]]</f>
        <v/>
      </c>
      <c r="Z426" s="67"/>
    </row>
    <row r="427" spans="1:26" ht="30" customHeight="1" x14ac:dyDescent="0.25">
      <c r="A427" s="21"/>
      <c r="B427" s="33"/>
      <c r="C427" s="33"/>
      <c r="D427" s="24"/>
      <c r="E427" s="24"/>
      <c r="F427" s="24"/>
      <c r="G427" s="24"/>
      <c r="H427" s="34"/>
      <c r="I427" s="25"/>
      <c r="J427" s="25"/>
      <c r="K427" s="25"/>
      <c r="L427" s="26"/>
      <c r="M427" s="59" t="str">
        <f>IFERROR(INDEX(Vocab_NameList!$O:$O,MATCH($J427, Vocab_NameList!$M:$M, 0)),"")</f>
        <v/>
      </c>
      <c r="N427" s="29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68" t="str">
        <f>Table2[[#This Row],[Governorate
(Select from Dropdown)]]&amp;Table2[[#This Row],[Neighborhood
(Select from Dropdown)]]&amp;Table2[[#This Row],[Organization Name]]</f>
        <v/>
      </c>
      <c r="Z427" s="67"/>
    </row>
    <row r="428" spans="1:26" ht="30" customHeight="1" x14ac:dyDescent="0.25">
      <c r="A428" s="21"/>
      <c r="B428" s="33"/>
      <c r="C428" s="33"/>
      <c r="D428" s="24"/>
      <c r="E428" s="24"/>
      <c r="F428" s="24"/>
      <c r="G428" s="24"/>
      <c r="H428" s="34"/>
      <c r="I428" s="25"/>
      <c r="J428" s="25"/>
      <c r="K428" s="25"/>
      <c r="L428" s="26"/>
      <c r="M428" s="59" t="str">
        <f>IFERROR(INDEX(Vocab_NameList!$O:$O,MATCH($J428, Vocab_NameList!$M:$M, 0)),"")</f>
        <v/>
      </c>
      <c r="N428" s="29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68" t="str">
        <f>Table2[[#This Row],[Governorate
(Select from Dropdown)]]&amp;Table2[[#This Row],[Neighborhood
(Select from Dropdown)]]&amp;Table2[[#This Row],[Organization Name]]</f>
        <v/>
      </c>
      <c r="Z428" s="67"/>
    </row>
    <row r="429" spans="1:26" ht="30" customHeight="1" x14ac:dyDescent="0.25">
      <c r="A429" s="21"/>
      <c r="B429" s="33"/>
      <c r="C429" s="33"/>
      <c r="D429" s="24"/>
      <c r="E429" s="24"/>
      <c r="F429" s="24"/>
      <c r="G429" s="24"/>
      <c r="H429" s="34"/>
      <c r="I429" s="25"/>
      <c r="J429" s="25"/>
      <c r="K429" s="25"/>
      <c r="L429" s="26"/>
      <c r="M429" s="59" t="str">
        <f>IFERROR(INDEX(Vocab_NameList!$O:$O,MATCH($J429, Vocab_NameList!$M:$M, 0)),"")</f>
        <v/>
      </c>
      <c r="N429" s="29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68" t="str">
        <f>Table2[[#This Row],[Governorate
(Select from Dropdown)]]&amp;Table2[[#This Row],[Neighborhood
(Select from Dropdown)]]&amp;Table2[[#This Row],[Organization Name]]</f>
        <v/>
      </c>
      <c r="Z429" s="67"/>
    </row>
    <row r="430" spans="1:26" ht="30" customHeight="1" x14ac:dyDescent="0.25">
      <c r="A430" s="21"/>
      <c r="B430" s="33"/>
      <c r="C430" s="33"/>
      <c r="D430" s="24"/>
      <c r="E430" s="24"/>
      <c r="F430" s="24"/>
      <c r="G430" s="24"/>
      <c r="H430" s="34"/>
      <c r="I430" s="25"/>
      <c r="J430" s="25"/>
      <c r="K430" s="25"/>
      <c r="L430" s="26"/>
      <c r="M430" s="59" t="str">
        <f>IFERROR(INDEX(Vocab_NameList!$O:$O,MATCH($J430, Vocab_NameList!$M:$M, 0)),"")</f>
        <v/>
      </c>
      <c r="N430" s="29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68" t="str">
        <f>Table2[[#This Row],[Governorate
(Select from Dropdown)]]&amp;Table2[[#This Row],[Neighborhood
(Select from Dropdown)]]&amp;Table2[[#This Row],[Organization Name]]</f>
        <v/>
      </c>
      <c r="Z430" s="67"/>
    </row>
    <row r="431" spans="1:26" ht="30" customHeight="1" x14ac:dyDescent="0.25">
      <c r="A431" s="21"/>
      <c r="B431" s="33"/>
      <c r="C431" s="33"/>
      <c r="D431" s="24"/>
      <c r="E431" s="24"/>
      <c r="F431" s="24"/>
      <c r="G431" s="24"/>
      <c r="H431" s="34"/>
      <c r="I431" s="25"/>
      <c r="J431" s="25"/>
      <c r="K431" s="25"/>
      <c r="L431" s="26"/>
      <c r="M431" s="59" t="str">
        <f>IFERROR(INDEX(Vocab_NameList!$O:$O,MATCH($J431, Vocab_NameList!$M:$M, 0)),"")</f>
        <v/>
      </c>
      <c r="N431" s="29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68" t="str">
        <f>Table2[[#This Row],[Governorate
(Select from Dropdown)]]&amp;Table2[[#This Row],[Neighborhood
(Select from Dropdown)]]&amp;Table2[[#This Row],[Organization Name]]</f>
        <v/>
      </c>
      <c r="Z431" s="67"/>
    </row>
    <row r="432" spans="1:26" ht="30" customHeight="1" x14ac:dyDescent="0.25">
      <c r="A432" s="21"/>
      <c r="B432" s="33"/>
      <c r="C432" s="33"/>
      <c r="D432" s="24"/>
      <c r="E432" s="24"/>
      <c r="F432" s="24"/>
      <c r="G432" s="24"/>
      <c r="H432" s="34"/>
      <c r="I432" s="25"/>
      <c r="J432" s="25"/>
      <c r="K432" s="25"/>
      <c r="L432" s="26"/>
      <c r="M432" s="59" t="str">
        <f>IFERROR(INDEX(Vocab_NameList!$O:$O,MATCH($J432, Vocab_NameList!$M:$M, 0)),"")</f>
        <v/>
      </c>
      <c r="N432" s="29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68" t="str">
        <f>Table2[[#This Row],[Governorate
(Select from Dropdown)]]&amp;Table2[[#This Row],[Neighborhood
(Select from Dropdown)]]&amp;Table2[[#This Row],[Organization Name]]</f>
        <v/>
      </c>
      <c r="Z432" s="67"/>
    </row>
    <row r="433" spans="1:26" ht="30" customHeight="1" x14ac:dyDescent="0.25">
      <c r="A433" s="21"/>
      <c r="B433" s="33"/>
      <c r="C433" s="33"/>
      <c r="D433" s="24"/>
      <c r="E433" s="24"/>
      <c r="F433" s="24"/>
      <c r="G433" s="24"/>
      <c r="H433" s="34"/>
      <c r="I433" s="25"/>
      <c r="J433" s="25"/>
      <c r="K433" s="25"/>
      <c r="L433" s="26"/>
      <c r="M433" s="59" t="str">
        <f>IFERROR(INDEX(Vocab_NameList!$O:$O,MATCH($J433, Vocab_NameList!$M:$M, 0)),"")</f>
        <v/>
      </c>
      <c r="N433" s="29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68" t="str">
        <f>Table2[[#This Row],[Governorate
(Select from Dropdown)]]&amp;Table2[[#This Row],[Neighborhood
(Select from Dropdown)]]&amp;Table2[[#This Row],[Organization Name]]</f>
        <v/>
      </c>
      <c r="Z433" s="67"/>
    </row>
    <row r="434" spans="1:26" ht="30" customHeight="1" x14ac:dyDescent="0.25">
      <c r="A434" s="21"/>
      <c r="B434" s="33"/>
      <c r="C434" s="33"/>
      <c r="D434" s="24"/>
      <c r="E434" s="24"/>
      <c r="F434" s="24"/>
      <c r="G434" s="24"/>
      <c r="H434" s="34"/>
      <c r="I434" s="25"/>
      <c r="J434" s="25"/>
      <c r="K434" s="25"/>
      <c r="L434" s="26"/>
      <c r="M434" s="59" t="str">
        <f>IFERROR(INDEX(Vocab_NameList!$O:$O,MATCH($J434, Vocab_NameList!$M:$M, 0)),"")</f>
        <v/>
      </c>
      <c r="N434" s="29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68" t="str">
        <f>Table2[[#This Row],[Governorate
(Select from Dropdown)]]&amp;Table2[[#This Row],[Neighborhood
(Select from Dropdown)]]&amp;Table2[[#This Row],[Organization Name]]</f>
        <v/>
      </c>
      <c r="Z434" s="67"/>
    </row>
    <row r="435" spans="1:26" ht="30" customHeight="1" x14ac:dyDescent="0.25">
      <c r="A435" s="21"/>
      <c r="B435" s="33"/>
      <c r="C435" s="33"/>
      <c r="D435" s="24"/>
      <c r="E435" s="24"/>
      <c r="F435" s="24"/>
      <c r="G435" s="24"/>
      <c r="H435" s="34"/>
      <c r="I435" s="25"/>
      <c r="J435" s="25"/>
      <c r="K435" s="25"/>
      <c r="L435" s="26"/>
      <c r="M435" s="59" t="str">
        <f>IFERROR(INDEX(Vocab_NameList!$O:$O,MATCH($J435, Vocab_NameList!$M:$M, 0)),"")</f>
        <v/>
      </c>
      <c r="N435" s="29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68" t="str">
        <f>Table2[[#This Row],[Governorate
(Select from Dropdown)]]&amp;Table2[[#This Row],[Neighborhood
(Select from Dropdown)]]&amp;Table2[[#This Row],[Organization Name]]</f>
        <v/>
      </c>
      <c r="Z435" s="67"/>
    </row>
    <row r="436" spans="1:26" ht="30" customHeight="1" x14ac:dyDescent="0.25">
      <c r="A436" s="21"/>
      <c r="B436" s="33"/>
      <c r="C436" s="33"/>
      <c r="D436" s="24"/>
      <c r="E436" s="24"/>
      <c r="F436" s="24"/>
      <c r="G436" s="24"/>
      <c r="H436" s="34"/>
      <c r="I436" s="25"/>
      <c r="J436" s="25"/>
      <c r="K436" s="25"/>
      <c r="L436" s="26"/>
      <c r="M436" s="59" t="str">
        <f>IFERROR(INDEX(Vocab_NameList!$O:$O,MATCH($J436, Vocab_NameList!$M:$M, 0)),"")</f>
        <v/>
      </c>
      <c r="N436" s="29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68" t="str">
        <f>Table2[[#This Row],[Governorate
(Select from Dropdown)]]&amp;Table2[[#This Row],[Neighborhood
(Select from Dropdown)]]&amp;Table2[[#This Row],[Organization Name]]</f>
        <v/>
      </c>
      <c r="Z436" s="67"/>
    </row>
    <row r="437" spans="1:26" ht="30" customHeight="1" x14ac:dyDescent="0.25">
      <c r="A437" s="21"/>
      <c r="B437" s="33"/>
      <c r="C437" s="33"/>
      <c r="D437" s="24"/>
      <c r="E437" s="24"/>
      <c r="F437" s="24"/>
      <c r="G437" s="24"/>
      <c r="H437" s="34"/>
      <c r="I437" s="25"/>
      <c r="J437" s="25"/>
      <c r="K437" s="25"/>
      <c r="L437" s="26"/>
      <c r="M437" s="59" t="str">
        <f>IFERROR(INDEX(Vocab_NameList!$O:$O,MATCH($J437, Vocab_NameList!$M:$M, 0)),"")</f>
        <v/>
      </c>
      <c r="N437" s="29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68" t="str">
        <f>Table2[[#This Row],[Governorate
(Select from Dropdown)]]&amp;Table2[[#This Row],[Neighborhood
(Select from Dropdown)]]&amp;Table2[[#This Row],[Organization Name]]</f>
        <v/>
      </c>
      <c r="Z437" s="67"/>
    </row>
    <row r="438" spans="1:26" ht="30" customHeight="1" x14ac:dyDescent="0.25">
      <c r="A438" s="21"/>
      <c r="B438" s="33"/>
      <c r="C438" s="33"/>
      <c r="D438" s="24"/>
      <c r="E438" s="24"/>
      <c r="F438" s="24"/>
      <c r="G438" s="24"/>
      <c r="H438" s="34"/>
      <c r="I438" s="25"/>
      <c r="J438" s="25"/>
      <c r="K438" s="25"/>
      <c r="L438" s="26"/>
      <c r="M438" s="59" t="str">
        <f>IFERROR(INDEX(Vocab_NameList!$O:$O,MATCH($J438, Vocab_NameList!$M:$M, 0)),"")</f>
        <v/>
      </c>
      <c r="N438" s="29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68" t="str">
        <f>Table2[[#This Row],[Governorate
(Select from Dropdown)]]&amp;Table2[[#This Row],[Neighborhood
(Select from Dropdown)]]&amp;Table2[[#This Row],[Organization Name]]</f>
        <v/>
      </c>
      <c r="Z438" s="67"/>
    </row>
    <row r="439" spans="1:26" ht="30" customHeight="1" x14ac:dyDescent="0.25">
      <c r="A439" s="21"/>
      <c r="B439" s="33"/>
      <c r="C439" s="33"/>
      <c r="D439" s="24"/>
      <c r="E439" s="24"/>
      <c r="F439" s="24"/>
      <c r="G439" s="24"/>
      <c r="H439" s="34"/>
      <c r="I439" s="25"/>
      <c r="J439" s="25"/>
      <c r="K439" s="25"/>
      <c r="L439" s="26"/>
      <c r="M439" s="59" t="str">
        <f>IFERROR(INDEX(Vocab_NameList!$O:$O,MATCH($J439, Vocab_NameList!$M:$M, 0)),"")</f>
        <v/>
      </c>
      <c r="N439" s="29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68" t="str">
        <f>Table2[[#This Row],[Governorate
(Select from Dropdown)]]&amp;Table2[[#This Row],[Neighborhood
(Select from Dropdown)]]&amp;Table2[[#This Row],[Organization Name]]</f>
        <v/>
      </c>
      <c r="Z439" s="67"/>
    </row>
    <row r="440" spans="1:26" ht="30" customHeight="1" x14ac:dyDescent="0.25">
      <c r="A440" s="21"/>
      <c r="B440" s="33"/>
      <c r="C440" s="33"/>
      <c r="D440" s="24"/>
      <c r="E440" s="24"/>
      <c r="F440" s="24"/>
      <c r="G440" s="24"/>
      <c r="H440" s="34"/>
      <c r="I440" s="25"/>
      <c r="J440" s="25"/>
      <c r="K440" s="25"/>
      <c r="L440" s="26"/>
      <c r="M440" s="59" t="str">
        <f>IFERROR(INDEX(Vocab_NameList!$O:$O,MATCH($J440, Vocab_NameList!$M:$M, 0)),"")</f>
        <v/>
      </c>
      <c r="N440" s="29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68" t="str">
        <f>Table2[[#This Row],[Governorate
(Select from Dropdown)]]&amp;Table2[[#This Row],[Neighborhood
(Select from Dropdown)]]&amp;Table2[[#This Row],[Organization Name]]</f>
        <v/>
      </c>
      <c r="Z440" s="67"/>
    </row>
    <row r="441" spans="1:26" ht="30" customHeight="1" x14ac:dyDescent="0.25">
      <c r="A441" s="21"/>
      <c r="B441" s="33"/>
      <c r="C441" s="33"/>
      <c r="D441" s="24"/>
      <c r="E441" s="24"/>
      <c r="F441" s="24"/>
      <c r="G441" s="24"/>
      <c r="H441" s="34"/>
      <c r="I441" s="25"/>
      <c r="J441" s="25"/>
      <c r="K441" s="25"/>
      <c r="L441" s="26"/>
      <c r="M441" s="59" t="str">
        <f>IFERROR(INDEX(Vocab_NameList!$O:$O,MATCH($J441, Vocab_NameList!$M:$M, 0)),"")</f>
        <v/>
      </c>
      <c r="N441" s="29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68" t="str">
        <f>Table2[[#This Row],[Governorate
(Select from Dropdown)]]&amp;Table2[[#This Row],[Neighborhood
(Select from Dropdown)]]&amp;Table2[[#This Row],[Organization Name]]</f>
        <v/>
      </c>
      <c r="Z441" s="67"/>
    </row>
    <row r="442" spans="1:26" ht="30" customHeight="1" x14ac:dyDescent="0.25">
      <c r="A442" s="21"/>
      <c r="B442" s="33"/>
      <c r="C442" s="33"/>
      <c r="D442" s="24"/>
      <c r="E442" s="24"/>
      <c r="F442" s="24"/>
      <c r="G442" s="24"/>
      <c r="H442" s="34"/>
      <c r="I442" s="25"/>
      <c r="J442" s="25"/>
      <c r="K442" s="25"/>
      <c r="L442" s="26"/>
      <c r="M442" s="59" t="str">
        <f>IFERROR(INDEX(Vocab_NameList!$O:$O,MATCH($J442, Vocab_NameList!$M:$M, 0)),"")</f>
        <v/>
      </c>
      <c r="N442" s="29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68" t="str">
        <f>Table2[[#This Row],[Governorate
(Select from Dropdown)]]&amp;Table2[[#This Row],[Neighborhood
(Select from Dropdown)]]&amp;Table2[[#This Row],[Organization Name]]</f>
        <v/>
      </c>
      <c r="Z442" s="67"/>
    </row>
    <row r="443" spans="1:26" ht="30" customHeight="1" x14ac:dyDescent="0.25">
      <c r="A443" s="21"/>
      <c r="B443" s="33"/>
      <c r="C443" s="33"/>
      <c r="D443" s="24"/>
      <c r="E443" s="24"/>
      <c r="F443" s="24"/>
      <c r="G443" s="24"/>
      <c r="H443" s="34"/>
      <c r="I443" s="25"/>
      <c r="J443" s="25"/>
      <c r="K443" s="25"/>
      <c r="L443" s="26"/>
      <c r="M443" s="59" t="str">
        <f>IFERROR(INDEX(Vocab_NameList!$O:$O,MATCH($J443, Vocab_NameList!$M:$M, 0)),"")</f>
        <v/>
      </c>
      <c r="N443" s="29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68" t="str">
        <f>Table2[[#This Row],[Governorate
(Select from Dropdown)]]&amp;Table2[[#This Row],[Neighborhood
(Select from Dropdown)]]&amp;Table2[[#This Row],[Organization Name]]</f>
        <v/>
      </c>
      <c r="Z443" s="67"/>
    </row>
    <row r="444" spans="1:26" ht="30" customHeight="1" x14ac:dyDescent="0.25">
      <c r="A444" s="21"/>
      <c r="B444" s="33"/>
      <c r="C444" s="33"/>
      <c r="D444" s="24"/>
      <c r="E444" s="24"/>
      <c r="F444" s="24"/>
      <c r="G444" s="24"/>
      <c r="H444" s="34"/>
      <c r="I444" s="25"/>
      <c r="J444" s="25"/>
      <c r="K444" s="25"/>
      <c r="L444" s="26"/>
      <c r="M444" s="59" t="str">
        <f>IFERROR(INDEX(Vocab_NameList!$O:$O,MATCH($J444, Vocab_NameList!$M:$M, 0)),"")</f>
        <v/>
      </c>
      <c r="N444" s="29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68" t="str">
        <f>Table2[[#This Row],[Governorate
(Select from Dropdown)]]&amp;Table2[[#This Row],[Neighborhood
(Select from Dropdown)]]&amp;Table2[[#This Row],[Organization Name]]</f>
        <v/>
      </c>
      <c r="Z444" s="67"/>
    </row>
    <row r="445" spans="1:26" ht="30" customHeight="1" x14ac:dyDescent="0.25">
      <c r="A445" s="21"/>
      <c r="B445" s="33"/>
      <c r="C445" s="33"/>
      <c r="D445" s="24"/>
      <c r="E445" s="24"/>
      <c r="F445" s="24"/>
      <c r="G445" s="24"/>
      <c r="H445" s="34"/>
      <c r="I445" s="25"/>
      <c r="J445" s="25"/>
      <c r="K445" s="25"/>
      <c r="L445" s="26"/>
      <c r="M445" s="59" t="str">
        <f>IFERROR(INDEX(Vocab_NameList!$O:$O,MATCH($J445, Vocab_NameList!$M:$M, 0)),"")</f>
        <v/>
      </c>
      <c r="N445" s="29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68" t="str">
        <f>Table2[[#This Row],[Governorate
(Select from Dropdown)]]&amp;Table2[[#This Row],[Neighborhood
(Select from Dropdown)]]&amp;Table2[[#This Row],[Organization Name]]</f>
        <v/>
      </c>
      <c r="Z445" s="67"/>
    </row>
    <row r="446" spans="1:26" ht="30" customHeight="1" x14ac:dyDescent="0.25">
      <c r="A446" s="21"/>
      <c r="B446" s="33"/>
      <c r="C446" s="33"/>
      <c r="D446" s="24"/>
      <c r="E446" s="24"/>
      <c r="F446" s="24"/>
      <c r="G446" s="24"/>
      <c r="H446" s="34"/>
      <c r="I446" s="25"/>
      <c r="J446" s="25"/>
      <c r="K446" s="25"/>
      <c r="L446" s="26"/>
      <c r="M446" s="59" t="str">
        <f>IFERROR(INDEX(Vocab_NameList!$O:$O,MATCH($J446, Vocab_NameList!$M:$M, 0)),"")</f>
        <v/>
      </c>
      <c r="N446" s="29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68" t="str">
        <f>Table2[[#This Row],[Governorate
(Select from Dropdown)]]&amp;Table2[[#This Row],[Neighborhood
(Select from Dropdown)]]&amp;Table2[[#This Row],[Organization Name]]</f>
        <v/>
      </c>
      <c r="Z446" s="67"/>
    </row>
    <row r="447" spans="1:26" ht="30" customHeight="1" x14ac:dyDescent="0.25">
      <c r="A447" s="21"/>
      <c r="B447" s="33"/>
      <c r="C447" s="33"/>
      <c r="D447" s="24"/>
      <c r="E447" s="24"/>
      <c r="F447" s="24"/>
      <c r="G447" s="24"/>
      <c r="H447" s="34"/>
      <c r="I447" s="25"/>
      <c r="J447" s="25"/>
      <c r="K447" s="25"/>
      <c r="L447" s="26"/>
      <c r="M447" s="59" t="str">
        <f>IFERROR(INDEX(Vocab_NameList!$O:$O,MATCH($J447, Vocab_NameList!$M:$M, 0)),"")</f>
        <v/>
      </c>
      <c r="N447" s="29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68" t="str">
        <f>Table2[[#This Row],[Governorate
(Select from Dropdown)]]&amp;Table2[[#This Row],[Neighborhood
(Select from Dropdown)]]&amp;Table2[[#This Row],[Organization Name]]</f>
        <v/>
      </c>
      <c r="Z447" s="67"/>
    </row>
    <row r="448" spans="1:26" ht="30" customHeight="1" x14ac:dyDescent="0.25">
      <c r="A448" s="21"/>
      <c r="B448" s="33"/>
      <c r="C448" s="33"/>
      <c r="D448" s="24"/>
      <c r="E448" s="24"/>
      <c r="F448" s="24"/>
      <c r="G448" s="24"/>
      <c r="H448" s="34"/>
      <c r="I448" s="25"/>
      <c r="J448" s="25"/>
      <c r="K448" s="25"/>
      <c r="L448" s="26"/>
      <c r="M448" s="59" t="str">
        <f>IFERROR(INDEX(Vocab_NameList!$O:$O,MATCH($J448, Vocab_NameList!$M:$M, 0)),"")</f>
        <v/>
      </c>
      <c r="N448" s="29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68" t="str">
        <f>Table2[[#This Row],[Governorate
(Select from Dropdown)]]&amp;Table2[[#This Row],[Neighborhood
(Select from Dropdown)]]&amp;Table2[[#This Row],[Organization Name]]</f>
        <v/>
      </c>
      <c r="Z448" s="67"/>
    </row>
    <row r="449" spans="1:26" ht="30" customHeight="1" x14ac:dyDescent="0.25">
      <c r="A449" s="21"/>
      <c r="B449" s="33"/>
      <c r="C449" s="33"/>
      <c r="D449" s="24"/>
      <c r="E449" s="24"/>
      <c r="F449" s="24"/>
      <c r="G449" s="24"/>
      <c r="H449" s="34"/>
      <c r="I449" s="25"/>
      <c r="J449" s="25"/>
      <c r="K449" s="25"/>
      <c r="L449" s="26"/>
      <c r="M449" s="59" t="str">
        <f>IFERROR(INDEX(Vocab_NameList!$O:$O,MATCH($J449, Vocab_NameList!$M:$M, 0)),"")</f>
        <v/>
      </c>
      <c r="N449" s="29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68" t="str">
        <f>Table2[[#This Row],[Governorate
(Select from Dropdown)]]&amp;Table2[[#This Row],[Neighborhood
(Select from Dropdown)]]&amp;Table2[[#This Row],[Organization Name]]</f>
        <v/>
      </c>
      <c r="Z449" s="67"/>
    </row>
    <row r="450" spans="1:26" ht="30" customHeight="1" x14ac:dyDescent="0.25">
      <c r="A450" s="21"/>
      <c r="B450" s="33"/>
      <c r="C450" s="33"/>
      <c r="D450" s="24"/>
      <c r="E450" s="24"/>
      <c r="F450" s="24"/>
      <c r="G450" s="24"/>
      <c r="H450" s="34"/>
      <c r="I450" s="25"/>
      <c r="J450" s="25"/>
      <c r="K450" s="25"/>
      <c r="L450" s="26"/>
      <c r="M450" s="59" t="str">
        <f>IFERROR(INDEX(Vocab_NameList!$O:$O,MATCH($J450, Vocab_NameList!$M:$M, 0)),"")</f>
        <v/>
      </c>
      <c r="N450" s="29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68" t="str">
        <f>Table2[[#This Row],[Governorate
(Select from Dropdown)]]&amp;Table2[[#This Row],[Neighborhood
(Select from Dropdown)]]&amp;Table2[[#This Row],[Organization Name]]</f>
        <v/>
      </c>
      <c r="Z450" s="67"/>
    </row>
    <row r="451" spans="1:26" ht="30" customHeight="1" x14ac:dyDescent="0.25">
      <c r="A451" s="21"/>
      <c r="B451" s="33"/>
      <c r="C451" s="33"/>
      <c r="D451" s="24"/>
      <c r="E451" s="24"/>
      <c r="F451" s="24"/>
      <c r="G451" s="24"/>
      <c r="H451" s="34"/>
      <c r="I451" s="25"/>
      <c r="J451" s="25"/>
      <c r="K451" s="25"/>
      <c r="L451" s="26"/>
      <c r="M451" s="59" t="str">
        <f>IFERROR(INDEX(Vocab_NameList!$O:$O,MATCH($J451, Vocab_NameList!$M:$M, 0)),"")</f>
        <v/>
      </c>
      <c r="N451" s="29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68" t="str">
        <f>Table2[[#This Row],[Governorate
(Select from Dropdown)]]&amp;Table2[[#This Row],[Neighborhood
(Select from Dropdown)]]&amp;Table2[[#This Row],[Organization Name]]</f>
        <v/>
      </c>
      <c r="Z451" s="67"/>
    </row>
    <row r="452" spans="1:26" ht="30" customHeight="1" x14ac:dyDescent="0.25">
      <c r="A452" s="21"/>
      <c r="B452" s="33"/>
      <c r="C452" s="33"/>
      <c r="D452" s="24"/>
      <c r="E452" s="24"/>
      <c r="F452" s="24"/>
      <c r="G452" s="24"/>
      <c r="H452" s="34"/>
      <c r="I452" s="25"/>
      <c r="J452" s="25"/>
      <c r="K452" s="25"/>
      <c r="L452" s="26"/>
      <c r="M452" s="59" t="str">
        <f>IFERROR(INDEX(Vocab_NameList!$O:$O,MATCH($J452, Vocab_NameList!$M:$M, 0)),"")</f>
        <v/>
      </c>
      <c r="N452" s="29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68" t="str">
        <f>Table2[[#This Row],[Governorate
(Select from Dropdown)]]&amp;Table2[[#This Row],[Neighborhood
(Select from Dropdown)]]&amp;Table2[[#This Row],[Organization Name]]</f>
        <v/>
      </c>
      <c r="Z452" s="67"/>
    </row>
    <row r="453" spans="1:26" ht="30" customHeight="1" x14ac:dyDescent="0.25">
      <c r="A453" s="21"/>
      <c r="B453" s="33"/>
      <c r="C453" s="33"/>
      <c r="D453" s="24"/>
      <c r="E453" s="24"/>
      <c r="F453" s="24"/>
      <c r="G453" s="24"/>
      <c r="H453" s="34"/>
      <c r="I453" s="25"/>
      <c r="J453" s="25"/>
      <c r="K453" s="25"/>
      <c r="L453" s="26"/>
      <c r="M453" s="59" t="str">
        <f>IFERROR(INDEX(Vocab_NameList!$O:$O,MATCH($J453, Vocab_NameList!$M:$M, 0)),"")</f>
        <v/>
      </c>
      <c r="N453" s="29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68" t="str">
        <f>Table2[[#This Row],[Governorate
(Select from Dropdown)]]&amp;Table2[[#This Row],[Neighborhood
(Select from Dropdown)]]&amp;Table2[[#This Row],[Organization Name]]</f>
        <v/>
      </c>
      <c r="Z453" s="67"/>
    </row>
    <row r="454" spans="1:26" ht="30" customHeight="1" x14ac:dyDescent="0.25">
      <c r="A454" s="21"/>
      <c r="B454" s="33"/>
      <c r="C454" s="33"/>
      <c r="D454" s="24"/>
      <c r="E454" s="24"/>
      <c r="F454" s="24"/>
      <c r="G454" s="24"/>
      <c r="H454" s="34"/>
      <c r="I454" s="25"/>
      <c r="J454" s="25"/>
      <c r="K454" s="25"/>
      <c r="L454" s="26"/>
      <c r="M454" s="59" t="str">
        <f>IFERROR(INDEX(Vocab_NameList!$O:$O,MATCH($J454, Vocab_NameList!$M:$M, 0)),"")</f>
        <v/>
      </c>
      <c r="N454" s="29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68" t="str">
        <f>Table2[[#This Row],[Governorate
(Select from Dropdown)]]&amp;Table2[[#This Row],[Neighborhood
(Select from Dropdown)]]&amp;Table2[[#This Row],[Organization Name]]</f>
        <v/>
      </c>
      <c r="Z454" s="67"/>
    </row>
    <row r="455" spans="1:26" ht="30" customHeight="1" x14ac:dyDescent="0.25">
      <c r="A455" s="21"/>
      <c r="B455" s="33"/>
      <c r="C455" s="33"/>
      <c r="D455" s="24"/>
      <c r="E455" s="24"/>
      <c r="F455" s="24"/>
      <c r="G455" s="24"/>
      <c r="H455" s="34"/>
      <c r="I455" s="25"/>
      <c r="J455" s="25"/>
      <c r="K455" s="25"/>
      <c r="L455" s="26"/>
      <c r="M455" s="59" t="str">
        <f>IFERROR(INDEX(Vocab_NameList!$O:$O,MATCH($J455, Vocab_NameList!$M:$M, 0)),"")</f>
        <v/>
      </c>
      <c r="N455" s="29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68" t="str">
        <f>Table2[[#This Row],[Governorate
(Select from Dropdown)]]&amp;Table2[[#This Row],[Neighborhood
(Select from Dropdown)]]&amp;Table2[[#This Row],[Organization Name]]</f>
        <v/>
      </c>
      <c r="Z455" s="67"/>
    </row>
    <row r="456" spans="1:26" ht="30" customHeight="1" x14ac:dyDescent="0.25">
      <c r="A456" s="21"/>
      <c r="B456" s="33"/>
      <c r="C456" s="33"/>
      <c r="D456" s="24"/>
      <c r="E456" s="24"/>
      <c r="F456" s="24"/>
      <c r="G456" s="24"/>
      <c r="H456" s="34"/>
      <c r="I456" s="25"/>
      <c r="J456" s="25"/>
      <c r="K456" s="25"/>
      <c r="L456" s="26"/>
      <c r="M456" s="59" t="str">
        <f>IFERROR(INDEX(Vocab_NameList!$O:$O,MATCH($J456, Vocab_NameList!$M:$M, 0)),"")</f>
        <v/>
      </c>
      <c r="N456" s="29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68" t="str">
        <f>Table2[[#This Row],[Governorate
(Select from Dropdown)]]&amp;Table2[[#This Row],[Neighborhood
(Select from Dropdown)]]&amp;Table2[[#This Row],[Organization Name]]</f>
        <v/>
      </c>
      <c r="Z456" s="67"/>
    </row>
    <row r="457" spans="1:26" ht="30" customHeight="1" x14ac:dyDescent="0.25">
      <c r="A457" s="21"/>
      <c r="B457" s="33"/>
      <c r="C457" s="33"/>
      <c r="D457" s="24"/>
      <c r="E457" s="24"/>
      <c r="F457" s="24"/>
      <c r="G457" s="24"/>
      <c r="H457" s="34"/>
      <c r="I457" s="25"/>
      <c r="J457" s="25"/>
      <c r="K457" s="25"/>
      <c r="L457" s="26"/>
      <c r="M457" s="59" t="str">
        <f>IFERROR(INDEX(Vocab_NameList!$O:$O,MATCH($J457, Vocab_NameList!$M:$M, 0)),"")</f>
        <v/>
      </c>
      <c r="N457" s="29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68" t="str">
        <f>Table2[[#This Row],[Governorate
(Select from Dropdown)]]&amp;Table2[[#This Row],[Neighborhood
(Select from Dropdown)]]&amp;Table2[[#This Row],[Organization Name]]</f>
        <v/>
      </c>
      <c r="Z457" s="67"/>
    </row>
    <row r="458" spans="1:26" ht="30" customHeight="1" x14ac:dyDescent="0.25">
      <c r="A458" s="21"/>
      <c r="B458" s="33"/>
      <c r="C458" s="33"/>
      <c r="D458" s="24"/>
      <c r="E458" s="24"/>
      <c r="F458" s="24"/>
      <c r="G458" s="24"/>
      <c r="H458" s="34"/>
      <c r="I458" s="25"/>
      <c r="J458" s="25"/>
      <c r="K458" s="25"/>
      <c r="L458" s="26"/>
      <c r="M458" s="59" t="str">
        <f>IFERROR(INDEX(Vocab_NameList!$O:$O,MATCH($J458, Vocab_NameList!$M:$M, 0)),"")</f>
        <v/>
      </c>
      <c r="N458" s="29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68" t="str">
        <f>Table2[[#This Row],[Governorate
(Select from Dropdown)]]&amp;Table2[[#This Row],[Neighborhood
(Select from Dropdown)]]&amp;Table2[[#This Row],[Organization Name]]</f>
        <v/>
      </c>
      <c r="Z458" s="67"/>
    </row>
    <row r="459" spans="1:26" ht="30" customHeight="1" x14ac:dyDescent="0.25">
      <c r="A459" s="21"/>
      <c r="B459" s="33"/>
      <c r="C459" s="33"/>
      <c r="D459" s="24"/>
      <c r="E459" s="24"/>
      <c r="F459" s="24"/>
      <c r="G459" s="24"/>
      <c r="H459" s="34"/>
      <c r="I459" s="25"/>
      <c r="J459" s="25"/>
      <c r="K459" s="25"/>
      <c r="L459" s="26"/>
      <c r="M459" s="59" t="str">
        <f>IFERROR(INDEX(Vocab_NameList!$O:$O,MATCH($J459, Vocab_NameList!$M:$M, 0)),"")</f>
        <v/>
      </c>
      <c r="N459" s="29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68" t="str">
        <f>Table2[[#This Row],[Governorate
(Select from Dropdown)]]&amp;Table2[[#This Row],[Neighborhood
(Select from Dropdown)]]&amp;Table2[[#This Row],[Organization Name]]</f>
        <v/>
      </c>
      <c r="Z459" s="67"/>
    </row>
    <row r="460" spans="1:26" ht="30" customHeight="1" x14ac:dyDescent="0.25">
      <c r="A460" s="21"/>
      <c r="B460" s="33"/>
      <c r="C460" s="33"/>
      <c r="D460" s="24"/>
      <c r="E460" s="24"/>
      <c r="F460" s="24"/>
      <c r="G460" s="24"/>
      <c r="H460" s="34"/>
      <c r="I460" s="25"/>
      <c r="J460" s="25"/>
      <c r="K460" s="25"/>
      <c r="L460" s="26"/>
      <c r="M460" s="59" t="str">
        <f>IFERROR(INDEX(Vocab_NameList!$O:$O,MATCH($J460, Vocab_NameList!$M:$M, 0)),"")</f>
        <v/>
      </c>
      <c r="N460" s="29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68" t="str">
        <f>Table2[[#This Row],[Governorate
(Select from Dropdown)]]&amp;Table2[[#This Row],[Neighborhood
(Select from Dropdown)]]&amp;Table2[[#This Row],[Organization Name]]</f>
        <v/>
      </c>
      <c r="Z460" s="67"/>
    </row>
    <row r="461" spans="1:26" ht="30" customHeight="1" x14ac:dyDescent="0.25">
      <c r="A461" s="21"/>
      <c r="B461" s="33"/>
      <c r="C461" s="33"/>
      <c r="D461" s="24"/>
      <c r="E461" s="24"/>
      <c r="F461" s="24"/>
      <c r="G461" s="24"/>
      <c r="H461" s="34"/>
      <c r="I461" s="25"/>
      <c r="J461" s="25"/>
      <c r="K461" s="25"/>
      <c r="L461" s="26"/>
      <c r="M461" s="59" t="str">
        <f>IFERROR(INDEX(Vocab_NameList!$O:$O,MATCH($J461, Vocab_NameList!$M:$M, 0)),"")</f>
        <v/>
      </c>
      <c r="N461" s="29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68" t="str">
        <f>Table2[[#This Row],[Governorate
(Select from Dropdown)]]&amp;Table2[[#This Row],[Neighborhood
(Select from Dropdown)]]&amp;Table2[[#This Row],[Organization Name]]</f>
        <v/>
      </c>
      <c r="Z461" s="67"/>
    </row>
    <row r="462" spans="1:26" ht="30" customHeight="1" x14ac:dyDescent="0.25">
      <c r="A462" s="21"/>
      <c r="B462" s="33"/>
      <c r="C462" s="33"/>
      <c r="D462" s="24"/>
      <c r="E462" s="24"/>
      <c r="F462" s="24"/>
      <c r="G462" s="24"/>
      <c r="H462" s="34"/>
      <c r="I462" s="25"/>
      <c r="J462" s="25"/>
      <c r="K462" s="25"/>
      <c r="L462" s="26"/>
      <c r="M462" s="59" t="str">
        <f>IFERROR(INDEX(Vocab_NameList!$O:$O,MATCH($J462, Vocab_NameList!$M:$M, 0)),"")</f>
        <v/>
      </c>
      <c r="N462" s="29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68" t="str">
        <f>Table2[[#This Row],[Governorate
(Select from Dropdown)]]&amp;Table2[[#This Row],[Neighborhood
(Select from Dropdown)]]&amp;Table2[[#This Row],[Organization Name]]</f>
        <v/>
      </c>
      <c r="Z462" s="67"/>
    </row>
    <row r="463" spans="1:26" ht="30" customHeight="1" x14ac:dyDescent="0.25">
      <c r="A463" s="21"/>
      <c r="B463" s="33"/>
      <c r="C463" s="33"/>
      <c r="D463" s="24"/>
      <c r="E463" s="24"/>
      <c r="F463" s="24"/>
      <c r="G463" s="24"/>
      <c r="H463" s="34"/>
      <c r="I463" s="25"/>
      <c r="J463" s="25"/>
      <c r="K463" s="25"/>
      <c r="L463" s="26"/>
      <c r="M463" s="59" t="str">
        <f>IFERROR(INDEX(Vocab_NameList!$O:$O,MATCH($J463, Vocab_NameList!$M:$M, 0)),"")</f>
        <v/>
      </c>
      <c r="N463" s="29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68" t="str">
        <f>Table2[[#This Row],[Governorate
(Select from Dropdown)]]&amp;Table2[[#This Row],[Neighborhood
(Select from Dropdown)]]&amp;Table2[[#This Row],[Organization Name]]</f>
        <v/>
      </c>
      <c r="Z463" s="67"/>
    </row>
    <row r="464" spans="1:26" ht="30" customHeight="1" x14ac:dyDescent="0.25">
      <c r="A464" s="21"/>
      <c r="B464" s="33"/>
      <c r="C464" s="33"/>
      <c r="D464" s="24"/>
      <c r="E464" s="24"/>
      <c r="F464" s="24"/>
      <c r="G464" s="24"/>
      <c r="H464" s="34"/>
      <c r="I464" s="25"/>
      <c r="J464" s="25"/>
      <c r="K464" s="25"/>
      <c r="L464" s="26"/>
      <c r="M464" s="59" t="str">
        <f>IFERROR(INDEX(Vocab_NameList!$O:$O,MATCH($J464, Vocab_NameList!$M:$M, 0)),"")</f>
        <v/>
      </c>
      <c r="N464" s="29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68" t="str">
        <f>Table2[[#This Row],[Governorate
(Select from Dropdown)]]&amp;Table2[[#This Row],[Neighborhood
(Select from Dropdown)]]&amp;Table2[[#This Row],[Organization Name]]</f>
        <v/>
      </c>
      <c r="Z464" s="67"/>
    </row>
    <row r="465" spans="1:26" ht="30" customHeight="1" x14ac:dyDescent="0.25">
      <c r="A465" s="21"/>
      <c r="B465" s="33"/>
      <c r="C465" s="33"/>
      <c r="D465" s="24"/>
      <c r="E465" s="24"/>
      <c r="F465" s="24"/>
      <c r="G465" s="24"/>
      <c r="H465" s="34"/>
      <c r="I465" s="25"/>
      <c r="J465" s="25"/>
      <c r="K465" s="25"/>
      <c r="L465" s="26"/>
      <c r="M465" s="59" t="str">
        <f>IFERROR(INDEX(Vocab_NameList!$O:$O,MATCH($J465, Vocab_NameList!$M:$M, 0)),"")</f>
        <v/>
      </c>
      <c r="N465" s="29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68" t="str">
        <f>Table2[[#This Row],[Governorate
(Select from Dropdown)]]&amp;Table2[[#This Row],[Neighborhood
(Select from Dropdown)]]&amp;Table2[[#This Row],[Organization Name]]</f>
        <v/>
      </c>
      <c r="Z465" s="67"/>
    </row>
    <row r="466" spans="1:26" ht="30" customHeight="1" x14ac:dyDescent="0.25">
      <c r="A466" s="21"/>
      <c r="B466" s="33"/>
      <c r="C466" s="33"/>
      <c r="D466" s="24"/>
      <c r="E466" s="24"/>
      <c r="F466" s="24"/>
      <c r="G466" s="24"/>
      <c r="H466" s="34"/>
      <c r="I466" s="25"/>
      <c r="J466" s="25"/>
      <c r="K466" s="25"/>
      <c r="L466" s="26"/>
      <c r="M466" s="59" t="str">
        <f>IFERROR(INDEX(Vocab_NameList!$O:$O,MATCH($J466, Vocab_NameList!$M:$M, 0)),"")</f>
        <v/>
      </c>
      <c r="N466" s="29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68" t="str">
        <f>Table2[[#This Row],[Governorate
(Select from Dropdown)]]&amp;Table2[[#This Row],[Neighborhood
(Select from Dropdown)]]&amp;Table2[[#This Row],[Organization Name]]</f>
        <v/>
      </c>
      <c r="Z466" s="67"/>
    </row>
    <row r="467" spans="1:26" ht="30" customHeight="1" x14ac:dyDescent="0.25">
      <c r="A467" s="21"/>
      <c r="B467" s="33"/>
      <c r="C467" s="33"/>
      <c r="D467" s="24"/>
      <c r="E467" s="24"/>
      <c r="F467" s="24"/>
      <c r="G467" s="24"/>
      <c r="H467" s="34"/>
      <c r="I467" s="25"/>
      <c r="J467" s="25"/>
      <c r="K467" s="25"/>
      <c r="L467" s="26"/>
      <c r="M467" s="59" t="str">
        <f>IFERROR(INDEX(Vocab_NameList!$O:$O,MATCH($J467, Vocab_NameList!$M:$M, 0)),"")</f>
        <v/>
      </c>
      <c r="N467" s="29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68" t="str">
        <f>Table2[[#This Row],[Governorate
(Select from Dropdown)]]&amp;Table2[[#This Row],[Neighborhood
(Select from Dropdown)]]&amp;Table2[[#This Row],[Organization Name]]</f>
        <v/>
      </c>
      <c r="Z467" s="67"/>
    </row>
    <row r="468" spans="1:26" ht="30" customHeight="1" x14ac:dyDescent="0.25">
      <c r="A468" s="21"/>
      <c r="B468" s="33"/>
      <c r="C468" s="33"/>
      <c r="D468" s="24"/>
      <c r="E468" s="24"/>
      <c r="F468" s="24"/>
      <c r="G468" s="24"/>
      <c r="H468" s="34"/>
      <c r="I468" s="25"/>
      <c r="J468" s="25"/>
      <c r="K468" s="25"/>
      <c r="L468" s="26"/>
      <c r="M468" s="59" t="str">
        <f>IFERROR(INDEX(Vocab_NameList!$O:$O,MATCH($J468, Vocab_NameList!$M:$M, 0)),"")</f>
        <v/>
      </c>
      <c r="N468" s="29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68" t="str">
        <f>Table2[[#This Row],[Governorate
(Select from Dropdown)]]&amp;Table2[[#This Row],[Neighborhood
(Select from Dropdown)]]&amp;Table2[[#This Row],[Organization Name]]</f>
        <v/>
      </c>
      <c r="Z468" s="67"/>
    </row>
    <row r="469" spans="1:26" ht="30" customHeight="1" x14ac:dyDescent="0.25">
      <c r="A469" s="21"/>
      <c r="B469" s="33"/>
      <c r="C469" s="33"/>
      <c r="D469" s="24"/>
      <c r="E469" s="24"/>
      <c r="F469" s="24"/>
      <c r="G469" s="24"/>
      <c r="H469" s="34"/>
      <c r="I469" s="25"/>
      <c r="J469" s="25"/>
      <c r="K469" s="25"/>
      <c r="L469" s="26"/>
      <c r="M469" s="59" t="str">
        <f>IFERROR(INDEX(Vocab_NameList!$O:$O,MATCH($J469, Vocab_NameList!$M:$M, 0)),"")</f>
        <v/>
      </c>
      <c r="N469" s="29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68" t="str">
        <f>Table2[[#This Row],[Governorate
(Select from Dropdown)]]&amp;Table2[[#This Row],[Neighborhood
(Select from Dropdown)]]&amp;Table2[[#This Row],[Organization Name]]</f>
        <v/>
      </c>
      <c r="Z469" s="67"/>
    </row>
    <row r="470" spans="1:26" ht="30" customHeight="1" x14ac:dyDescent="0.25">
      <c r="A470" s="21"/>
      <c r="B470" s="33"/>
      <c r="C470" s="33"/>
      <c r="D470" s="24"/>
      <c r="E470" s="24"/>
      <c r="F470" s="24"/>
      <c r="G470" s="24"/>
      <c r="H470" s="34"/>
      <c r="I470" s="25"/>
      <c r="J470" s="25"/>
      <c r="K470" s="25"/>
      <c r="L470" s="26"/>
      <c r="M470" s="59" t="str">
        <f>IFERROR(INDEX(Vocab_NameList!$O:$O,MATCH($J470, Vocab_NameList!$M:$M, 0)),"")</f>
        <v/>
      </c>
      <c r="N470" s="29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68" t="str">
        <f>Table2[[#This Row],[Governorate
(Select from Dropdown)]]&amp;Table2[[#This Row],[Neighborhood
(Select from Dropdown)]]&amp;Table2[[#This Row],[Organization Name]]</f>
        <v/>
      </c>
      <c r="Z470" s="67"/>
    </row>
    <row r="471" spans="1:26" ht="30" customHeight="1" x14ac:dyDescent="0.25">
      <c r="A471" s="21"/>
      <c r="B471" s="33"/>
      <c r="C471" s="33"/>
      <c r="D471" s="24"/>
      <c r="E471" s="24"/>
      <c r="F471" s="24"/>
      <c r="G471" s="24"/>
      <c r="H471" s="34"/>
      <c r="I471" s="25"/>
      <c r="J471" s="25"/>
      <c r="K471" s="25"/>
      <c r="L471" s="26"/>
      <c r="M471" s="59" t="str">
        <f>IFERROR(INDEX(Vocab_NameList!$O:$O,MATCH($J471, Vocab_NameList!$M:$M, 0)),"")</f>
        <v/>
      </c>
      <c r="N471" s="29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68" t="str">
        <f>Table2[[#This Row],[Governorate
(Select from Dropdown)]]&amp;Table2[[#This Row],[Neighborhood
(Select from Dropdown)]]&amp;Table2[[#This Row],[Organization Name]]</f>
        <v/>
      </c>
      <c r="Z471" s="67"/>
    </row>
    <row r="472" spans="1:26" ht="30" customHeight="1" x14ac:dyDescent="0.25">
      <c r="A472" s="21"/>
      <c r="B472" s="33"/>
      <c r="C472" s="33"/>
      <c r="D472" s="24"/>
      <c r="E472" s="24"/>
      <c r="F472" s="24"/>
      <c r="G472" s="24"/>
      <c r="H472" s="34"/>
      <c r="I472" s="25"/>
      <c r="J472" s="25"/>
      <c r="K472" s="25"/>
      <c r="L472" s="26"/>
      <c r="M472" s="59" t="str">
        <f>IFERROR(INDEX(Vocab_NameList!$O:$O,MATCH($J472, Vocab_NameList!$M:$M, 0)),"")</f>
        <v/>
      </c>
      <c r="N472" s="29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68" t="str">
        <f>Table2[[#This Row],[Governorate
(Select from Dropdown)]]&amp;Table2[[#This Row],[Neighborhood
(Select from Dropdown)]]&amp;Table2[[#This Row],[Organization Name]]</f>
        <v/>
      </c>
      <c r="Z472" s="67"/>
    </row>
    <row r="473" spans="1:26" ht="30" customHeight="1" x14ac:dyDescent="0.25">
      <c r="A473" s="21"/>
      <c r="B473" s="33"/>
      <c r="C473" s="33"/>
      <c r="D473" s="24"/>
      <c r="E473" s="24"/>
      <c r="F473" s="24"/>
      <c r="G473" s="24"/>
      <c r="H473" s="34"/>
      <c r="I473" s="25"/>
      <c r="J473" s="25"/>
      <c r="K473" s="25"/>
      <c r="L473" s="26"/>
      <c r="M473" s="59" t="str">
        <f>IFERROR(INDEX(Vocab_NameList!$O:$O,MATCH($J473, Vocab_NameList!$M:$M, 0)),"")</f>
        <v/>
      </c>
      <c r="N473" s="29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68" t="str">
        <f>Table2[[#This Row],[Governorate
(Select from Dropdown)]]&amp;Table2[[#This Row],[Neighborhood
(Select from Dropdown)]]&amp;Table2[[#This Row],[Organization Name]]</f>
        <v/>
      </c>
      <c r="Z473" s="67"/>
    </row>
    <row r="474" spans="1:26" ht="30" customHeight="1" x14ac:dyDescent="0.25">
      <c r="A474" s="21"/>
      <c r="B474" s="33"/>
      <c r="C474" s="33"/>
      <c r="D474" s="24"/>
      <c r="E474" s="24"/>
      <c r="F474" s="24"/>
      <c r="G474" s="24"/>
      <c r="H474" s="34"/>
      <c r="I474" s="25"/>
      <c r="J474" s="25"/>
      <c r="K474" s="25"/>
      <c r="L474" s="26"/>
      <c r="M474" s="59" t="str">
        <f>IFERROR(INDEX(Vocab_NameList!$O:$O,MATCH($J474, Vocab_NameList!$M:$M, 0)),"")</f>
        <v/>
      </c>
      <c r="N474" s="29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68" t="str">
        <f>Table2[[#This Row],[Governorate
(Select from Dropdown)]]&amp;Table2[[#This Row],[Neighborhood
(Select from Dropdown)]]&amp;Table2[[#This Row],[Organization Name]]</f>
        <v/>
      </c>
      <c r="Z474" s="67"/>
    </row>
    <row r="475" spans="1:26" ht="30" customHeight="1" x14ac:dyDescent="0.25">
      <c r="A475" s="21"/>
      <c r="B475" s="33"/>
      <c r="C475" s="33"/>
      <c r="D475" s="24"/>
      <c r="E475" s="24"/>
      <c r="F475" s="24"/>
      <c r="G475" s="24"/>
      <c r="H475" s="34"/>
      <c r="I475" s="25"/>
      <c r="J475" s="25"/>
      <c r="K475" s="25"/>
      <c r="L475" s="26"/>
      <c r="M475" s="59" t="str">
        <f>IFERROR(INDEX(Vocab_NameList!$O:$O,MATCH($J475, Vocab_NameList!$M:$M, 0)),"")</f>
        <v/>
      </c>
      <c r="N475" s="29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68" t="str">
        <f>Table2[[#This Row],[Governorate
(Select from Dropdown)]]&amp;Table2[[#This Row],[Neighborhood
(Select from Dropdown)]]&amp;Table2[[#This Row],[Organization Name]]</f>
        <v/>
      </c>
      <c r="Z475" s="67"/>
    </row>
    <row r="476" spans="1:26" ht="30" customHeight="1" x14ac:dyDescent="0.25">
      <c r="A476" s="21"/>
      <c r="B476" s="33"/>
      <c r="C476" s="33"/>
      <c r="D476" s="24"/>
      <c r="E476" s="24"/>
      <c r="F476" s="24"/>
      <c r="G476" s="24"/>
      <c r="H476" s="34"/>
      <c r="I476" s="25"/>
      <c r="J476" s="25"/>
      <c r="K476" s="25"/>
      <c r="L476" s="26"/>
      <c r="M476" s="59" t="str">
        <f>IFERROR(INDEX(Vocab_NameList!$O:$O,MATCH($J476, Vocab_NameList!$M:$M, 0)),"")</f>
        <v/>
      </c>
      <c r="N476" s="29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68" t="str">
        <f>Table2[[#This Row],[Governorate
(Select from Dropdown)]]&amp;Table2[[#This Row],[Neighborhood
(Select from Dropdown)]]&amp;Table2[[#This Row],[Organization Name]]</f>
        <v/>
      </c>
      <c r="Z476" s="67"/>
    </row>
    <row r="477" spans="1:26" ht="30" customHeight="1" x14ac:dyDescent="0.25">
      <c r="A477" s="21"/>
      <c r="B477" s="33"/>
      <c r="C477" s="33"/>
      <c r="D477" s="24"/>
      <c r="E477" s="24"/>
      <c r="F477" s="24"/>
      <c r="G477" s="24"/>
      <c r="H477" s="34"/>
      <c r="I477" s="25"/>
      <c r="J477" s="25"/>
      <c r="K477" s="25"/>
      <c r="L477" s="26"/>
      <c r="M477" s="59" t="str">
        <f>IFERROR(INDEX(Vocab_NameList!$O:$O,MATCH($J477, Vocab_NameList!$M:$M, 0)),"")</f>
        <v/>
      </c>
      <c r="N477" s="29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68" t="str">
        <f>Table2[[#This Row],[Governorate
(Select from Dropdown)]]&amp;Table2[[#This Row],[Neighborhood
(Select from Dropdown)]]&amp;Table2[[#This Row],[Organization Name]]</f>
        <v/>
      </c>
      <c r="Z477" s="67"/>
    </row>
    <row r="478" spans="1:26" ht="30" customHeight="1" x14ac:dyDescent="0.25">
      <c r="A478" s="21"/>
      <c r="B478" s="33"/>
      <c r="C478" s="33"/>
      <c r="D478" s="24"/>
      <c r="E478" s="24"/>
      <c r="F478" s="24"/>
      <c r="G478" s="24"/>
      <c r="H478" s="34"/>
      <c r="I478" s="25"/>
      <c r="J478" s="25"/>
      <c r="K478" s="25"/>
      <c r="L478" s="26"/>
      <c r="M478" s="59" t="str">
        <f>IFERROR(INDEX(Vocab_NameList!$O:$O,MATCH($J478, Vocab_NameList!$M:$M, 0)),"")</f>
        <v/>
      </c>
      <c r="N478" s="29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68" t="str">
        <f>Table2[[#This Row],[Governorate
(Select from Dropdown)]]&amp;Table2[[#This Row],[Neighborhood
(Select from Dropdown)]]&amp;Table2[[#This Row],[Organization Name]]</f>
        <v/>
      </c>
      <c r="Z478" s="67"/>
    </row>
    <row r="479" spans="1:26" ht="30" customHeight="1" x14ac:dyDescent="0.25">
      <c r="A479" s="21"/>
      <c r="B479" s="33"/>
      <c r="C479" s="33"/>
      <c r="D479" s="24"/>
      <c r="E479" s="24"/>
      <c r="F479" s="24"/>
      <c r="G479" s="24"/>
      <c r="H479" s="34"/>
      <c r="I479" s="25"/>
      <c r="J479" s="25"/>
      <c r="K479" s="25"/>
      <c r="L479" s="26"/>
      <c r="M479" s="59" t="str">
        <f>IFERROR(INDEX(Vocab_NameList!$O:$O,MATCH($J479, Vocab_NameList!$M:$M, 0)),"")</f>
        <v/>
      </c>
      <c r="N479" s="29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68" t="str">
        <f>Table2[[#This Row],[Governorate
(Select from Dropdown)]]&amp;Table2[[#This Row],[Neighborhood
(Select from Dropdown)]]&amp;Table2[[#This Row],[Organization Name]]</f>
        <v/>
      </c>
      <c r="Z479" s="67"/>
    </row>
    <row r="480" spans="1:26" ht="30" customHeight="1" x14ac:dyDescent="0.25">
      <c r="A480" s="21"/>
      <c r="B480" s="33"/>
      <c r="C480" s="33"/>
      <c r="D480" s="24"/>
      <c r="E480" s="24"/>
      <c r="F480" s="24"/>
      <c r="G480" s="24"/>
      <c r="H480" s="34"/>
      <c r="I480" s="25"/>
      <c r="J480" s="25"/>
      <c r="K480" s="25"/>
      <c r="L480" s="26"/>
      <c r="M480" s="59" t="str">
        <f>IFERROR(INDEX(Vocab_NameList!$O:$O,MATCH($J480, Vocab_NameList!$M:$M, 0)),"")</f>
        <v/>
      </c>
      <c r="N480" s="29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68" t="str">
        <f>Table2[[#This Row],[Governorate
(Select from Dropdown)]]&amp;Table2[[#This Row],[Neighborhood
(Select from Dropdown)]]&amp;Table2[[#This Row],[Organization Name]]</f>
        <v/>
      </c>
      <c r="Z480" s="67"/>
    </row>
    <row r="481" spans="1:26" ht="30" customHeight="1" x14ac:dyDescent="0.25">
      <c r="A481" s="21"/>
      <c r="B481" s="33"/>
      <c r="C481" s="33"/>
      <c r="D481" s="24"/>
      <c r="E481" s="24"/>
      <c r="F481" s="24"/>
      <c r="G481" s="24"/>
      <c r="H481" s="34"/>
      <c r="I481" s="25"/>
      <c r="J481" s="25"/>
      <c r="K481" s="25"/>
      <c r="L481" s="26"/>
      <c r="M481" s="59" t="str">
        <f>IFERROR(INDEX(Vocab_NameList!$O:$O,MATCH($J481, Vocab_NameList!$M:$M, 0)),"")</f>
        <v/>
      </c>
      <c r="N481" s="29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68" t="str">
        <f>Table2[[#This Row],[Governorate
(Select from Dropdown)]]&amp;Table2[[#This Row],[Neighborhood
(Select from Dropdown)]]&amp;Table2[[#This Row],[Organization Name]]</f>
        <v/>
      </c>
      <c r="Z481" s="67"/>
    </row>
    <row r="482" spans="1:26" ht="30" customHeight="1" x14ac:dyDescent="0.25">
      <c r="A482" s="21"/>
      <c r="B482" s="33"/>
      <c r="C482" s="33"/>
      <c r="D482" s="24"/>
      <c r="E482" s="24"/>
      <c r="F482" s="24"/>
      <c r="G482" s="24"/>
      <c r="H482" s="34"/>
      <c r="I482" s="25"/>
      <c r="J482" s="25"/>
      <c r="K482" s="25"/>
      <c r="L482" s="26"/>
      <c r="M482" s="59" t="str">
        <f>IFERROR(INDEX(Vocab_NameList!$O:$O,MATCH($J482, Vocab_NameList!$M:$M, 0)),"")</f>
        <v/>
      </c>
      <c r="N482" s="29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68" t="str">
        <f>Table2[[#This Row],[Governorate
(Select from Dropdown)]]&amp;Table2[[#This Row],[Neighborhood
(Select from Dropdown)]]&amp;Table2[[#This Row],[Organization Name]]</f>
        <v/>
      </c>
      <c r="Z482" s="67"/>
    </row>
    <row r="483" spans="1:26" ht="30" customHeight="1" x14ac:dyDescent="0.25">
      <c r="A483" s="21"/>
      <c r="B483" s="33"/>
      <c r="C483" s="33"/>
      <c r="D483" s="24"/>
      <c r="E483" s="24"/>
      <c r="F483" s="24"/>
      <c r="G483" s="24"/>
      <c r="H483" s="34"/>
      <c r="I483" s="25"/>
      <c r="J483" s="25"/>
      <c r="K483" s="25"/>
      <c r="L483" s="26"/>
      <c r="M483" s="59" t="str">
        <f>IFERROR(INDEX(Vocab_NameList!$O:$O,MATCH($J483, Vocab_NameList!$M:$M, 0)),"")</f>
        <v/>
      </c>
      <c r="N483" s="29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68" t="str">
        <f>Table2[[#This Row],[Governorate
(Select from Dropdown)]]&amp;Table2[[#This Row],[Neighborhood
(Select from Dropdown)]]&amp;Table2[[#This Row],[Organization Name]]</f>
        <v/>
      </c>
      <c r="Z483" s="67"/>
    </row>
    <row r="484" spans="1:26" ht="30" customHeight="1" x14ac:dyDescent="0.25">
      <c r="A484" s="21"/>
      <c r="B484" s="33"/>
      <c r="C484" s="33"/>
      <c r="D484" s="24"/>
      <c r="E484" s="24"/>
      <c r="F484" s="24"/>
      <c r="G484" s="24"/>
      <c r="H484" s="34"/>
      <c r="I484" s="25"/>
      <c r="J484" s="25"/>
      <c r="K484" s="25"/>
      <c r="L484" s="26"/>
      <c r="M484" s="59" t="str">
        <f>IFERROR(INDEX(Vocab_NameList!$O:$O,MATCH($J484, Vocab_NameList!$M:$M, 0)),"")</f>
        <v/>
      </c>
      <c r="N484" s="29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68" t="str">
        <f>Table2[[#This Row],[Governorate
(Select from Dropdown)]]&amp;Table2[[#This Row],[Neighborhood
(Select from Dropdown)]]&amp;Table2[[#This Row],[Organization Name]]</f>
        <v/>
      </c>
      <c r="Z484" s="67"/>
    </row>
    <row r="485" spans="1:26" ht="30" customHeight="1" x14ac:dyDescent="0.25">
      <c r="A485" s="21"/>
      <c r="B485" s="33"/>
      <c r="C485" s="33"/>
      <c r="D485" s="24"/>
      <c r="E485" s="24"/>
      <c r="F485" s="24"/>
      <c r="G485" s="24"/>
      <c r="H485" s="34"/>
      <c r="I485" s="25"/>
      <c r="J485" s="25"/>
      <c r="K485" s="25"/>
      <c r="L485" s="26"/>
      <c r="M485" s="59" t="str">
        <f>IFERROR(INDEX(Vocab_NameList!$O:$O,MATCH($J485, Vocab_NameList!$M:$M, 0)),"")</f>
        <v/>
      </c>
      <c r="N485" s="29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68" t="str">
        <f>Table2[[#This Row],[Governorate
(Select from Dropdown)]]&amp;Table2[[#This Row],[Neighborhood
(Select from Dropdown)]]&amp;Table2[[#This Row],[Organization Name]]</f>
        <v/>
      </c>
      <c r="Z485" s="67"/>
    </row>
    <row r="486" spans="1:26" ht="30" customHeight="1" x14ac:dyDescent="0.25">
      <c r="A486" s="21"/>
      <c r="B486" s="33"/>
      <c r="C486" s="33"/>
      <c r="D486" s="24"/>
      <c r="E486" s="24"/>
      <c r="F486" s="24"/>
      <c r="G486" s="24"/>
      <c r="H486" s="34"/>
      <c r="I486" s="25"/>
      <c r="J486" s="25"/>
      <c r="K486" s="25"/>
      <c r="L486" s="26"/>
      <c r="M486" s="59" t="str">
        <f>IFERROR(INDEX(Vocab_NameList!$O:$O,MATCH($J486, Vocab_NameList!$M:$M, 0)),"")</f>
        <v/>
      </c>
      <c r="N486" s="29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68" t="str">
        <f>Table2[[#This Row],[Governorate
(Select from Dropdown)]]&amp;Table2[[#This Row],[Neighborhood
(Select from Dropdown)]]&amp;Table2[[#This Row],[Organization Name]]</f>
        <v/>
      </c>
      <c r="Z486" s="67"/>
    </row>
    <row r="487" spans="1:26" ht="30" customHeight="1" x14ac:dyDescent="0.25">
      <c r="A487" s="21"/>
      <c r="B487" s="33"/>
      <c r="C487" s="33"/>
      <c r="D487" s="24"/>
      <c r="E487" s="24"/>
      <c r="F487" s="24"/>
      <c r="G487" s="24"/>
      <c r="H487" s="34"/>
      <c r="I487" s="25"/>
      <c r="J487" s="25"/>
      <c r="K487" s="25"/>
      <c r="L487" s="26"/>
      <c r="M487" s="59" t="str">
        <f>IFERROR(INDEX(Vocab_NameList!$O:$O,MATCH($J487, Vocab_NameList!$M:$M, 0)),"")</f>
        <v/>
      </c>
      <c r="N487" s="29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68" t="str">
        <f>Table2[[#This Row],[Governorate
(Select from Dropdown)]]&amp;Table2[[#This Row],[Neighborhood
(Select from Dropdown)]]&amp;Table2[[#This Row],[Organization Name]]</f>
        <v/>
      </c>
      <c r="Z487" s="67"/>
    </row>
    <row r="488" spans="1:26" ht="30" customHeight="1" x14ac:dyDescent="0.25">
      <c r="A488" s="21"/>
      <c r="B488" s="33"/>
      <c r="C488" s="33"/>
      <c r="D488" s="24"/>
      <c r="E488" s="24"/>
      <c r="F488" s="24"/>
      <c r="G488" s="24"/>
      <c r="H488" s="34"/>
      <c r="I488" s="25"/>
      <c r="J488" s="25"/>
      <c r="K488" s="25"/>
      <c r="L488" s="26"/>
      <c r="M488" s="59" t="str">
        <f>IFERROR(INDEX(Vocab_NameList!$O:$O,MATCH($J488, Vocab_NameList!$M:$M, 0)),"")</f>
        <v/>
      </c>
      <c r="N488" s="29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68" t="str">
        <f>Table2[[#This Row],[Governorate
(Select from Dropdown)]]&amp;Table2[[#This Row],[Neighborhood
(Select from Dropdown)]]&amp;Table2[[#This Row],[Organization Name]]</f>
        <v/>
      </c>
      <c r="Z488" s="67"/>
    </row>
    <row r="489" spans="1:26" ht="30" customHeight="1" x14ac:dyDescent="0.25">
      <c r="A489" s="21"/>
      <c r="B489" s="33"/>
      <c r="C489" s="33"/>
      <c r="D489" s="24"/>
      <c r="E489" s="24"/>
      <c r="F489" s="24"/>
      <c r="G489" s="24"/>
      <c r="H489" s="34"/>
      <c r="I489" s="25"/>
      <c r="J489" s="25"/>
      <c r="K489" s="25"/>
      <c r="L489" s="26"/>
      <c r="M489" s="59" t="str">
        <f>IFERROR(INDEX(Vocab_NameList!$O:$O,MATCH($J489, Vocab_NameList!$M:$M, 0)),"")</f>
        <v/>
      </c>
      <c r="N489" s="29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68" t="str">
        <f>Table2[[#This Row],[Governorate
(Select from Dropdown)]]&amp;Table2[[#This Row],[Neighborhood
(Select from Dropdown)]]&amp;Table2[[#This Row],[Organization Name]]</f>
        <v/>
      </c>
      <c r="Z489" s="67"/>
    </row>
    <row r="490" spans="1:26" ht="30" customHeight="1" x14ac:dyDescent="0.25">
      <c r="A490" s="21"/>
      <c r="B490" s="33"/>
      <c r="C490" s="33"/>
      <c r="D490" s="24"/>
      <c r="E490" s="24"/>
      <c r="F490" s="24"/>
      <c r="G490" s="24"/>
      <c r="H490" s="34"/>
      <c r="I490" s="25"/>
      <c r="J490" s="25"/>
      <c r="K490" s="25"/>
      <c r="L490" s="26"/>
      <c r="M490" s="59" t="str">
        <f>IFERROR(INDEX(Vocab_NameList!$O:$O,MATCH($J490, Vocab_NameList!$M:$M, 0)),"")</f>
        <v/>
      </c>
      <c r="N490" s="29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68" t="str">
        <f>Table2[[#This Row],[Governorate
(Select from Dropdown)]]&amp;Table2[[#This Row],[Neighborhood
(Select from Dropdown)]]&amp;Table2[[#This Row],[Organization Name]]</f>
        <v/>
      </c>
      <c r="Z490" s="67"/>
    </row>
    <row r="491" spans="1:26" ht="30" customHeight="1" x14ac:dyDescent="0.25">
      <c r="A491" s="21"/>
      <c r="B491" s="33"/>
      <c r="C491" s="33"/>
      <c r="D491" s="24"/>
      <c r="E491" s="24"/>
      <c r="F491" s="24"/>
      <c r="G491" s="24"/>
      <c r="H491" s="34"/>
      <c r="I491" s="25"/>
      <c r="J491" s="25"/>
      <c r="K491" s="25"/>
      <c r="L491" s="26"/>
      <c r="M491" s="59" t="str">
        <f>IFERROR(INDEX(Vocab_NameList!$O:$O,MATCH($J491, Vocab_NameList!$M:$M, 0)),"")</f>
        <v/>
      </c>
      <c r="N491" s="29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68" t="str">
        <f>Table2[[#This Row],[Governorate
(Select from Dropdown)]]&amp;Table2[[#This Row],[Neighborhood
(Select from Dropdown)]]&amp;Table2[[#This Row],[Organization Name]]</f>
        <v/>
      </c>
      <c r="Z491" s="67"/>
    </row>
    <row r="492" spans="1:26" ht="30" customHeight="1" x14ac:dyDescent="0.25">
      <c r="A492" s="21"/>
      <c r="B492" s="33"/>
      <c r="C492" s="33"/>
      <c r="D492" s="24"/>
      <c r="E492" s="24"/>
      <c r="F492" s="24"/>
      <c r="G492" s="24"/>
      <c r="H492" s="34"/>
      <c r="I492" s="25"/>
      <c r="J492" s="25"/>
      <c r="K492" s="25"/>
      <c r="L492" s="26"/>
      <c r="M492" s="59" t="str">
        <f>IFERROR(INDEX(Vocab_NameList!$O:$O,MATCH($J492, Vocab_NameList!$M:$M, 0)),"")</f>
        <v/>
      </c>
      <c r="N492" s="29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68" t="str">
        <f>Table2[[#This Row],[Governorate
(Select from Dropdown)]]&amp;Table2[[#This Row],[Neighborhood
(Select from Dropdown)]]&amp;Table2[[#This Row],[Organization Name]]</f>
        <v/>
      </c>
      <c r="Z492" s="67"/>
    </row>
    <row r="493" spans="1:26" ht="30" customHeight="1" x14ac:dyDescent="0.25">
      <c r="A493" s="21"/>
      <c r="B493" s="33"/>
      <c r="C493" s="33"/>
      <c r="D493" s="24"/>
      <c r="E493" s="24"/>
      <c r="F493" s="24"/>
      <c r="G493" s="24"/>
      <c r="H493" s="34"/>
      <c r="I493" s="25"/>
      <c r="J493" s="25"/>
      <c r="K493" s="25"/>
      <c r="L493" s="26"/>
      <c r="M493" s="59" t="str">
        <f>IFERROR(INDEX(Vocab_NameList!$O:$O,MATCH($J493, Vocab_NameList!$M:$M, 0)),"")</f>
        <v/>
      </c>
      <c r="N493" s="29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68" t="str">
        <f>Table2[[#This Row],[Governorate
(Select from Dropdown)]]&amp;Table2[[#This Row],[Neighborhood
(Select from Dropdown)]]&amp;Table2[[#This Row],[Organization Name]]</f>
        <v/>
      </c>
      <c r="Z493" s="67"/>
    </row>
    <row r="494" spans="1:26" ht="30" customHeight="1" x14ac:dyDescent="0.25">
      <c r="A494" s="21"/>
      <c r="B494" s="33"/>
      <c r="C494" s="33"/>
      <c r="D494" s="24"/>
      <c r="E494" s="24"/>
      <c r="F494" s="24"/>
      <c r="G494" s="24"/>
      <c r="H494" s="34"/>
      <c r="I494" s="25"/>
      <c r="J494" s="25"/>
      <c r="K494" s="25"/>
      <c r="L494" s="26"/>
      <c r="M494" s="59" t="str">
        <f>IFERROR(INDEX(Vocab_NameList!$O:$O,MATCH($J494, Vocab_NameList!$M:$M, 0)),"")</f>
        <v/>
      </c>
      <c r="N494" s="29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68" t="str">
        <f>Table2[[#This Row],[Governorate
(Select from Dropdown)]]&amp;Table2[[#This Row],[Neighborhood
(Select from Dropdown)]]&amp;Table2[[#This Row],[Organization Name]]</f>
        <v/>
      </c>
      <c r="Z494" s="67"/>
    </row>
    <row r="495" spans="1:26" ht="30" customHeight="1" x14ac:dyDescent="0.25">
      <c r="A495" s="21"/>
      <c r="B495" s="33"/>
      <c r="C495" s="33"/>
      <c r="D495" s="24"/>
      <c r="E495" s="24"/>
      <c r="F495" s="24"/>
      <c r="G495" s="24"/>
      <c r="H495" s="34"/>
      <c r="I495" s="25"/>
      <c r="J495" s="25"/>
      <c r="K495" s="25"/>
      <c r="L495" s="26"/>
      <c r="M495" s="59" t="str">
        <f>IFERROR(INDEX(Vocab_NameList!$O:$O,MATCH($J495, Vocab_NameList!$M:$M, 0)),"")</f>
        <v/>
      </c>
      <c r="N495" s="29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68" t="str">
        <f>Table2[[#This Row],[Governorate
(Select from Dropdown)]]&amp;Table2[[#This Row],[Neighborhood
(Select from Dropdown)]]&amp;Table2[[#This Row],[Organization Name]]</f>
        <v/>
      </c>
      <c r="Z495" s="67"/>
    </row>
    <row r="496" spans="1:26" ht="30" customHeight="1" x14ac:dyDescent="0.25">
      <c r="A496" s="21"/>
      <c r="B496" s="33"/>
      <c r="C496" s="33"/>
      <c r="D496" s="24"/>
      <c r="E496" s="24"/>
      <c r="F496" s="24"/>
      <c r="G496" s="24"/>
      <c r="H496" s="34"/>
      <c r="I496" s="25"/>
      <c r="J496" s="25"/>
      <c r="K496" s="25"/>
      <c r="L496" s="26"/>
      <c r="M496" s="59" t="str">
        <f>IFERROR(INDEX(Vocab_NameList!$O:$O,MATCH($J496, Vocab_NameList!$M:$M, 0)),"")</f>
        <v/>
      </c>
      <c r="N496" s="29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68" t="str">
        <f>Table2[[#This Row],[Governorate
(Select from Dropdown)]]&amp;Table2[[#This Row],[Neighborhood
(Select from Dropdown)]]&amp;Table2[[#This Row],[Organization Name]]</f>
        <v/>
      </c>
      <c r="Z496" s="67"/>
    </row>
    <row r="497" spans="1:26" ht="30" customHeight="1" x14ac:dyDescent="0.25">
      <c r="A497" s="21"/>
      <c r="B497" s="33"/>
      <c r="C497" s="33"/>
      <c r="D497" s="24"/>
      <c r="E497" s="24"/>
      <c r="F497" s="24"/>
      <c r="G497" s="24"/>
      <c r="H497" s="34"/>
      <c r="I497" s="25"/>
      <c r="J497" s="25"/>
      <c r="K497" s="25"/>
      <c r="L497" s="26"/>
      <c r="M497" s="59" t="str">
        <f>IFERROR(INDEX(Vocab_NameList!$O:$O,MATCH($J497, Vocab_NameList!$M:$M, 0)),"")</f>
        <v/>
      </c>
      <c r="N497" s="29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68" t="str">
        <f>Table2[[#This Row],[Governorate
(Select from Dropdown)]]&amp;Table2[[#This Row],[Neighborhood
(Select from Dropdown)]]&amp;Table2[[#This Row],[Organization Name]]</f>
        <v/>
      </c>
      <c r="Z497" s="67"/>
    </row>
    <row r="498" spans="1:26" ht="30" customHeight="1" x14ac:dyDescent="0.25">
      <c r="A498" s="21"/>
      <c r="B498" s="33"/>
      <c r="C498" s="33"/>
      <c r="D498" s="24"/>
      <c r="E498" s="24"/>
      <c r="F498" s="24"/>
      <c r="G498" s="24"/>
      <c r="H498" s="34"/>
      <c r="I498" s="25"/>
      <c r="J498" s="25"/>
      <c r="K498" s="25"/>
      <c r="L498" s="26"/>
      <c r="M498" s="59" t="str">
        <f>IFERROR(INDEX(Vocab_NameList!$O:$O,MATCH($J498, Vocab_NameList!$M:$M, 0)),"")</f>
        <v/>
      </c>
      <c r="N498" s="29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68" t="str">
        <f>Table2[[#This Row],[Governorate
(Select from Dropdown)]]&amp;Table2[[#This Row],[Neighborhood
(Select from Dropdown)]]&amp;Table2[[#This Row],[Organization Name]]</f>
        <v/>
      </c>
      <c r="Z498" s="67"/>
    </row>
    <row r="499" spans="1:26" ht="30" customHeight="1" x14ac:dyDescent="0.25">
      <c r="A499" s="21"/>
      <c r="B499" s="33"/>
      <c r="C499" s="33"/>
      <c r="D499" s="24"/>
      <c r="E499" s="24"/>
      <c r="F499" s="24"/>
      <c r="G499" s="24"/>
      <c r="H499" s="34"/>
      <c r="I499" s="25"/>
      <c r="J499" s="25"/>
      <c r="K499" s="25"/>
      <c r="L499" s="26"/>
      <c r="M499" s="59" t="str">
        <f>IFERROR(INDEX(Vocab_NameList!$O:$O,MATCH($J499, Vocab_NameList!$M:$M, 0)),"")</f>
        <v/>
      </c>
      <c r="N499" s="29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68" t="str">
        <f>Table2[[#This Row],[Governorate
(Select from Dropdown)]]&amp;Table2[[#This Row],[Neighborhood
(Select from Dropdown)]]&amp;Table2[[#This Row],[Organization Name]]</f>
        <v/>
      </c>
      <c r="Z499" s="67"/>
    </row>
    <row r="500" spans="1:26" ht="30" customHeight="1" x14ac:dyDescent="0.25">
      <c r="A500" s="35"/>
      <c r="B500" s="36"/>
      <c r="C500" s="36"/>
      <c r="D500" s="37"/>
      <c r="E500" s="37"/>
      <c r="F500" s="37"/>
      <c r="G500" s="37"/>
      <c r="H500" s="38"/>
      <c r="I500" s="39"/>
      <c r="J500" s="39"/>
      <c r="K500" s="39"/>
      <c r="L500" s="40"/>
      <c r="M500" s="60" t="str">
        <f>IFERROR(INDEX(Vocab_NameList!$O:$O,MATCH($J500, Vocab_NameList!$M:$M, 0)),"")</f>
        <v/>
      </c>
      <c r="N500" s="41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68" t="str">
        <f>Table2[[#This Row],[Governorate
(Select from Dropdown)]]&amp;Table2[[#This Row],[Neighborhood
(Select from Dropdown)]]&amp;Table2[[#This Row],[Organization Name]]</f>
        <v/>
      </c>
      <c r="Z500" s="67"/>
    </row>
  </sheetData>
  <sheetProtection formatCells="0" formatColumns="0" formatRows="0" insertRows="0" deleteRows="0" sort="0" autoFilter="0"/>
  <mergeCells count="9">
    <mergeCell ref="A1:A2"/>
    <mergeCell ref="B1:C2"/>
    <mergeCell ref="O1:X1"/>
    <mergeCell ref="O2:P2"/>
    <mergeCell ref="Q2:V2"/>
    <mergeCell ref="W2:X2"/>
    <mergeCell ref="G1:G2"/>
    <mergeCell ref="H1:L2"/>
    <mergeCell ref="D1:F2"/>
  </mergeCells>
  <phoneticPr fontId="6" type="noConversion"/>
  <conditionalFormatting sqref="G4:G500">
    <cfRule type="containsBlanks" dxfId="20" priority="39">
      <formula>LEN(TRIM(G4))=0</formula>
    </cfRule>
    <cfRule type="expression" dxfId="19" priority="40">
      <formula>AND(   $G4="Completed",   #REF!&lt;&gt;"",   #REF!&gt;=TODAY() )</formula>
    </cfRule>
    <cfRule type="expression" dxfId="18" priority="41">
      <formula>AND($G4="Planned",NOT(ISBLANK(#REF!)),#REF!&lt;TODAY())</formula>
    </cfRule>
    <cfRule type="expression" dxfId="17" priority="42">
      <formula>AND($G4="Completed",NOT(ISBLANK(#REF!)),#REF!&gt;TODAY())</formula>
    </cfRule>
    <cfRule type="expression" dxfId="16" priority="43">
      <formula>AND(   $G4="Planned",   #REF!&lt;&gt;"",   #REF!&lt;&gt;"",   #REF!&gt; TODAY(),   #REF!&gt; TODAY(),   #REF!&lt;= #REF! )</formula>
    </cfRule>
  </conditionalFormatting>
  <conditionalFormatting sqref="K4:K500">
    <cfRule type="expression" dxfId="15" priority="48">
      <formula>AND(OR(ISNUMBER(SEARCH("Communal spaces established",J4)),IsRiskTask),TRIM(K4)="")</formula>
    </cfRule>
    <cfRule type="expression" dxfId="14" priority="49">
      <formula>AND(OR(ISNUMBER(SEARCH("Communal spaces established",J4)),IsRiskTask),TRIM(K4)&lt;&gt;"")</formula>
    </cfRule>
    <cfRule type="expression" dxfId="13" priority="50">
      <formula>NOT(OR(ISNUMBER(SEARCH("Communal spaces established",J4)),IsRiskTask))</formula>
    </cfRule>
  </conditionalFormatting>
  <conditionalFormatting sqref="L4:L500">
    <cfRule type="expression" dxfId="12" priority="51">
      <formula>AND(ISNUMBER(SEARCH("Other",K4)),L4="")</formula>
    </cfRule>
    <cfRule type="expression" dxfId="11" priority="52">
      <formula>AND(ISNUMBER(SEARCH("Other",K4)),L4&lt;&gt;"")</formula>
    </cfRule>
  </conditionalFormatting>
  <conditionalFormatting sqref="O4:P500">
    <cfRule type="expression" dxfId="10" priority="53">
      <formula>AND($O4&lt;&gt;"",$P4&lt;&gt;"",$N4&lt;&gt;"",($O4+$P4)&lt;&gt;$N4)</formula>
    </cfRule>
  </conditionalFormatting>
  <conditionalFormatting sqref="O4:X500">
    <cfRule type="expression" dxfId="9" priority="60">
      <formula>AND(OR(ISNUMBER(SEARCH("# of individuals",$M4)),ISNUMBER(SEARCH("# of people",$M4)),ISNUMBER(SEARCH("# of participants",$M4))),$N4&lt;&gt;"",O4="")</formula>
    </cfRule>
    <cfRule type="expression" dxfId="8" priority="61">
      <formula>AND(OR(ISNUMBER(SEARCH("# of individuals",$M4)),ISNUMBER(SEARCH("# of people",$M4)),ISNUMBER(SEARCH("# of participants",$M4))),O4&lt;&gt;"")</formula>
    </cfRule>
    <cfRule type="expression" dxfId="7" priority="62">
      <formula>AND(OR(ISNUMBER(SEARCH("# of individuals",$M4)),ISNUMBER(SEARCH("# of people",$M4)),ISNUMBER(SEARCH("# of participants",$M4))),O4="",$N4="")</formula>
    </cfRule>
    <cfRule type="expression" dxfId="6" priority="63">
      <formula>NOT(OR(ISNUMBER(SEARCH("# of individuals",$M4)),ISNUMBER(SEARCH("# of people",$M4)),ISNUMBER(SEARCH("# of participants",$M4))))</formula>
    </cfRule>
  </conditionalFormatting>
  <conditionalFormatting sqref="Q4:Q500">
    <cfRule type="expression" dxfId="5" priority="54">
      <formula>AND($Q4&lt;&gt;"",$S4&lt;&gt;"",$U4&lt;&gt;"",$O4&lt;&gt;"",($Q4+$S4+$U4)&lt;&gt;$O4)</formula>
    </cfRule>
  </conditionalFormatting>
  <conditionalFormatting sqref="R4:R500">
    <cfRule type="expression" dxfId="4" priority="55">
      <formula>AND($R4&lt;&gt;"",$T4&lt;&gt;"",$V4&lt;&gt;"",$P4&lt;&gt;"",($R4+$T4+$V4)&lt;&gt;$P4)</formula>
    </cfRule>
  </conditionalFormatting>
  <conditionalFormatting sqref="S4:S500">
    <cfRule type="expression" dxfId="3" priority="56">
      <formula>AND($Q4&lt;&gt;"",$S4&lt;&gt;"",$U4&lt;&gt;"",$O4&lt;&gt;"",($Q4+$S4+$U4)&lt;&gt;$O4)</formula>
    </cfRule>
  </conditionalFormatting>
  <conditionalFormatting sqref="T4:T500">
    <cfRule type="expression" dxfId="2" priority="58">
      <formula>AND($R4&lt;&gt;"",$T4&lt;&gt;"",$V4&lt;&gt;"",$P4&lt;&gt;"",($R4+$T4+$V4)&lt;&gt;$P4)</formula>
    </cfRule>
  </conditionalFormatting>
  <conditionalFormatting sqref="U4:U500">
    <cfRule type="expression" dxfId="1" priority="57">
      <formula>AND($Q4&lt;&gt;"",$S4&lt;&gt;"",$U4&lt;&gt;"",$O4&lt;&gt;"",($Q4+$S4+$U4)&lt;&gt;$O4)</formula>
    </cfRule>
  </conditionalFormatting>
  <conditionalFormatting sqref="V4:V500">
    <cfRule type="expression" dxfId="0" priority="59">
      <formula>AND($R4&lt;&gt;"",$T4&lt;&gt;"",$V4&lt;&gt;"",$P4&lt;&gt;"",($R4+$T4+$V4)&lt;&gt;$P4)</formula>
    </cfRule>
  </conditionalFormatting>
  <dataValidations xWindow="872" yWindow="474" count="11">
    <dataValidation type="custom" showInputMessage="1" showErrorMessage="1" promptTitle="Unit" prompt="This is calculated field. Do not enter any value. " sqref="M4:M500" xr:uid="{FFB2E3D6-60B7-46A0-9248-5752D2686EBD}">
      <formula1>""</formula1>
    </dataValidation>
    <dataValidation type="list" allowBlank="1" showInputMessage="1" showErrorMessage="1" sqref="G4:G500" xr:uid="{E32AD010-B91B-4059-B364-0D0CA486B0A3}">
      <formula1>"Ongoing, Completed, Planned"</formula1>
    </dataValidation>
    <dataValidation type="whole" operator="greaterThan" allowBlank="1" showInputMessage="1" showErrorMessage="1" sqref="N6:N23" xr:uid="{F8D2D7E5-2B3A-4C34-81A8-DFE5F60E151A}">
      <formula1>0</formula1>
    </dataValidation>
    <dataValidation type="list" allowBlank="1" showInputMessage="1" showErrorMessage="1" sqref="J4:J500" xr:uid="{FC935DE0-0234-4A31-9032-9AC603477045}">
      <formula1>OFFSET(ActivityType_Start,MATCH(I4,ActivityType_Col,0)-1,1,COUNTIF(ActivityType_Col,I4),1)</formula1>
    </dataValidation>
    <dataValidation type="list" allowBlank="1" showInputMessage="1" showErrorMessage="1" sqref="I4:I500" xr:uid="{012C0654-08CF-440D-8351-4624E8C00F36}">
      <formula1>OFFSET(PA_Start,MATCH(H4,PA_Col,0)-1,1,COUNTIF(PA_Col,H4),1)</formula1>
    </dataValidation>
    <dataValidation type="list" allowBlank="1" showInputMessage="1" showErrorMessage="1" sqref="E4:E500" xr:uid="{35222DAA-EBED-480B-87EF-DDE4426976DB}">
      <formula1>OFFSET(Region_Start,MATCH(D4,Region_Col,0)-1,1,COUNTIF(Region_Col,D4),1)</formula1>
    </dataValidation>
    <dataValidation errorStyle="information" allowBlank="1" errorTitle="⚠️ Reminder: Describe 'Other' Selection" error="If you selected 'Other' in Column K, please provide a detailed description in this cell. This is required for accurate reporting." promptTitle="⚠️ REQUIRED: Describe 'Other'" prompt="You selected 'Other' in Column K. Please provide a detailed description of the activity here. This field MUST be filled." sqref="L4:L500" xr:uid="{0D889D2E-859F-42AC-A566-993BBDD60BBC}"/>
    <dataValidation type="custom" allowBlank="1" showErrorMessage="1" errorTitle="Entry Not Allowed" error="Sex and age disaggregation is only required for person-based indicators (# of individuals, # of people, # of participants). This row's unit does not require disaggregation." promptTitle="Sex &amp; Age Disaggregation" prompt="Male+Female (O+P) must equal Total (N). Boys+Men+Elderly Male (Q+S+U) must equal Male (O). Girls+Women+Elderly Female (R+T+V) must equal Female (P)." sqref="O4:X500" xr:uid="{3C9306FD-84C4-469C-A1B9-2352E7847227}">
      <formula1>OR(ISNUMBER(SEARCH("# of individuals",$M4)),ISNUMBER(SEARCH("# of people",$M4)),ISNUMBER(SEARCH("# of participants",$M4)))</formula1>
    </dataValidation>
    <dataValidation type="list" allowBlank="1" showInputMessage="1" showErrorMessage="1" sqref="F4:F500" xr:uid="{CFCCC046-BCEC-40F6-97D1-7E95DA05D337}">
      <formula1>OFFSET(Help_Start,MATCH(Y4,Help_Col,0)-1,1,COUNTIF(Help_Col,Y4),1)</formula1>
    </dataValidation>
    <dataValidation allowBlank="1" showInputMessage="1" showErrorMessage="1" promptTitle="Comments" prompt="Please insert the additional comments on this activity" sqref="Y4:Z500" xr:uid="{AAACA970-046B-4B19-A498-22DCAA14FC2B}"/>
    <dataValidation type="list" errorStyle="warning" allowBlank="1" showInputMessage="1" showErrorMessage="1" errorTitle="Invalid Entry" error="Please select a value from the dropdown list, or leave blank if not applicable." promptTitle="Select from Dropdown" prompt="Dropdown options depend on the indicator in Column J. Leave blank if not applicable." sqref="K4:K500" xr:uid="{0917B6F7-D62C-43A6-86D8-3BDFE2D402C2}">
      <formula1>INDIRECT(IF(ISNUMBER(SEARCH("Communal spaces established",J4)),"CommunalSpaces",IF(IsRiskTask,"RiskType","BlankList")))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872" yWindow="474" count="4">
        <x14:dataValidation type="list" allowBlank="1" showInputMessage="1" showErrorMessage="1" xr:uid="{C26A014A-C876-4B96-A658-7AF687255A86}">
          <x14:formula1>
            <xm:f>Vocab_NameList!$X$2:$X$13</xm:f>
          </x14:formula1>
          <xm:sqref>A4:A500</xm:sqref>
        </x14:dataValidation>
        <x14:dataValidation type="list" allowBlank="1" showInputMessage="1" showErrorMessage="1" xr:uid="{B48F1F66-A10B-4C38-A3D6-F01D08B14C4D}">
          <x14:formula1>
            <xm:f>Vocab_NameList!$Z$2:$Z$6</xm:f>
          </x14:formula1>
          <xm:sqref>D4:D500</xm:sqref>
        </x14:dataValidation>
        <x14:dataValidation type="list" allowBlank="1" showInputMessage="1" showErrorMessage="1" xr:uid="{C15CB5AE-D0DB-48A1-A992-1790A90D3F1E}">
          <x14:formula1>
            <xm:f>Vocab_NameList!$AH$2:$AH$6</xm:f>
          </x14:formula1>
          <xm:sqref>H4:H500</xm:sqref>
        </x14:dataValidation>
        <x14:dataValidation type="list" allowBlank="1" showInputMessage="1" showErrorMessage="1" xr:uid="{955DE71F-3693-430A-B5F5-4B70EBAC5979}">
          <x14:formula1>
            <xm:f>Vocab_NameList!$B$2:$B$15</xm:f>
          </x14:formula1>
          <xm:sqref>B4:B500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AF14-71B2-414E-903C-FA3BA07B9031}">
  <sheetPr codeName="Sheet3"/>
  <dimension ref="A1:G26"/>
  <sheetViews>
    <sheetView workbookViewId="0">
      <pane ySplit="1" topLeftCell="A2" activePane="bottomLeft" state="frozen"/>
      <selection pane="bottomLeft" activeCell="B30" sqref="B30"/>
    </sheetView>
  </sheetViews>
  <sheetFormatPr defaultColWidth="11.42578125" defaultRowHeight="15" x14ac:dyDescent="0.25"/>
  <cols>
    <col min="1" max="1" width="149.85546875" customWidth="1"/>
    <col min="2" max="2" width="163.42578125" customWidth="1"/>
    <col min="3" max="3" width="152.85546875" customWidth="1"/>
    <col min="4" max="4" width="53.85546875" customWidth="1"/>
    <col min="5" max="5" width="26" customWidth="1"/>
    <col min="6" max="6" width="26.140625" customWidth="1"/>
    <col min="7" max="7" width="23.7109375" bestFit="1" customWidth="1"/>
  </cols>
  <sheetData>
    <row r="1" spans="1:7" x14ac:dyDescent="0.25">
      <c r="A1" s="4" t="s">
        <v>3268</v>
      </c>
      <c r="B1" s="4" t="s">
        <v>3340</v>
      </c>
      <c r="C1" s="5" t="s">
        <v>3341</v>
      </c>
      <c r="D1" s="5" t="s">
        <v>5218</v>
      </c>
      <c r="E1" s="5" t="s">
        <v>3270</v>
      </c>
      <c r="F1" s="4" t="s">
        <v>11</v>
      </c>
      <c r="G1" t="s">
        <v>5219</v>
      </c>
    </row>
    <row r="2" spans="1:7" x14ac:dyDescent="0.25">
      <c r="A2" t="s">
        <v>3336</v>
      </c>
      <c r="B2" t="s">
        <v>3276</v>
      </c>
      <c r="C2" t="s">
        <v>3292</v>
      </c>
      <c r="E2" t="s">
        <v>3299</v>
      </c>
      <c r="F2" s="10" t="s">
        <v>3283</v>
      </c>
      <c r="G2" t="s">
        <v>3352</v>
      </c>
    </row>
    <row r="3" spans="1:7" x14ac:dyDescent="0.25">
      <c r="A3" t="s">
        <v>3336</v>
      </c>
      <c r="B3" t="s">
        <v>3278</v>
      </c>
      <c r="C3" s="6" t="s">
        <v>3293</v>
      </c>
      <c r="D3" s="6"/>
      <c r="E3" t="s">
        <v>3300</v>
      </c>
      <c r="F3" s="10" t="s">
        <v>3286</v>
      </c>
      <c r="G3" t="s">
        <v>3374</v>
      </c>
    </row>
    <row r="4" spans="1:7" x14ac:dyDescent="0.25">
      <c r="A4" t="s">
        <v>3336</v>
      </c>
      <c r="B4" t="s">
        <v>3279</v>
      </c>
      <c r="C4" t="s">
        <v>3359</v>
      </c>
      <c r="E4" t="s">
        <v>3301</v>
      </c>
      <c r="F4" s="10" t="s">
        <v>3369</v>
      </c>
      <c r="G4" t="s">
        <v>3374</v>
      </c>
    </row>
    <row r="5" spans="1:7" x14ac:dyDescent="0.25">
      <c r="A5" t="s">
        <v>3336</v>
      </c>
      <c r="B5" t="s">
        <v>3279</v>
      </c>
      <c r="C5" t="s">
        <v>3361</v>
      </c>
      <c r="E5" t="s">
        <v>3302</v>
      </c>
      <c r="F5" s="10" t="s">
        <v>3353</v>
      </c>
      <c r="G5" t="s">
        <v>3374</v>
      </c>
    </row>
    <row r="6" spans="1:7" x14ac:dyDescent="0.25">
      <c r="A6" t="s">
        <v>3336</v>
      </c>
      <c r="B6" t="s">
        <v>3279</v>
      </c>
      <c r="C6" s="6" t="s">
        <v>3358</v>
      </c>
      <c r="D6" s="6"/>
      <c r="E6" t="s">
        <v>3303</v>
      </c>
      <c r="F6" s="10" t="s">
        <v>3368</v>
      </c>
      <c r="G6" t="s">
        <v>3374</v>
      </c>
    </row>
    <row r="7" spans="1:7" x14ac:dyDescent="0.25">
      <c r="A7" t="s">
        <v>3336</v>
      </c>
      <c r="B7" t="s">
        <v>3279</v>
      </c>
      <c r="C7" t="s">
        <v>3360</v>
      </c>
      <c r="E7" t="s">
        <v>3304</v>
      </c>
      <c r="F7" s="10" t="s">
        <v>32</v>
      </c>
      <c r="G7" t="s">
        <v>3374</v>
      </c>
    </row>
    <row r="8" spans="1:7" x14ac:dyDescent="0.25">
      <c r="A8" t="s">
        <v>3335</v>
      </c>
      <c r="B8" t="s">
        <v>3280</v>
      </c>
      <c r="C8" t="s">
        <v>3296</v>
      </c>
      <c r="E8" t="s">
        <v>3305</v>
      </c>
      <c r="F8" s="10" t="s">
        <v>32</v>
      </c>
      <c r="G8" t="s">
        <v>3374</v>
      </c>
    </row>
    <row r="9" spans="1:7" x14ac:dyDescent="0.25">
      <c r="A9" t="s">
        <v>3334</v>
      </c>
      <c r="B9" t="s">
        <v>3274</v>
      </c>
      <c r="C9" t="s">
        <v>3289</v>
      </c>
      <c r="D9" s="31"/>
      <c r="E9" t="s">
        <v>3307</v>
      </c>
      <c r="F9" s="10" t="s">
        <v>3284</v>
      </c>
      <c r="G9" t="s">
        <v>3374</v>
      </c>
    </row>
    <row r="10" spans="1:7" x14ac:dyDescent="0.25">
      <c r="A10" t="s">
        <v>3334</v>
      </c>
      <c r="B10" t="s">
        <v>3275</v>
      </c>
      <c r="C10" t="s">
        <v>3290</v>
      </c>
      <c r="E10" t="s">
        <v>3308</v>
      </c>
      <c r="F10" s="10" t="s">
        <v>32</v>
      </c>
      <c r="G10" t="s">
        <v>3374</v>
      </c>
    </row>
    <row r="11" spans="1:7" x14ac:dyDescent="0.25">
      <c r="A11" t="s">
        <v>3334</v>
      </c>
      <c r="B11" t="s">
        <v>3275</v>
      </c>
      <c r="C11" t="s">
        <v>3291</v>
      </c>
      <c r="D11" s="31"/>
      <c r="E11" t="s">
        <v>3309</v>
      </c>
      <c r="F11" s="10" t="s">
        <v>32</v>
      </c>
      <c r="G11" t="s">
        <v>3374</v>
      </c>
    </row>
    <row r="12" spans="1:7" x14ac:dyDescent="0.25">
      <c r="A12" t="s">
        <v>3334</v>
      </c>
      <c r="B12" t="s">
        <v>3273</v>
      </c>
      <c r="C12" t="s">
        <v>3377</v>
      </c>
      <c r="E12" t="s">
        <v>3311</v>
      </c>
      <c r="F12" s="10" t="s">
        <v>3380</v>
      </c>
      <c r="G12" t="s">
        <v>3374</v>
      </c>
    </row>
    <row r="13" spans="1:7" x14ac:dyDescent="0.25">
      <c r="A13" t="s">
        <v>3334</v>
      </c>
      <c r="B13" t="s">
        <v>3273</v>
      </c>
      <c r="C13" t="s">
        <v>3375</v>
      </c>
      <c r="E13" t="s">
        <v>3312</v>
      </c>
      <c r="F13" s="10" t="s">
        <v>3378</v>
      </c>
      <c r="G13" t="s">
        <v>3374</v>
      </c>
    </row>
    <row r="14" spans="1:7" x14ac:dyDescent="0.25">
      <c r="A14" t="s">
        <v>3334</v>
      </c>
      <c r="B14" t="s">
        <v>3273</v>
      </c>
      <c r="C14" t="s">
        <v>3288</v>
      </c>
      <c r="E14" t="s">
        <v>3313</v>
      </c>
      <c r="F14" s="10" t="s">
        <v>3283</v>
      </c>
      <c r="G14" t="s">
        <v>3352</v>
      </c>
    </row>
    <row r="15" spans="1:7" ht="30" x14ac:dyDescent="0.25">
      <c r="A15" t="s">
        <v>3269</v>
      </c>
      <c r="B15" t="s">
        <v>3356</v>
      </c>
      <c r="C15" t="s">
        <v>3366</v>
      </c>
      <c r="D15" s="71" t="s">
        <v>5215</v>
      </c>
      <c r="E15" t="s">
        <v>3314</v>
      </c>
      <c r="F15" s="10" t="s">
        <v>3372</v>
      </c>
      <c r="G15" t="s">
        <v>3374</v>
      </c>
    </row>
    <row r="16" spans="1:7" x14ac:dyDescent="0.25">
      <c r="A16" t="s">
        <v>3269</v>
      </c>
      <c r="B16" t="s">
        <v>3356</v>
      </c>
      <c r="C16" t="s">
        <v>3367</v>
      </c>
      <c r="D16" t="s">
        <v>5214</v>
      </c>
      <c r="E16" t="s">
        <v>3315</v>
      </c>
      <c r="F16" s="10" t="s">
        <v>3283</v>
      </c>
      <c r="G16" t="s">
        <v>3374</v>
      </c>
    </row>
    <row r="17" spans="1:7" x14ac:dyDescent="0.25">
      <c r="A17" t="s">
        <v>3269</v>
      </c>
      <c r="B17" t="s">
        <v>3356</v>
      </c>
      <c r="C17" t="s">
        <v>3381</v>
      </c>
      <c r="D17" t="s">
        <v>5214</v>
      </c>
      <c r="E17" t="s">
        <v>3316</v>
      </c>
      <c r="F17" s="10" t="s">
        <v>3371</v>
      </c>
      <c r="G17" t="s">
        <v>3374</v>
      </c>
    </row>
    <row r="18" spans="1:7" x14ac:dyDescent="0.25">
      <c r="A18" t="s">
        <v>3269</v>
      </c>
      <c r="B18" t="s">
        <v>3356</v>
      </c>
      <c r="C18" t="s">
        <v>3365</v>
      </c>
      <c r="E18" t="s">
        <v>3317</v>
      </c>
      <c r="F18" s="10" t="s">
        <v>3370</v>
      </c>
      <c r="G18" t="s">
        <v>3374</v>
      </c>
    </row>
    <row r="19" spans="1:7" x14ac:dyDescent="0.25">
      <c r="A19" t="s">
        <v>3269</v>
      </c>
      <c r="B19" t="s">
        <v>3356</v>
      </c>
      <c r="C19" t="s">
        <v>3295</v>
      </c>
      <c r="D19" t="s">
        <v>5214</v>
      </c>
      <c r="E19" t="s">
        <v>3318</v>
      </c>
      <c r="F19" s="10" t="s">
        <v>3283</v>
      </c>
      <c r="G19" t="s">
        <v>3352</v>
      </c>
    </row>
    <row r="20" spans="1:7" x14ac:dyDescent="0.25">
      <c r="A20" t="s">
        <v>3269</v>
      </c>
      <c r="B20" t="s">
        <v>3356</v>
      </c>
      <c r="C20" t="s">
        <v>3364</v>
      </c>
      <c r="D20" t="s">
        <v>5214</v>
      </c>
      <c r="E20" t="s">
        <v>3373</v>
      </c>
      <c r="F20" s="10" t="s">
        <v>3283</v>
      </c>
      <c r="G20" t="s">
        <v>3374</v>
      </c>
    </row>
    <row r="21" spans="1:7" x14ac:dyDescent="0.25">
      <c r="A21" t="s">
        <v>3335</v>
      </c>
      <c r="B21" t="s">
        <v>3282</v>
      </c>
      <c r="C21" t="s">
        <v>3298</v>
      </c>
      <c r="E21" t="s">
        <v>3319</v>
      </c>
      <c r="F21" s="10" t="s">
        <v>3388</v>
      </c>
      <c r="G21" t="s">
        <v>3352</v>
      </c>
    </row>
    <row r="22" spans="1:7" x14ac:dyDescent="0.25">
      <c r="A22" t="s">
        <v>3335</v>
      </c>
      <c r="B22" t="s">
        <v>3282</v>
      </c>
      <c r="C22" t="s">
        <v>3390</v>
      </c>
      <c r="E22" t="s">
        <v>3384</v>
      </c>
      <c r="F22" s="10" t="s">
        <v>3389</v>
      </c>
      <c r="G22" t="s">
        <v>3354</v>
      </c>
    </row>
    <row r="23" spans="1:7" x14ac:dyDescent="0.25">
      <c r="A23" t="s">
        <v>3336</v>
      </c>
      <c r="B23" t="s">
        <v>3277</v>
      </c>
      <c r="C23" s="6" t="s">
        <v>3363</v>
      </c>
      <c r="D23" s="8"/>
      <c r="E23" t="s">
        <v>3385</v>
      </c>
      <c r="F23" s="10" t="s">
        <v>3353</v>
      </c>
      <c r="G23" t="s">
        <v>3374</v>
      </c>
    </row>
    <row r="24" spans="1:7" x14ac:dyDescent="0.25">
      <c r="A24" t="s">
        <v>3336</v>
      </c>
      <c r="B24" t="s">
        <v>3277</v>
      </c>
      <c r="C24" t="s">
        <v>3362</v>
      </c>
      <c r="E24" t="s">
        <v>3386</v>
      </c>
      <c r="F24" s="10" t="s">
        <v>3285</v>
      </c>
      <c r="G24" t="s">
        <v>3374</v>
      </c>
    </row>
    <row r="25" spans="1:7" x14ac:dyDescent="0.25">
      <c r="A25" t="s">
        <v>3337</v>
      </c>
      <c r="B25" t="s">
        <v>3355</v>
      </c>
      <c r="C25" t="s">
        <v>3294</v>
      </c>
      <c r="E25" t="s">
        <v>3387</v>
      </c>
      <c r="F25" s="10" t="s">
        <v>3283</v>
      </c>
      <c r="G25" t="s">
        <v>3352</v>
      </c>
    </row>
    <row r="26" spans="1:7" x14ac:dyDescent="0.25">
      <c r="A26" t="s">
        <v>3335</v>
      </c>
      <c r="B26" t="s">
        <v>3281</v>
      </c>
      <c r="C26" t="s">
        <v>3297</v>
      </c>
      <c r="E26" t="s">
        <v>3391</v>
      </c>
      <c r="F26" s="10" t="s">
        <v>3287</v>
      </c>
      <c r="G26" t="s">
        <v>3374</v>
      </c>
    </row>
  </sheetData>
  <phoneticPr fontId="6" type="noConversion"/>
  <dataValidations disablePrompts="1" count="1">
    <dataValidation type="list" allowBlank="1" showInputMessage="1" showErrorMessage="1" sqref="D21:D22" xr:uid="{F2E18BB8-0755-244C-AB25-7305A0C52AE0}">
      <formula1>"Safe Spaces, Child-Friendly Spaces, Committee Spaces, Community Resource Space, Other(Describe)"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3A4B-701C-2543-A881-FB685241BD9E}">
  <sheetPr codeName="Sheet5"/>
  <dimension ref="A1:J12"/>
  <sheetViews>
    <sheetView workbookViewId="0">
      <selection activeCell="H10" sqref="H10"/>
    </sheetView>
  </sheetViews>
  <sheetFormatPr defaultColWidth="11.42578125" defaultRowHeight="15" x14ac:dyDescent="0.25"/>
  <cols>
    <col min="1" max="1" width="48.28515625" customWidth="1"/>
    <col min="3" max="3" width="69.28515625" bestFit="1" customWidth="1"/>
    <col min="5" max="5" width="27" bestFit="1" customWidth="1"/>
    <col min="6" max="6" width="17.7109375" bestFit="1" customWidth="1"/>
    <col min="7" max="7" width="15.85546875" bestFit="1" customWidth="1"/>
    <col min="8" max="8" width="34.28515625" bestFit="1" customWidth="1"/>
    <col min="9" max="9" width="17.7109375" bestFit="1" customWidth="1"/>
  </cols>
  <sheetData>
    <row r="1" spans="1:10" x14ac:dyDescent="0.25">
      <c r="A1" s="43" t="s">
        <v>3336</v>
      </c>
      <c r="C1" s="44" t="s">
        <v>3276</v>
      </c>
      <c r="E1" s="31" t="s">
        <v>5184</v>
      </c>
      <c r="F1" s="31" t="s">
        <v>5190</v>
      </c>
      <c r="G1" s="31" t="s">
        <v>5200</v>
      </c>
      <c r="H1" s="31" t="s">
        <v>5195</v>
      </c>
      <c r="I1" s="31" t="s">
        <v>5196</v>
      </c>
      <c r="J1" s="31" t="s">
        <v>5210</v>
      </c>
    </row>
    <row r="2" spans="1:10" x14ac:dyDescent="0.25">
      <c r="A2" s="43" t="s">
        <v>3335</v>
      </c>
      <c r="C2" s="46" t="s">
        <v>3278</v>
      </c>
      <c r="E2" t="s">
        <v>5185</v>
      </c>
      <c r="F2" t="s">
        <v>5191</v>
      </c>
      <c r="G2" t="s">
        <v>5201</v>
      </c>
      <c r="H2" t="s">
        <v>5197</v>
      </c>
      <c r="I2" t="s">
        <v>5184</v>
      </c>
      <c r="J2" t="s">
        <v>5211</v>
      </c>
    </row>
    <row r="3" spans="1:10" x14ac:dyDescent="0.25">
      <c r="A3" s="45" t="s">
        <v>3334</v>
      </c>
      <c r="C3" s="44" t="s">
        <v>3279</v>
      </c>
      <c r="E3" t="s">
        <v>5186</v>
      </c>
      <c r="F3" t="s">
        <v>5192</v>
      </c>
      <c r="G3" t="s">
        <v>5202</v>
      </c>
      <c r="H3" t="s">
        <v>5198</v>
      </c>
      <c r="I3" t="s">
        <v>5190</v>
      </c>
    </row>
    <row r="4" spans="1:10" x14ac:dyDescent="0.25">
      <c r="A4" s="45" t="s">
        <v>3269</v>
      </c>
      <c r="C4" s="44" t="s">
        <v>3280</v>
      </c>
      <c r="E4" t="s">
        <v>5187</v>
      </c>
      <c r="F4" t="s">
        <v>5193</v>
      </c>
      <c r="G4" t="s">
        <v>5203</v>
      </c>
      <c r="H4" t="s">
        <v>5199</v>
      </c>
      <c r="I4" t="s">
        <v>5190</v>
      </c>
    </row>
    <row r="5" spans="1:10" x14ac:dyDescent="0.25">
      <c r="A5" s="45" t="s">
        <v>3337</v>
      </c>
      <c r="C5" s="46" t="s">
        <v>3274</v>
      </c>
      <c r="E5" t="s">
        <v>5188</v>
      </c>
      <c r="F5" t="s">
        <v>5194</v>
      </c>
      <c r="G5" t="s">
        <v>5204</v>
      </c>
      <c r="H5" t="s">
        <v>5209</v>
      </c>
      <c r="I5" t="s">
        <v>5200</v>
      </c>
    </row>
    <row r="6" spans="1:10" x14ac:dyDescent="0.25">
      <c r="C6" s="46" t="s">
        <v>3275</v>
      </c>
      <c r="E6" t="s">
        <v>5189</v>
      </c>
      <c r="F6" t="s">
        <v>25</v>
      </c>
      <c r="G6" t="s">
        <v>5205</v>
      </c>
    </row>
    <row r="7" spans="1:10" x14ac:dyDescent="0.25">
      <c r="C7" s="46" t="s">
        <v>3273</v>
      </c>
      <c r="G7" t="s">
        <v>5206</v>
      </c>
    </row>
    <row r="8" spans="1:10" x14ac:dyDescent="0.25">
      <c r="C8" s="46" t="s">
        <v>3356</v>
      </c>
      <c r="G8" t="s">
        <v>5207</v>
      </c>
    </row>
    <row r="9" spans="1:10" x14ac:dyDescent="0.25">
      <c r="C9" s="46" t="s">
        <v>3282</v>
      </c>
      <c r="G9" t="s">
        <v>5208</v>
      </c>
    </row>
    <row r="10" spans="1:10" x14ac:dyDescent="0.25">
      <c r="C10" s="46" t="s">
        <v>3277</v>
      </c>
      <c r="G10" t="s">
        <v>5217</v>
      </c>
    </row>
    <row r="11" spans="1:10" x14ac:dyDescent="0.25">
      <c r="C11" s="46" t="s">
        <v>3355</v>
      </c>
    </row>
    <row r="12" spans="1:10" x14ac:dyDescent="0.25">
      <c r="C12" s="44" t="s">
        <v>3281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V194"/>
  <sheetViews>
    <sheetView zoomScale="108" zoomScaleNormal="57" workbookViewId="0">
      <selection activeCell="AH196" sqref="AH196"/>
    </sheetView>
  </sheetViews>
  <sheetFormatPr defaultColWidth="9.140625" defaultRowHeight="15" x14ac:dyDescent="0.25"/>
  <cols>
    <col min="1" max="1" width="2.85546875" customWidth="1"/>
    <col min="2" max="2" width="23.140625" customWidth="1"/>
    <col min="3" max="3" width="3.85546875" customWidth="1"/>
    <col min="4" max="4" width="23.140625" customWidth="1"/>
    <col min="5" max="5" width="4.85546875" customWidth="1"/>
    <col min="6" max="6" width="38.140625" customWidth="1"/>
    <col min="7" max="8" width="8.85546875"/>
    <col min="9" max="9" width="46.42578125" customWidth="1"/>
    <col min="10" max="10" width="46" bestFit="1" customWidth="1"/>
    <col min="11" max="11" width="8.85546875"/>
    <col min="12" max="12" width="43.140625" customWidth="1"/>
    <col min="13" max="13" width="44.7109375" bestFit="1" customWidth="1"/>
    <col min="14" max="14" width="44.7109375" customWidth="1"/>
    <col min="15" max="15" width="24.140625" bestFit="1" customWidth="1"/>
    <col min="16" max="16" width="8" customWidth="1"/>
    <col min="17" max="17" width="13.85546875" customWidth="1"/>
    <col min="18" max="18" width="9.140625" customWidth="1"/>
    <col min="19" max="19" width="18.140625" customWidth="1"/>
    <col min="20" max="20" width="96.85546875" customWidth="1"/>
    <col min="21" max="21" width="26.7109375" customWidth="1"/>
    <col min="22" max="22" width="27.140625" bestFit="1" customWidth="1"/>
    <col min="23" max="23" width="4.28515625" customWidth="1"/>
    <col min="24" max="24" width="15.85546875" customWidth="1"/>
    <col min="25" max="25" width="4.42578125" customWidth="1"/>
    <col min="26" max="26" width="18.42578125" customWidth="1"/>
    <col min="27" max="27" width="8.7109375" customWidth="1"/>
    <col min="28" max="28" width="3.7109375" customWidth="1"/>
    <col min="29" max="29" width="12.28515625" customWidth="1"/>
    <col min="30" max="30" width="15.140625" customWidth="1"/>
    <col min="31" max="31" width="14.85546875" customWidth="1"/>
    <col min="32" max="32" width="12.140625" customWidth="1"/>
    <col min="33" max="33" width="4.7109375" customWidth="1"/>
    <col min="34" max="34" width="64.7109375" customWidth="1"/>
    <col min="35" max="35" width="4.7109375" customWidth="1"/>
    <col min="36" max="36" width="113.28515625" customWidth="1"/>
    <col min="37" max="37" width="34.85546875" customWidth="1"/>
    <col min="38" max="38" width="4.7109375" customWidth="1"/>
    <col min="39" max="39" width="37.140625" customWidth="1"/>
    <col min="40" max="40" width="3.85546875" customWidth="1"/>
    <col min="41" max="41" width="37.140625" customWidth="1"/>
    <col min="42" max="42" width="34" bestFit="1" customWidth="1"/>
    <col min="43" max="43" width="6" customWidth="1"/>
    <col min="44" max="44" width="39.140625" customWidth="1"/>
    <col min="45" max="45" width="34" customWidth="1"/>
    <col min="46" max="46" width="29.42578125" bestFit="1" customWidth="1"/>
    <col min="47" max="47" width="15.85546875" bestFit="1" customWidth="1"/>
    <col min="48" max="48" width="5.42578125" customWidth="1"/>
  </cols>
  <sheetData>
    <row r="1" spans="1:48" s="8" customFormat="1" x14ac:dyDescent="0.25">
      <c r="A1" s="2"/>
      <c r="B1" s="3" t="s">
        <v>8</v>
      </c>
      <c r="C1" s="2"/>
      <c r="D1" s="3" t="s">
        <v>8</v>
      </c>
      <c r="E1" s="2"/>
      <c r="F1" s="3" t="s">
        <v>9</v>
      </c>
      <c r="G1" s="4"/>
      <c r="H1" s="4"/>
      <c r="I1" s="5" t="s">
        <v>9</v>
      </c>
      <c r="J1" s="5" t="s">
        <v>10</v>
      </c>
      <c r="K1" s="4"/>
      <c r="L1" s="4" t="s">
        <v>9</v>
      </c>
      <c r="M1" s="5" t="s">
        <v>10</v>
      </c>
      <c r="N1" s="5" t="s">
        <v>3270</v>
      </c>
      <c r="O1" s="4" t="s">
        <v>11</v>
      </c>
      <c r="P1" s="6"/>
      <c r="Q1" s="5" t="s">
        <v>12</v>
      </c>
      <c r="R1" s="4"/>
      <c r="S1" s="5" t="s">
        <v>13</v>
      </c>
      <c r="T1" s="5" t="s">
        <v>14</v>
      </c>
      <c r="U1" s="5" t="s">
        <v>13</v>
      </c>
      <c r="V1" s="5" t="s">
        <v>15</v>
      </c>
      <c r="W1" s="7"/>
      <c r="X1" s="8" t="s">
        <v>3</v>
      </c>
      <c r="Y1" s="3"/>
      <c r="Z1" s="8" t="s">
        <v>42</v>
      </c>
      <c r="AA1" s="8" t="s">
        <v>3175</v>
      </c>
      <c r="AB1" s="3"/>
      <c r="AC1" s="8" t="s">
        <v>3175</v>
      </c>
      <c r="AD1" s="8" t="s">
        <v>3181</v>
      </c>
      <c r="AE1" s="8" t="s">
        <v>3184</v>
      </c>
      <c r="AF1" s="8" t="s">
        <v>3265</v>
      </c>
      <c r="AG1" s="3"/>
      <c r="AH1" s="8" t="s">
        <v>3338</v>
      </c>
      <c r="AI1" s="16"/>
      <c r="AJ1" s="8" t="s">
        <v>3338</v>
      </c>
      <c r="AK1" s="8" t="s">
        <v>3339</v>
      </c>
      <c r="AL1" s="16"/>
      <c r="AM1" s="8" t="s">
        <v>9</v>
      </c>
      <c r="AN1" s="3"/>
      <c r="AO1" s="8" t="s">
        <v>9</v>
      </c>
      <c r="AP1" s="8" t="s">
        <v>10</v>
      </c>
      <c r="AQ1" s="3"/>
      <c r="AR1" s="8" t="s">
        <v>9</v>
      </c>
      <c r="AS1" s="8" t="s">
        <v>16</v>
      </c>
      <c r="AT1" s="8" t="s">
        <v>15</v>
      </c>
      <c r="AU1" s="8" t="s">
        <v>17</v>
      </c>
      <c r="AV1" s="3"/>
    </row>
    <row r="2" spans="1:48" x14ac:dyDescent="0.25">
      <c r="A2" s="9"/>
      <c r="B2" t="s">
        <v>7</v>
      </c>
      <c r="C2" s="9"/>
      <c r="D2" t="s">
        <v>7</v>
      </c>
      <c r="E2" s="9"/>
      <c r="F2" t="s">
        <v>3276</v>
      </c>
      <c r="G2" s="10"/>
      <c r="H2" s="10"/>
      <c r="I2" t="s">
        <v>3276</v>
      </c>
      <c r="J2" t="s">
        <v>3292</v>
      </c>
      <c r="K2" s="10"/>
      <c r="L2" t="s">
        <v>3276</v>
      </c>
      <c r="M2" t="s">
        <v>3292</v>
      </c>
      <c r="N2" t="s">
        <v>3299</v>
      </c>
      <c r="O2" s="15" t="s">
        <v>3283</v>
      </c>
      <c r="Q2" s="11" t="s">
        <v>18</v>
      </c>
      <c r="R2" s="10"/>
      <c r="S2" t="s">
        <v>3299</v>
      </c>
      <c r="T2" t="str">
        <f>L2&amp;M2</f>
        <v>Establishment or support provided to community representation structuresPeople in displacement sites with community representation structures supported by Site Management Agencies</v>
      </c>
      <c r="U2" t="s">
        <v>3299</v>
      </c>
      <c r="V2" s="15" t="s">
        <v>3283</v>
      </c>
      <c r="W2" s="10"/>
      <c r="X2" t="s">
        <v>19</v>
      </c>
      <c r="Y2" s="11"/>
      <c r="Z2" s="6" t="s">
        <v>3182</v>
      </c>
      <c r="AA2" s="6">
        <v>270</v>
      </c>
      <c r="AB2" s="11"/>
      <c r="AC2" s="6" t="s">
        <v>3178</v>
      </c>
      <c r="AD2" t="s">
        <v>3183</v>
      </c>
      <c r="AE2" t="s">
        <v>3186</v>
      </c>
      <c r="AF2">
        <v>2651138</v>
      </c>
      <c r="AG2" s="11"/>
      <c r="AH2" t="s">
        <v>3336</v>
      </c>
      <c r="AI2" s="17"/>
      <c r="AJ2" t="s">
        <v>3336</v>
      </c>
      <c r="AK2" t="s">
        <v>3276</v>
      </c>
      <c r="AL2" s="17"/>
      <c r="AM2" t="s">
        <v>3276</v>
      </c>
      <c r="AN2" s="11"/>
      <c r="AO2" t="s">
        <v>3276</v>
      </c>
      <c r="AP2" t="s">
        <v>3292</v>
      </c>
      <c r="AQ2" s="11"/>
      <c r="AR2" t="s">
        <v>3276</v>
      </c>
      <c r="AS2" t="s">
        <v>3292</v>
      </c>
      <c r="AT2" t="s">
        <v>3299</v>
      </c>
      <c r="AU2" s="15" t="s">
        <v>3283</v>
      </c>
      <c r="AV2" s="11"/>
    </row>
    <row r="3" spans="1:48" x14ac:dyDescent="0.25">
      <c r="A3" s="9"/>
      <c r="B3" t="s">
        <v>119</v>
      </c>
      <c r="C3" s="9"/>
      <c r="D3" t="s">
        <v>119</v>
      </c>
      <c r="E3" s="9"/>
      <c r="F3" t="s">
        <v>3278</v>
      </c>
      <c r="G3" s="10"/>
      <c r="H3" s="10"/>
      <c r="I3" t="s">
        <v>3278</v>
      </c>
      <c r="J3" t="s">
        <v>3293</v>
      </c>
      <c r="K3" s="10"/>
      <c r="L3" t="s">
        <v>3278</v>
      </c>
      <c r="M3" t="s">
        <v>3293</v>
      </c>
      <c r="N3" t="s">
        <v>3300</v>
      </c>
      <c r="O3" s="15" t="s">
        <v>3286</v>
      </c>
      <c r="Q3" s="11" t="s">
        <v>6</v>
      </c>
      <c r="R3" s="10"/>
      <c r="S3" t="s">
        <v>3300</v>
      </c>
      <c r="T3" t="str">
        <f t="shared" ref="T3:T8" si="0">L3&amp;M3</f>
        <v>Facilitation of Community Led ProjectsCommunity-led projects implemented</v>
      </c>
      <c r="U3" t="s">
        <v>3300</v>
      </c>
      <c r="V3" s="15" t="s">
        <v>3286</v>
      </c>
      <c r="W3" s="10"/>
      <c r="X3" t="s">
        <v>20</v>
      </c>
      <c r="Y3" s="11"/>
      <c r="Z3" s="6" t="s">
        <v>59</v>
      </c>
      <c r="AA3" s="6">
        <v>260</v>
      </c>
      <c r="AB3" s="11"/>
      <c r="AC3" s="6" t="s">
        <v>3178</v>
      </c>
      <c r="AD3" t="s">
        <v>3183</v>
      </c>
      <c r="AE3" t="s">
        <v>3189</v>
      </c>
      <c r="AF3">
        <v>2651143</v>
      </c>
      <c r="AG3" s="11"/>
      <c r="AH3" t="s">
        <v>3335</v>
      </c>
      <c r="AI3" s="17"/>
      <c r="AJ3" t="s">
        <v>3336</v>
      </c>
      <c r="AK3" t="s">
        <v>3278</v>
      </c>
      <c r="AL3" s="17"/>
      <c r="AM3" t="s">
        <v>3278</v>
      </c>
      <c r="AN3" s="11"/>
      <c r="AO3" t="s">
        <v>3278</v>
      </c>
      <c r="AP3" t="s">
        <v>3293</v>
      </c>
      <c r="AQ3" s="11"/>
      <c r="AR3" t="s">
        <v>3278</v>
      </c>
      <c r="AS3" t="s">
        <v>3293</v>
      </c>
      <c r="AT3" t="s">
        <v>3300</v>
      </c>
      <c r="AU3" s="15" t="s">
        <v>3286</v>
      </c>
      <c r="AV3" s="11"/>
    </row>
    <row r="4" spans="1:48" x14ac:dyDescent="0.25">
      <c r="A4" s="9"/>
      <c r="B4" t="s">
        <v>83</v>
      </c>
      <c r="C4" s="9"/>
      <c r="D4" t="s">
        <v>83</v>
      </c>
      <c r="E4" s="9"/>
      <c r="F4" t="s">
        <v>3279</v>
      </c>
      <c r="G4" s="10"/>
      <c r="H4" s="10"/>
      <c r="I4" t="s">
        <v>3279</v>
      </c>
      <c r="J4" t="s">
        <v>3359</v>
      </c>
      <c r="K4" s="10"/>
      <c r="L4" t="s">
        <v>3279</v>
      </c>
      <c r="M4" t="s">
        <v>3359</v>
      </c>
      <c r="N4" t="s">
        <v>3301</v>
      </c>
      <c r="O4" s="15" t="s">
        <v>3369</v>
      </c>
      <c r="Q4" s="11" t="s">
        <v>21</v>
      </c>
      <c r="R4" s="10"/>
      <c r="S4" t="s">
        <v>3301</v>
      </c>
      <c r="T4" t="str">
        <f t="shared" si="0"/>
        <v>Information sharing and feedback mechanisms in placeIEC awareness raising products disseminated</v>
      </c>
      <c r="U4" t="s">
        <v>3301</v>
      </c>
      <c r="V4" s="15" t="s">
        <v>3369</v>
      </c>
      <c r="W4" s="10"/>
      <c r="X4" t="s">
        <v>22</v>
      </c>
      <c r="Y4" s="11"/>
      <c r="Z4" s="6" t="s">
        <v>3267</v>
      </c>
      <c r="AA4" s="6">
        <v>255</v>
      </c>
      <c r="AB4" s="11"/>
      <c r="AC4" s="6" t="s">
        <v>3178</v>
      </c>
      <c r="AD4" t="s">
        <v>3183</v>
      </c>
      <c r="AE4" t="s">
        <v>3191</v>
      </c>
      <c r="AF4">
        <v>2651144</v>
      </c>
      <c r="AG4" s="11"/>
      <c r="AH4" t="s">
        <v>3334</v>
      </c>
      <c r="AI4" s="17"/>
      <c r="AJ4" t="s">
        <v>3336</v>
      </c>
      <c r="AK4" t="s">
        <v>3279</v>
      </c>
      <c r="AL4" s="17"/>
      <c r="AM4" t="s">
        <v>3279</v>
      </c>
      <c r="AN4" s="11"/>
      <c r="AO4" t="s">
        <v>3279</v>
      </c>
      <c r="AP4" t="s">
        <v>3359</v>
      </c>
      <c r="AQ4" s="11"/>
      <c r="AR4" t="s">
        <v>3279</v>
      </c>
      <c r="AS4" t="s">
        <v>3359</v>
      </c>
      <c r="AT4" t="s">
        <v>3301</v>
      </c>
      <c r="AU4" s="15" t="s">
        <v>3369</v>
      </c>
      <c r="AV4" s="11"/>
    </row>
    <row r="5" spans="1:48" x14ac:dyDescent="0.25">
      <c r="A5" s="9"/>
      <c r="B5" t="s">
        <v>34</v>
      </c>
      <c r="C5" s="9"/>
      <c r="D5" t="s">
        <v>34</v>
      </c>
      <c r="E5" s="9"/>
      <c r="F5" t="s">
        <v>3280</v>
      </c>
      <c r="G5" s="10"/>
      <c r="H5" s="10"/>
      <c r="I5" t="s">
        <v>3279</v>
      </c>
      <c r="J5" t="s">
        <v>3361</v>
      </c>
      <c r="K5" s="10"/>
      <c r="L5" t="s">
        <v>3279</v>
      </c>
      <c r="M5" t="s">
        <v>3361</v>
      </c>
      <c r="N5" t="s">
        <v>3302</v>
      </c>
      <c r="O5" s="15" t="s">
        <v>3353</v>
      </c>
      <c r="R5" s="10"/>
      <c r="S5" t="s">
        <v>3302</v>
      </c>
      <c r="T5" t="str">
        <f t="shared" si="0"/>
        <v>Information sharing and feedback mechanisms in placeParticipants in Community Feedback Mechanism information sessions</v>
      </c>
      <c r="U5" t="s">
        <v>3302</v>
      </c>
      <c r="V5" s="15" t="s">
        <v>3353</v>
      </c>
      <c r="W5" s="10"/>
      <c r="X5" t="s">
        <v>23</v>
      </c>
      <c r="Y5" s="11"/>
      <c r="Z5" s="6" t="s">
        <v>120</v>
      </c>
      <c r="AA5" s="6">
        <v>265</v>
      </c>
      <c r="AB5" s="11"/>
      <c r="AC5" s="6" t="s">
        <v>3178</v>
      </c>
      <c r="AD5" t="s">
        <v>3183</v>
      </c>
      <c r="AE5" t="s">
        <v>3193</v>
      </c>
      <c r="AF5">
        <v>2651146</v>
      </c>
      <c r="AG5" s="11"/>
      <c r="AH5" t="s">
        <v>3269</v>
      </c>
      <c r="AI5" s="17"/>
      <c r="AJ5" t="s">
        <v>3336</v>
      </c>
      <c r="AK5" t="s">
        <v>3279</v>
      </c>
      <c r="AL5" s="17"/>
      <c r="AM5" t="s">
        <v>3280</v>
      </c>
      <c r="AN5" s="11"/>
      <c r="AO5" t="s">
        <v>3279</v>
      </c>
      <c r="AP5" t="s">
        <v>3361</v>
      </c>
      <c r="AQ5" s="11"/>
      <c r="AR5" t="s">
        <v>3279</v>
      </c>
      <c r="AS5" t="s">
        <v>3361</v>
      </c>
      <c r="AT5" t="s">
        <v>3302</v>
      </c>
      <c r="AU5" s="15" t="s">
        <v>3353</v>
      </c>
      <c r="AV5" s="11"/>
    </row>
    <row r="6" spans="1:48" x14ac:dyDescent="0.25">
      <c r="A6" s="9"/>
      <c r="B6" t="s">
        <v>673</v>
      </c>
      <c r="C6" s="9"/>
      <c r="D6" t="s">
        <v>673</v>
      </c>
      <c r="E6" s="9"/>
      <c r="F6" t="s">
        <v>3274</v>
      </c>
      <c r="G6" s="10"/>
      <c r="H6" s="10"/>
      <c r="I6" t="s">
        <v>3279</v>
      </c>
      <c r="J6" t="s">
        <v>3358</v>
      </c>
      <c r="K6" s="10"/>
      <c r="L6" t="s">
        <v>3279</v>
      </c>
      <c r="M6" t="s">
        <v>3358</v>
      </c>
      <c r="N6" t="s">
        <v>3303</v>
      </c>
      <c r="O6" s="15" t="s">
        <v>3368</v>
      </c>
      <c r="R6" s="10"/>
      <c r="S6" t="s">
        <v>3303</v>
      </c>
      <c r="T6" t="str">
        <f t="shared" si="0"/>
        <v>Information sharing and feedback mechanisms in placePeople in sites reached by IEC and awareness raising materials</v>
      </c>
      <c r="U6" t="s">
        <v>3303</v>
      </c>
      <c r="V6" s="15" t="s">
        <v>3368</v>
      </c>
      <c r="W6" s="10"/>
      <c r="X6" t="s">
        <v>4</v>
      </c>
      <c r="Y6" s="11"/>
      <c r="Z6" s="6" t="s">
        <v>402</v>
      </c>
      <c r="AA6" s="6">
        <v>275</v>
      </c>
      <c r="AB6" s="11"/>
      <c r="AC6" s="6" t="s">
        <v>3178</v>
      </c>
      <c r="AD6" t="s">
        <v>3183</v>
      </c>
      <c r="AE6" t="s">
        <v>3194</v>
      </c>
      <c r="AF6">
        <v>2650886</v>
      </c>
      <c r="AG6" s="11"/>
      <c r="AH6" t="s">
        <v>3337</v>
      </c>
      <c r="AI6" s="17"/>
      <c r="AJ6" t="s">
        <v>3336</v>
      </c>
      <c r="AK6" t="s">
        <v>3279</v>
      </c>
      <c r="AL6" s="17"/>
      <c r="AM6" t="s">
        <v>3274</v>
      </c>
      <c r="AN6" s="11"/>
      <c r="AO6" t="s">
        <v>3279</v>
      </c>
      <c r="AP6" t="s">
        <v>3358</v>
      </c>
      <c r="AQ6" s="11"/>
      <c r="AR6" t="s">
        <v>3279</v>
      </c>
      <c r="AS6" t="s">
        <v>3358</v>
      </c>
      <c r="AT6" t="s">
        <v>3303</v>
      </c>
      <c r="AU6" s="15" t="s">
        <v>3368</v>
      </c>
      <c r="AV6" s="11"/>
    </row>
    <row r="7" spans="1:48" x14ac:dyDescent="0.25">
      <c r="A7" s="9"/>
      <c r="B7" t="s">
        <v>359</v>
      </c>
      <c r="C7" s="9"/>
      <c r="D7" t="s">
        <v>359</v>
      </c>
      <c r="E7" s="9"/>
      <c r="F7" t="s">
        <v>3275</v>
      </c>
      <c r="G7" s="10"/>
      <c r="H7" s="10"/>
      <c r="I7" t="s">
        <v>3279</v>
      </c>
      <c r="J7" t="s">
        <v>3360</v>
      </c>
      <c r="K7" s="10"/>
      <c r="L7" t="s">
        <v>3279</v>
      </c>
      <c r="M7" t="s">
        <v>3360</v>
      </c>
      <c r="N7" t="s">
        <v>3304</v>
      </c>
      <c r="O7" s="15" t="s">
        <v>32</v>
      </c>
      <c r="R7" s="10"/>
      <c r="S7" t="s">
        <v>3304</v>
      </c>
      <c r="T7" t="str">
        <f t="shared" si="0"/>
        <v>Information sharing and feedback mechanisms in placeSites with Community Feedback Mechanisms in place: Information sessions facilitated, or information materials made available to residents.</v>
      </c>
      <c r="U7" t="s">
        <v>3304</v>
      </c>
      <c r="V7" s="15" t="s">
        <v>32</v>
      </c>
      <c r="W7" s="10"/>
      <c r="X7" t="s">
        <v>24</v>
      </c>
      <c r="Y7" s="11"/>
      <c r="Z7" s="6"/>
      <c r="AA7" s="6"/>
      <c r="AB7" s="11"/>
      <c r="AC7" s="6" t="s">
        <v>3178</v>
      </c>
      <c r="AD7" t="s">
        <v>3183</v>
      </c>
      <c r="AE7" t="s">
        <v>325</v>
      </c>
      <c r="AF7">
        <v>2650583</v>
      </c>
      <c r="AG7" s="11"/>
      <c r="AI7" s="17"/>
      <c r="AJ7" t="s">
        <v>3336</v>
      </c>
      <c r="AK7" t="s">
        <v>3279</v>
      </c>
      <c r="AL7" s="17"/>
      <c r="AM7" t="s">
        <v>3275</v>
      </c>
      <c r="AN7" s="11"/>
      <c r="AO7" t="s">
        <v>3279</v>
      </c>
      <c r="AP7" t="s">
        <v>3360</v>
      </c>
      <c r="AQ7" s="11"/>
      <c r="AR7" t="s">
        <v>3279</v>
      </c>
      <c r="AS7" t="s">
        <v>3360</v>
      </c>
      <c r="AT7" t="s">
        <v>3304</v>
      </c>
      <c r="AU7" s="15" t="s">
        <v>32</v>
      </c>
      <c r="AV7" s="11"/>
    </row>
    <row r="8" spans="1:48" x14ac:dyDescent="0.25">
      <c r="A8" s="9"/>
      <c r="B8" t="s">
        <v>3382</v>
      </c>
      <c r="C8" s="9"/>
      <c r="D8" t="s">
        <v>3382</v>
      </c>
      <c r="E8" s="9"/>
      <c r="F8" t="s">
        <v>3273</v>
      </c>
      <c r="G8" s="10"/>
      <c r="H8" s="10"/>
      <c r="I8" t="s">
        <v>3280</v>
      </c>
      <c r="J8" t="s">
        <v>3296</v>
      </c>
      <c r="K8" s="10"/>
      <c r="L8" t="s">
        <v>3280</v>
      </c>
      <c r="M8" t="s">
        <v>3296</v>
      </c>
      <c r="N8" t="s">
        <v>3305</v>
      </c>
      <c r="O8" s="15" t="s">
        <v>32</v>
      </c>
      <c r="R8" s="10"/>
      <c r="S8" t="s">
        <v>3305</v>
      </c>
      <c r="T8" t="str">
        <f t="shared" si="0"/>
        <v>Plan and implement site closure and exit strategiesSites safely closed or decommissioned with land returned to orginal use</v>
      </c>
      <c r="U8" t="s">
        <v>3305</v>
      </c>
      <c r="V8" s="15" t="s">
        <v>32</v>
      </c>
      <c r="W8" s="10"/>
      <c r="X8" t="s">
        <v>26</v>
      </c>
      <c r="Y8" s="11"/>
      <c r="Z8" s="6"/>
      <c r="AA8" s="6"/>
      <c r="AB8" s="11"/>
      <c r="AC8" s="6" t="s">
        <v>3178</v>
      </c>
      <c r="AD8" t="s">
        <v>3183</v>
      </c>
      <c r="AE8" t="s">
        <v>985</v>
      </c>
      <c r="AF8">
        <v>2650579</v>
      </c>
      <c r="AG8" s="11"/>
      <c r="AI8" s="17"/>
      <c r="AJ8" t="s">
        <v>3335</v>
      </c>
      <c r="AK8" t="s">
        <v>3280</v>
      </c>
      <c r="AL8" s="17"/>
      <c r="AM8" t="s">
        <v>3273</v>
      </c>
      <c r="AN8" s="11"/>
      <c r="AO8" t="s">
        <v>3280</v>
      </c>
      <c r="AP8" t="s">
        <v>3296</v>
      </c>
      <c r="AQ8" s="11"/>
      <c r="AR8" t="s">
        <v>3280</v>
      </c>
      <c r="AS8" t="s">
        <v>3296</v>
      </c>
      <c r="AT8" t="s">
        <v>3305</v>
      </c>
      <c r="AU8" s="15" t="s">
        <v>32</v>
      </c>
      <c r="AV8" s="11"/>
    </row>
    <row r="9" spans="1:48" x14ac:dyDescent="0.25">
      <c r="A9" s="9"/>
      <c r="B9" t="s">
        <v>5</v>
      </c>
      <c r="C9" s="9"/>
      <c r="D9" t="s">
        <v>5</v>
      </c>
      <c r="E9" s="9"/>
      <c r="F9" t="s">
        <v>3356</v>
      </c>
      <c r="G9" s="10"/>
      <c r="H9" s="10"/>
      <c r="I9" t="s">
        <v>3274</v>
      </c>
      <c r="J9" t="s">
        <v>3289</v>
      </c>
      <c r="K9" s="10"/>
      <c r="L9" t="s">
        <v>3274</v>
      </c>
      <c r="M9" t="s">
        <v>3289</v>
      </c>
      <c r="N9" t="s">
        <v>3307</v>
      </c>
      <c r="O9" s="15" t="s">
        <v>3284</v>
      </c>
      <c r="R9" s="10"/>
      <c r="S9" t="s">
        <v>3307</v>
      </c>
      <c r="T9" t="str">
        <f>L9&amp;M9</f>
        <v>Population movement monitoring activitiesPopulation flow counting points are active during high population movement periods</v>
      </c>
      <c r="U9" t="s">
        <v>3307</v>
      </c>
      <c r="V9" s="15" t="s">
        <v>3284</v>
      </c>
      <c r="W9" s="10"/>
      <c r="X9" t="s">
        <v>27</v>
      </c>
      <c r="Y9" s="11"/>
      <c r="Z9" s="6"/>
      <c r="AA9" s="6"/>
      <c r="AB9" s="11"/>
      <c r="AC9" s="6" t="s">
        <v>3178</v>
      </c>
      <c r="AD9" t="s">
        <v>3183</v>
      </c>
      <c r="AE9" t="s">
        <v>125</v>
      </c>
      <c r="AF9">
        <v>2651094</v>
      </c>
      <c r="AG9" s="11"/>
      <c r="AI9" s="17"/>
      <c r="AJ9" t="s">
        <v>3334</v>
      </c>
      <c r="AK9" t="s">
        <v>3274</v>
      </c>
      <c r="AL9" s="17"/>
      <c r="AM9" t="s">
        <v>3356</v>
      </c>
      <c r="AN9" s="11"/>
      <c r="AO9" t="s">
        <v>3274</v>
      </c>
      <c r="AP9" t="s">
        <v>3357</v>
      </c>
      <c r="AQ9" s="11"/>
      <c r="AR9" t="s">
        <v>3274</v>
      </c>
      <c r="AS9" t="s">
        <v>3357</v>
      </c>
      <c r="AT9" t="s">
        <v>3306</v>
      </c>
      <c r="AU9" s="15" t="s">
        <v>3283</v>
      </c>
      <c r="AV9" s="11"/>
    </row>
    <row r="10" spans="1:48" x14ac:dyDescent="0.25">
      <c r="A10" s="9"/>
      <c r="B10" t="s">
        <v>731</v>
      </c>
      <c r="C10" s="9"/>
      <c r="D10" t="s">
        <v>731</v>
      </c>
      <c r="E10" s="9"/>
      <c r="F10" t="s">
        <v>3282</v>
      </c>
      <c r="G10" s="10"/>
      <c r="H10" s="10"/>
      <c r="I10" t="s">
        <v>3275</v>
      </c>
      <c r="J10" t="s">
        <v>3290</v>
      </c>
      <c r="K10" s="10"/>
      <c r="L10" t="s">
        <v>3275</v>
      </c>
      <c r="M10" t="s">
        <v>3290</v>
      </c>
      <c r="N10" t="s">
        <v>3308</v>
      </c>
      <c r="O10" s="15" t="s">
        <v>32</v>
      </c>
      <c r="R10" s="10"/>
      <c r="S10" t="s">
        <v>3308</v>
      </c>
      <c r="T10" t="str">
        <f>L10&amp;M10</f>
        <v>Protection mainstreamingSites with protection referral pathway in place</v>
      </c>
      <c r="U10" t="s">
        <v>3308</v>
      </c>
      <c r="V10" s="15" t="s">
        <v>32</v>
      </c>
      <c r="W10" s="10"/>
      <c r="X10" t="s">
        <v>28</v>
      </c>
      <c r="Y10" s="11"/>
      <c r="Z10" s="6"/>
      <c r="AA10" s="6"/>
      <c r="AB10" s="11"/>
      <c r="AC10" s="6" t="s">
        <v>3178</v>
      </c>
      <c r="AD10" t="s">
        <v>3183</v>
      </c>
      <c r="AE10" t="s">
        <v>3196</v>
      </c>
      <c r="AF10">
        <v>2650888</v>
      </c>
      <c r="AG10" s="11"/>
      <c r="AI10" s="17"/>
      <c r="AJ10" t="s">
        <v>3334</v>
      </c>
      <c r="AK10" t="s">
        <v>3274</v>
      </c>
      <c r="AL10" s="17"/>
      <c r="AM10" t="s">
        <v>3282</v>
      </c>
      <c r="AN10" s="11"/>
      <c r="AO10" t="s">
        <v>3274</v>
      </c>
      <c r="AP10" t="s">
        <v>3289</v>
      </c>
      <c r="AQ10" s="11"/>
      <c r="AR10" t="s">
        <v>3274</v>
      </c>
      <c r="AS10" t="s">
        <v>3289</v>
      </c>
      <c r="AT10" t="s">
        <v>3307</v>
      </c>
      <c r="AU10" s="15" t="s">
        <v>3284</v>
      </c>
      <c r="AV10" s="11"/>
    </row>
    <row r="11" spans="1:48" x14ac:dyDescent="0.25">
      <c r="A11" s="9"/>
      <c r="B11" t="s">
        <v>35</v>
      </c>
      <c r="C11" s="9"/>
      <c r="D11" t="s">
        <v>35</v>
      </c>
      <c r="E11" s="9"/>
      <c r="F11" t="s">
        <v>3277</v>
      </c>
      <c r="G11" s="10"/>
      <c r="H11" s="10"/>
      <c r="I11" t="s">
        <v>3275</v>
      </c>
      <c r="J11" t="s">
        <v>3291</v>
      </c>
      <c r="K11" s="10"/>
      <c r="L11" t="s">
        <v>3275</v>
      </c>
      <c r="M11" t="s">
        <v>3291</v>
      </c>
      <c r="N11" t="s">
        <v>3309</v>
      </c>
      <c r="O11" s="15" t="s">
        <v>32</v>
      </c>
      <c r="R11" s="10"/>
      <c r="S11" t="s">
        <v>3309</v>
      </c>
      <c r="T11" t="str">
        <f>L11&amp;M11</f>
        <v>Protection mainstreamingSites with safety audits conducted</v>
      </c>
      <c r="U11" t="s">
        <v>3309</v>
      </c>
      <c r="V11" s="15" t="s">
        <v>32</v>
      </c>
      <c r="W11" s="10"/>
      <c r="X11" t="s">
        <v>29</v>
      </c>
      <c r="Y11" s="11"/>
      <c r="Z11" s="6"/>
      <c r="AA11" s="6"/>
      <c r="AB11" s="11"/>
      <c r="AC11" s="6" t="s">
        <v>3178</v>
      </c>
      <c r="AD11" t="s">
        <v>3183</v>
      </c>
      <c r="AE11" t="s">
        <v>104</v>
      </c>
      <c r="AF11">
        <v>2651091</v>
      </c>
      <c r="AG11" s="11"/>
      <c r="AI11" s="17"/>
      <c r="AJ11" t="s">
        <v>3334</v>
      </c>
      <c r="AK11" t="s">
        <v>3275</v>
      </c>
      <c r="AL11" s="17"/>
      <c r="AM11" t="s">
        <v>3277</v>
      </c>
      <c r="AN11" s="11"/>
      <c r="AO11" t="s">
        <v>3275</v>
      </c>
      <c r="AP11" t="s">
        <v>3290</v>
      </c>
      <c r="AQ11" s="11"/>
      <c r="AR11" t="s">
        <v>3275</v>
      </c>
      <c r="AS11" t="s">
        <v>3290</v>
      </c>
      <c r="AT11" t="s">
        <v>3308</v>
      </c>
      <c r="AU11" s="15" t="s">
        <v>32</v>
      </c>
      <c r="AV11" s="11"/>
    </row>
    <row r="12" spans="1:48" x14ac:dyDescent="0.25">
      <c r="A12" s="9"/>
      <c r="B12" t="s">
        <v>662</v>
      </c>
      <c r="C12" s="9"/>
      <c r="D12" t="s">
        <v>662</v>
      </c>
      <c r="E12" s="9"/>
      <c r="F12" t="s">
        <v>3355</v>
      </c>
      <c r="G12" s="10"/>
      <c r="H12" s="10"/>
      <c r="I12" t="s">
        <v>3273</v>
      </c>
      <c r="J12" t="s">
        <v>3377</v>
      </c>
      <c r="K12" s="10"/>
      <c r="L12" t="s">
        <v>3273</v>
      </c>
      <c r="M12" t="s">
        <v>3377</v>
      </c>
      <c r="N12" t="s">
        <v>3311</v>
      </c>
      <c r="O12" s="15" t="s">
        <v>3380</v>
      </c>
      <c r="R12" s="10"/>
      <c r="S12" t="s">
        <v>3310</v>
      </c>
      <c r="T12" t="e">
        <f>#REF!&amp;#REF!</f>
        <v>#REF!</v>
      </c>
      <c r="U12" t="s">
        <v>3310</v>
      </c>
      <c r="V12" s="15" t="s">
        <v>3379</v>
      </c>
      <c r="W12" s="10"/>
      <c r="X12" t="s">
        <v>30</v>
      </c>
      <c r="Y12" s="11"/>
      <c r="Z12" s="6"/>
      <c r="AA12" s="6"/>
      <c r="AB12" s="11"/>
      <c r="AC12" s="6" t="s">
        <v>3178</v>
      </c>
      <c r="AD12" t="s">
        <v>3183</v>
      </c>
      <c r="AE12" t="s">
        <v>361</v>
      </c>
      <c r="AF12">
        <v>2651099</v>
      </c>
      <c r="AG12" s="11"/>
      <c r="AI12" s="17"/>
      <c r="AJ12" t="s">
        <v>3334</v>
      </c>
      <c r="AK12" t="s">
        <v>3275</v>
      </c>
      <c r="AL12" s="17"/>
      <c r="AM12" t="s">
        <v>3355</v>
      </c>
      <c r="AN12" s="11"/>
      <c r="AO12" t="s">
        <v>3275</v>
      </c>
      <c r="AP12" t="s">
        <v>3291</v>
      </c>
      <c r="AQ12" s="11"/>
      <c r="AR12" t="s">
        <v>3275</v>
      </c>
      <c r="AS12" t="s">
        <v>3291</v>
      </c>
      <c r="AT12" t="s">
        <v>3309</v>
      </c>
      <c r="AU12" s="15" t="s">
        <v>32</v>
      </c>
      <c r="AV12" s="11"/>
    </row>
    <row r="13" spans="1:48" x14ac:dyDescent="0.25">
      <c r="A13" s="9"/>
      <c r="B13" t="s">
        <v>54</v>
      </c>
      <c r="C13" s="9"/>
      <c r="D13" t="s">
        <v>54</v>
      </c>
      <c r="E13" s="9"/>
      <c r="F13" t="s">
        <v>3281</v>
      </c>
      <c r="G13" s="10"/>
      <c r="H13" s="10"/>
      <c r="I13" t="s">
        <v>3273</v>
      </c>
      <c r="J13" t="s">
        <v>3375</v>
      </c>
      <c r="K13" s="10"/>
      <c r="L13" t="s">
        <v>3273</v>
      </c>
      <c r="M13" t="s">
        <v>3375</v>
      </c>
      <c r="N13" t="s">
        <v>3312</v>
      </c>
      <c r="O13" s="15" t="s">
        <v>3378</v>
      </c>
      <c r="R13" s="10"/>
      <c r="S13" t="s">
        <v>3311</v>
      </c>
      <c r="T13" t="str">
        <f t="shared" ref="T13:T27" si="1">L12&amp;M12</f>
        <v>Service coordination supported and improvedNumber of service/infrastructure mapping reports generated</v>
      </c>
      <c r="U13" t="s">
        <v>3311</v>
      </c>
      <c r="V13" s="15" t="s">
        <v>3380</v>
      </c>
      <c r="W13" s="10"/>
      <c r="X13" t="s">
        <v>31</v>
      </c>
      <c r="Y13" s="11"/>
      <c r="Z13" s="6"/>
      <c r="AA13" s="6"/>
      <c r="AB13" s="11"/>
      <c r="AC13" s="6" t="s">
        <v>3178</v>
      </c>
      <c r="AD13" t="s">
        <v>3183</v>
      </c>
      <c r="AE13" t="s">
        <v>564</v>
      </c>
      <c r="AF13">
        <v>2651090</v>
      </c>
      <c r="AG13" s="11"/>
      <c r="AI13" s="17"/>
      <c r="AJ13" t="s">
        <v>3334</v>
      </c>
      <c r="AK13" t="s">
        <v>3273</v>
      </c>
      <c r="AL13" s="17"/>
      <c r="AM13" t="s">
        <v>3281</v>
      </c>
      <c r="AN13" s="11"/>
      <c r="AO13" t="s">
        <v>3273</v>
      </c>
      <c r="AP13" t="s">
        <v>3376</v>
      </c>
      <c r="AQ13" s="11"/>
      <c r="AR13" t="s">
        <v>3273</v>
      </c>
      <c r="AS13" t="s">
        <v>3376</v>
      </c>
      <c r="AT13" t="s">
        <v>3310</v>
      </c>
      <c r="AU13" s="15" t="s">
        <v>3379</v>
      </c>
      <c r="AV13" s="11"/>
    </row>
    <row r="14" spans="1:48" x14ac:dyDescent="0.25">
      <c r="A14" s="9"/>
      <c r="B14" t="s">
        <v>3383</v>
      </c>
      <c r="C14" s="9"/>
      <c r="D14" t="s">
        <v>3383</v>
      </c>
      <c r="E14" s="9"/>
      <c r="G14" s="10"/>
      <c r="H14" s="10"/>
      <c r="I14" t="s">
        <v>3273</v>
      </c>
      <c r="J14" t="s">
        <v>3288</v>
      </c>
      <c r="K14" s="10"/>
      <c r="L14" t="s">
        <v>3273</v>
      </c>
      <c r="M14" t="s">
        <v>3288</v>
      </c>
      <c r="N14" t="s">
        <v>3313</v>
      </c>
      <c r="O14" s="15" t="s">
        <v>3283</v>
      </c>
      <c r="R14" s="10"/>
      <c r="S14" t="s">
        <v>3312</v>
      </c>
      <c r="T14" t="str">
        <f t="shared" si="1"/>
        <v>Service coordination supported and improvedNumber of site-level coordination meetings</v>
      </c>
      <c r="U14" t="s">
        <v>3312</v>
      </c>
      <c r="V14" s="15" t="s">
        <v>3378</v>
      </c>
      <c r="W14" s="10"/>
      <c r="Y14" s="11"/>
      <c r="Z14" s="6"/>
      <c r="AA14" s="6"/>
      <c r="AB14" s="11"/>
      <c r="AC14" s="6" t="s">
        <v>3178</v>
      </c>
      <c r="AD14" t="s">
        <v>3183</v>
      </c>
      <c r="AE14" t="s">
        <v>2207</v>
      </c>
      <c r="AF14">
        <v>26503148</v>
      </c>
      <c r="AG14" s="11"/>
      <c r="AI14" s="17"/>
      <c r="AJ14" t="s">
        <v>3334</v>
      </c>
      <c r="AK14" t="s">
        <v>3273</v>
      </c>
      <c r="AL14" s="17"/>
      <c r="AN14" s="11"/>
      <c r="AO14" t="s">
        <v>3273</v>
      </c>
      <c r="AP14" t="s">
        <v>3377</v>
      </c>
      <c r="AQ14" s="11"/>
      <c r="AR14" t="s">
        <v>3273</v>
      </c>
      <c r="AS14" t="s">
        <v>3377</v>
      </c>
      <c r="AT14" t="s">
        <v>3311</v>
      </c>
      <c r="AU14" s="15" t="s">
        <v>3380</v>
      </c>
      <c r="AV14" s="11"/>
    </row>
    <row r="15" spans="1:48" x14ac:dyDescent="0.25">
      <c r="A15" s="9"/>
      <c r="B15" t="s">
        <v>1215</v>
      </c>
      <c r="C15" s="9"/>
      <c r="D15" t="s">
        <v>1215</v>
      </c>
      <c r="E15" s="9"/>
      <c r="G15" s="10"/>
      <c r="H15" s="10"/>
      <c r="I15" t="s">
        <v>3356</v>
      </c>
      <c r="J15" t="s">
        <v>3366</v>
      </c>
      <c r="K15" s="10"/>
      <c r="L15" t="s">
        <v>3356</v>
      </c>
      <c r="M15" t="s">
        <v>3366</v>
      </c>
      <c r="N15" t="s">
        <v>3314</v>
      </c>
      <c r="O15" s="15" t="s">
        <v>3372</v>
      </c>
      <c r="R15" s="10"/>
      <c r="S15" t="s">
        <v>3313</v>
      </c>
      <c r="T15" t="str">
        <f t="shared" si="1"/>
        <v>Service coordination supported and improvedPeople in sites managed or supported by trained Site Management teams</v>
      </c>
      <c r="U15" t="s">
        <v>3313</v>
      </c>
      <c r="V15" s="15" t="s">
        <v>3283</v>
      </c>
      <c r="W15" s="10"/>
      <c r="Y15" s="11"/>
      <c r="AB15" s="11"/>
      <c r="AC15" s="6" t="s">
        <v>3178</v>
      </c>
      <c r="AD15" t="s">
        <v>3183</v>
      </c>
      <c r="AE15" t="s">
        <v>3199</v>
      </c>
      <c r="AF15">
        <v>26503149</v>
      </c>
      <c r="AG15" s="11"/>
      <c r="AI15" s="17"/>
      <c r="AJ15" t="s">
        <v>3334</v>
      </c>
      <c r="AK15" t="s">
        <v>3273</v>
      </c>
      <c r="AL15" s="17"/>
      <c r="AN15" s="11"/>
      <c r="AO15" t="s">
        <v>3273</v>
      </c>
      <c r="AP15" t="s">
        <v>3375</v>
      </c>
      <c r="AQ15" s="11"/>
      <c r="AR15" t="s">
        <v>3273</v>
      </c>
      <c r="AS15" t="s">
        <v>3375</v>
      </c>
      <c r="AT15" t="s">
        <v>3312</v>
      </c>
      <c r="AU15" s="15" t="s">
        <v>3378</v>
      </c>
      <c r="AV15" s="11"/>
    </row>
    <row r="16" spans="1:48" x14ac:dyDescent="0.25">
      <c r="G16" s="10"/>
      <c r="H16" s="10"/>
      <c r="I16" t="s">
        <v>3356</v>
      </c>
      <c r="J16" t="s">
        <v>3367</v>
      </c>
      <c r="K16" s="10"/>
      <c r="L16" t="s">
        <v>3356</v>
      </c>
      <c r="M16" t="s">
        <v>3367</v>
      </c>
      <c r="N16" t="s">
        <v>3315</v>
      </c>
      <c r="O16" s="15" t="s">
        <v>3283</v>
      </c>
      <c r="R16" s="10"/>
      <c r="S16" t="s">
        <v>3314</v>
      </c>
      <c r="T16" t="str">
        <f t="shared" si="1"/>
        <v>Site maintenance, risk reduction and improvementsCommunal spaces established or improved in sites (including safe spaces, child-friendly spaces, committee spaces, community resource spaces)</v>
      </c>
      <c r="U16" t="s">
        <v>3314</v>
      </c>
      <c r="V16" s="15" t="s">
        <v>3372</v>
      </c>
      <c r="W16" s="10"/>
      <c r="Y16" s="11"/>
      <c r="AB16" s="11"/>
      <c r="AC16" s="6" t="s">
        <v>3178</v>
      </c>
      <c r="AD16" t="s">
        <v>3183</v>
      </c>
      <c r="AE16" t="s">
        <v>1228</v>
      </c>
      <c r="AF16">
        <v>26504182</v>
      </c>
      <c r="AG16" s="11"/>
      <c r="AI16" s="17"/>
      <c r="AJ16" t="s">
        <v>3334</v>
      </c>
      <c r="AK16" t="s">
        <v>3273</v>
      </c>
      <c r="AL16" s="17"/>
      <c r="AN16" s="11"/>
      <c r="AO16" t="s">
        <v>3273</v>
      </c>
      <c r="AP16" t="s">
        <v>3288</v>
      </c>
      <c r="AQ16" s="11"/>
      <c r="AR16" t="s">
        <v>3273</v>
      </c>
      <c r="AS16" t="s">
        <v>3288</v>
      </c>
      <c r="AT16" t="s">
        <v>3313</v>
      </c>
      <c r="AU16" s="15" t="s">
        <v>3283</v>
      </c>
      <c r="AV16" s="11"/>
    </row>
    <row r="17" spans="7:48" x14ac:dyDescent="0.25">
      <c r="G17" s="10"/>
      <c r="H17" s="10"/>
      <c r="I17" t="s">
        <v>3356</v>
      </c>
      <c r="J17" t="s">
        <v>3381</v>
      </c>
      <c r="K17" s="10"/>
      <c r="L17" t="s">
        <v>3356</v>
      </c>
      <c r="M17" t="s">
        <v>3381</v>
      </c>
      <c r="N17" t="s">
        <v>3316</v>
      </c>
      <c r="O17" s="15" t="s">
        <v>3371</v>
      </c>
      <c r="R17" s="10"/>
      <c r="S17" t="s">
        <v>3315</v>
      </c>
      <c r="T17" t="str">
        <f t="shared" si="1"/>
        <v>Site maintenance, risk reduction and improvementsNumber of individuals trained / supported to conduct site care and maintenance</v>
      </c>
      <c r="U17" t="s">
        <v>3315</v>
      </c>
      <c r="V17" s="15" t="s">
        <v>3283</v>
      </c>
      <c r="W17" s="10"/>
      <c r="Y17" s="11"/>
      <c r="AB17" s="11"/>
      <c r="AC17" s="6" t="s">
        <v>3178</v>
      </c>
      <c r="AD17" t="s">
        <v>3183</v>
      </c>
      <c r="AE17" t="s">
        <v>2665</v>
      </c>
      <c r="AF17">
        <v>2650581</v>
      </c>
      <c r="AG17" s="11"/>
      <c r="AI17" s="17"/>
      <c r="AJ17" t="s">
        <v>3269</v>
      </c>
      <c r="AK17" t="s">
        <v>3356</v>
      </c>
      <c r="AL17" s="17"/>
      <c r="AN17" s="11"/>
      <c r="AO17" t="s">
        <v>3356</v>
      </c>
      <c r="AP17" t="s">
        <v>3366</v>
      </c>
      <c r="AQ17" s="11"/>
      <c r="AR17" t="s">
        <v>3356</v>
      </c>
      <c r="AS17" t="s">
        <v>3366</v>
      </c>
      <c r="AT17" t="s">
        <v>3314</v>
      </c>
      <c r="AU17" s="15" t="s">
        <v>3372</v>
      </c>
      <c r="AV17" s="11"/>
    </row>
    <row r="18" spans="7:48" x14ac:dyDescent="0.25">
      <c r="G18" s="10"/>
      <c r="H18" s="10"/>
      <c r="I18" t="s">
        <v>3356</v>
      </c>
      <c r="J18" t="s">
        <v>3365</v>
      </c>
      <c r="K18" s="10"/>
      <c r="L18" t="s">
        <v>3356</v>
      </c>
      <c r="M18" t="s">
        <v>3365</v>
      </c>
      <c r="N18" t="s">
        <v>3317</v>
      </c>
      <c r="O18" s="15" t="s">
        <v>3370</v>
      </c>
      <c r="R18" s="10"/>
      <c r="S18" t="s">
        <v>3316</v>
      </c>
      <c r="T18" t="str">
        <f t="shared" si="1"/>
        <v xml:space="preserve">Site maintenance, risk reduction and improvementsNumber of sand/flour bags distributed </v>
      </c>
      <c r="U18" t="s">
        <v>3316</v>
      </c>
      <c r="V18" s="15" t="s">
        <v>3371</v>
      </c>
      <c r="W18" s="10"/>
      <c r="Y18" s="11"/>
      <c r="AB18" s="11"/>
      <c r="AC18" s="6" t="s">
        <v>3178</v>
      </c>
      <c r="AD18" t="s">
        <v>3183</v>
      </c>
      <c r="AE18" t="s">
        <v>163</v>
      </c>
      <c r="AF18">
        <v>2651093</v>
      </c>
      <c r="AG18" s="11"/>
      <c r="AI18" s="17"/>
      <c r="AJ18" t="s">
        <v>3269</v>
      </c>
      <c r="AK18" t="s">
        <v>3356</v>
      </c>
      <c r="AL18" s="17"/>
      <c r="AN18" s="11"/>
      <c r="AO18" t="s">
        <v>3356</v>
      </c>
      <c r="AP18" t="s">
        <v>3367</v>
      </c>
      <c r="AQ18" s="11"/>
      <c r="AR18" t="s">
        <v>3356</v>
      </c>
      <c r="AS18" t="s">
        <v>3367</v>
      </c>
      <c r="AT18" t="s">
        <v>3315</v>
      </c>
      <c r="AU18" s="15" t="s">
        <v>3283</v>
      </c>
      <c r="AV18" s="11"/>
    </row>
    <row r="19" spans="7:48" x14ac:dyDescent="0.25">
      <c r="G19" s="10"/>
      <c r="H19" s="10"/>
      <c r="I19" t="s">
        <v>3356</v>
      </c>
      <c r="J19" t="s">
        <v>3295</v>
      </c>
      <c r="K19" s="10"/>
      <c r="L19" t="s">
        <v>3356</v>
      </c>
      <c r="M19" t="s">
        <v>3295</v>
      </c>
      <c r="N19" t="s">
        <v>3318</v>
      </c>
      <c r="O19" s="15" t="s">
        <v>3283</v>
      </c>
      <c r="R19" s="10"/>
      <c r="S19" t="s">
        <v>3317</v>
      </c>
      <c r="T19" t="str">
        <f t="shared" si="1"/>
        <v>Site maintenance, risk reduction and improvementsNumber of tools distributed for site improvement (count individual tools, not toolkits)</v>
      </c>
      <c r="U19" t="s">
        <v>3317</v>
      </c>
      <c r="V19" s="15" t="s">
        <v>3370</v>
      </c>
      <c r="W19" s="10"/>
      <c r="Y19" s="11"/>
      <c r="AB19" s="11"/>
      <c r="AC19" s="6" t="s">
        <v>3178</v>
      </c>
      <c r="AD19" t="s">
        <v>3183</v>
      </c>
      <c r="AE19" t="s">
        <v>1992</v>
      </c>
      <c r="AF19">
        <v>26506150</v>
      </c>
      <c r="AG19" s="11"/>
      <c r="AI19" s="17"/>
      <c r="AJ19" t="s">
        <v>3269</v>
      </c>
      <c r="AK19" t="s">
        <v>3356</v>
      </c>
      <c r="AL19" s="17"/>
      <c r="AN19" s="11"/>
      <c r="AO19" t="s">
        <v>3356</v>
      </c>
      <c r="AP19" t="s">
        <v>3381</v>
      </c>
      <c r="AQ19" s="11"/>
      <c r="AR19" t="s">
        <v>3356</v>
      </c>
      <c r="AS19" t="s">
        <v>3381</v>
      </c>
      <c r="AT19" t="s">
        <v>3316</v>
      </c>
      <c r="AU19" s="15" t="s">
        <v>3371</v>
      </c>
      <c r="AV19" s="11"/>
    </row>
    <row r="20" spans="7:48" x14ac:dyDescent="0.25">
      <c r="G20" s="10"/>
      <c r="H20" s="10"/>
      <c r="I20" t="s">
        <v>3356</v>
      </c>
      <c r="J20" t="s">
        <v>3364</v>
      </c>
      <c r="K20" s="10"/>
      <c r="L20" t="s">
        <v>3356</v>
      </c>
      <c r="M20" t="s">
        <v>3364</v>
      </c>
      <c r="N20" t="s">
        <v>3373</v>
      </c>
      <c r="O20" s="15" t="s">
        <v>3283</v>
      </c>
      <c r="R20" s="10"/>
      <c r="S20" t="s">
        <v>3318</v>
      </c>
      <c r="T20" t="str">
        <f t="shared" si="1"/>
        <v>Site maintenance, risk reduction and improvementsPeople in displacement sites with improvements made in site planning, facilities and/or infrastructure including (construction/repair/cleaning drainage, slope stabilisation, etc.) either directly or through community led projects</v>
      </c>
      <c r="U20" t="s">
        <v>3318</v>
      </c>
      <c r="V20" s="15" t="s">
        <v>3283</v>
      </c>
      <c r="W20" s="10"/>
      <c r="Y20" s="11"/>
      <c r="AB20" s="11"/>
      <c r="AC20" s="6" t="s">
        <v>3178</v>
      </c>
      <c r="AD20" t="s">
        <v>3183</v>
      </c>
      <c r="AE20" t="s">
        <v>1218</v>
      </c>
      <c r="AF20">
        <v>26507184</v>
      </c>
      <c r="AG20" s="11"/>
      <c r="AI20" s="17"/>
      <c r="AJ20" t="s">
        <v>3269</v>
      </c>
      <c r="AK20" t="s">
        <v>3356</v>
      </c>
      <c r="AL20" s="17"/>
      <c r="AN20" s="11"/>
      <c r="AO20" t="s">
        <v>3356</v>
      </c>
      <c r="AP20" t="s">
        <v>3365</v>
      </c>
      <c r="AQ20" s="11"/>
      <c r="AR20" t="s">
        <v>3356</v>
      </c>
      <c r="AS20" t="s">
        <v>3365</v>
      </c>
      <c r="AT20" t="s">
        <v>3317</v>
      </c>
      <c r="AU20" s="15" t="s">
        <v>3370</v>
      </c>
      <c r="AV20" s="11"/>
    </row>
    <row r="21" spans="7:48" x14ac:dyDescent="0.25">
      <c r="G21" s="10"/>
      <c r="H21" s="10"/>
      <c r="I21" t="s">
        <v>3282</v>
      </c>
      <c r="J21" t="s">
        <v>3298</v>
      </c>
      <c r="K21" s="10"/>
      <c r="L21" t="s">
        <v>3282</v>
      </c>
      <c r="M21" t="s">
        <v>3298</v>
      </c>
      <c r="N21" t="s">
        <v>3319</v>
      </c>
      <c r="O21" s="15" t="s">
        <v>3388</v>
      </c>
      <c r="R21" s="10"/>
      <c r="S21" t="s">
        <v>3373</v>
      </c>
      <c r="T21" t="str">
        <f t="shared" si="1"/>
        <v>Site maintenance, risk reduction and improvementsPeople in sites hired via Cash for Work for site maintenance/improvement</v>
      </c>
      <c r="U21" t="s">
        <v>3373</v>
      </c>
      <c r="V21" s="15" t="s">
        <v>3283</v>
      </c>
      <c r="W21" s="10"/>
      <c r="Y21" s="11"/>
      <c r="AB21" s="11"/>
      <c r="AC21" s="6" t="s">
        <v>3178</v>
      </c>
      <c r="AD21" t="s">
        <v>3183</v>
      </c>
      <c r="AE21" t="s">
        <v>1789</v>
      </c>
      <c r="AF21">
        <v>2651037</v>
      </c>
      <c r="AG21" s="11"/>
      <c r="AI21" s="17"/>
      <c r="AJ21" t="s">
        <v>3269</v>
      </c>
      <c r="AK21" t="s">
        <v>3356</v>
      </c>
      <c r="AL21" s="17"/>
      <c r="AN21" s="11"/>
      <c r="AO21" t="s">
        <v>3356</v>
      </c>
      <c r="AP21" t="s">
        <v>3295</v>
      </c>
      <c r="AQ21" s="11"/>
      <c r="AR21" t="s">
        <v>3356</v>
      </c>
      <c r="AS21" t="s">
        <v>3295</v>
      </c>
      <c r="AT21" t="s">
        <v>3318</v>
      </c>
      <c r="AU21" s="15" t="s">
        <v>3283</v>
      </c>
      <c r="AV21" s="11"/>
    </row>
    <row r="22" spans="7:48" x14ac:dyDescent="0.25">
      <c r="G22" s="10"/>
      <c r="H22" s="10"/>
      <c r="I22" t="s">
        <v>3282</v>
      </c>
      <c r="J22" t="s">
        <v>3390</v>
      </c>
      <c r="K22" s="10"/>
      <c r="L22" t="s">
        <v>3282</v>
      </c>
      <c r="M22" t="s">
        <v>3390</v>
      </c>
      <c r="N22" t="s">
        <v>3384</v>
      </c>
      <c r="O22" s="15" t="s">
        <v>3389</v>
      </c>
      <c r="R22" s="10"/>
      <c r="S22" t="s">
        <v>3319</v>
      </c>
      <c r="T22" t="str">
        <f t="shared" si="1"/>
        <v>Support safe transition of site based populationsIndividuals supported by Site Management projects facilitating transition through access to services. Including area based site management, hubs, and community resource centres.</v>
      </c>
      <c r="U22" t="s">
        <v>3319</v>
      </c>
      <c r="V22" s="15" t="s">
        <v>3388</v>
      </c>
      <c r="W22" s="10"/>
      <c r="Y22" s="11"/>
      <c r="AB22" s="11"/>
      <c r="AC22" s="6" t="s">
        <v>3178</v>
      </c>
      <c r="AD22" t="s">
        <v>3183</v>
      </c>
      <c r="AE22" t="s">
        <v>3216</v>
      </c>
      <c r="AF22">
        <v>2651142</v>
      </c>
      <c r="AG22" s="11"/>
      <c r="AI22" s="17"/>
      <c r="AJ22" t="s">
        <v>3269</v>
      </c>
      <c r="AK22" t="s">
        <v>3356</v>
      </c>
      <c r="AL22" s="17"/>
      <c r="AN22" s="11"/>
      <c r="AO22" t="s">
        <v>3356</v>
      </c>
      <c r="AP22" t="s">
        <v>3364</v>
      </c>
      <c r="AQ22" s="11"/>
      <c r="AR22" t="s">
        <v>3356</v>
      </c>
      <c r="AS22" t="s">
        <v>3364</v>
      </c>
      <c r="AT22" t="s">
        <v>3373</v>
      </c>
      <c r="AU22" s="15" t="s">
        <v>3283</v>
      </c>
      <c r="AV22" s="11"/>
    </row>
    <row r="23" spans="7:48" x14ac:dyDescent="0.25">
      <c r="G23" s="10"/>
      <c r="H23" s="10"/>
      <c r="I23" t="s">
        <v>3277</v>
      </c>
      <c r="J23" t="s">
        <v>3363</v>
      </c>
      <c r="K23" s="10"/>
      <c r="L23" t="s">
        <v>3277</v>
      </c>
      <c r="M23" t="s">
        <v>3363</v>
      </c>
      <c r="N23" t="s">
        <v>3385</v>
      </c>
      <c r="O23" s="15" t="s">
        <v>3353</v>
      </c>
      <c r="R23" s="10"/>
      <c r="S23" t="s">
        <v>3384</v>
      </c>
      <c r="T23" t="str">
        <f t="shared" si="1"/>
        <v>Support safe transition of site based populationsSite Management projects facilitating transition through access to services. Including area based site management, hubs, and community resource centres.</v>
      </c>
      <c r="U23" t="s">
        <v>3384</v>
      </c>
      <c r="V23" s="15" t="s">
        <v>3389</v>
      </c>
      <c r="W23" s="10"/>
      <c r="Y23" s="11"/>
      <c r="AB23" s="11"/>
      <c r="AC23" s="6" t="s">
        <v>3178</v>
      </c>
      <c r="AD23" t="s">
        <v>3183</v>
      </c>
      <c r="AE23" t="s">
        <v>154</v>
      </c>
      <c r="AF23">
        <v>26501147</v>
      </c>
      <c r="AG23" s="11"/>
      <c r="AI23" s="17"/>
      <c r="AJ23" t="s">
        <v>3335</v>
      </c>
      <c r="AK23" t="s">
        <v>3282</v>
      </c>
      <c r="AL23" s="17"/>
      <c r="AN23" s="11"/>
      <c r="AO23" t="s">
        <v>3282</v>
      </c>
      <c r="AP23" t="s">
        <v>3298</v>
      </c>
      <c r="AQ23" s="11"/>
      <c r="AR23" t="s">
        <v>3282</v>
      </c>
      <c r="AS23" t="s">
        <v>3298</v>
      </c>
      <c r="AT23" t="s">
        <v>3319</v>
      </c>
      <c r="AU23" s="15" t="s">
        <v>3388</v>
      </c>
      <c r="AV23" s="11"/>
    </row>
    <row r="24" spans="7:48" x14ac:dyDescent="0.25">
      <c r="G24" s="10"/>
      <c r="H24" s="10"/>
      <c r="I24" t="s">
        <v>3277</v>
      </c>
      <c r="J24" t="s">
        <v>3362</v>
      </c>
      <c r="K24" s="10"/>
      <c r="L24" t="s">
        <v>3277</v>
      </c>
      <c r="M24" t="s">
        <v>3362</v>
      </c>
      <c r="N24" t="s">
        <v>3386</v>
      </c>
      <c r="O24" s="10" t="s">
        <v>3285</v>
      </c>
      <c r="R24" s="10"/>
      <c r="S24" t="s">
        <v>3385</v>
      </c>
      <c r="T24" t="str">
        <f t="shared" si="1"/>
        <v>Training provided to community representation structuresNumber of individuals who have recieved training in community representation structures</v>
      </c>
      <c r="U24" t="s">
        <v>3385</v>
      </c>
      <c r="V24" s="15" t="s">
        <v>3353</v>
      </c>
      <c r="W24" s="10"/>
      <c r="Y24" s="11"/>
      <c r="AB24" s="11"/>
      <c r="AC24" s="6" t="s">
        <v>3178</v>
      </c>
      <c r="AD24" t="s">
        <v>3183</v>
      </c>
      <c r="AE24" t="s">
        <v>3219</v>
      </c>
      <c r="AF24">
        <v>26502183</v>
      </c>
      <c r="AG24" s="11"/>
      <c r="AI24" s="17"/>
      <c r="AJ24" t="s">
        <v>3335</v>
      </c>
      <c r="AK24" t="s">
        <v>3282</v>
      </c>
      <c r="AL24" s="17"/>
      <c r="AN24" s="11"/>
      <c r="AO24" t="s">
        <v>3282</v>
      </c>
      <c r="AP24" t="s">
        <v>3390</v>
      </c>
      <c r="AQ24" s="11"/>
      <c r="AR24" t="s">
        <v>3282</v>
      </c>
      <c r="AS24" t="s">
        <v>3390</v>
      </c>
      <c r="AT24" t="s">
        <v>3384</v>
      </c>
      <c r="AU24" s="15" t="s">
        <v>3389</v>
      </c>
      <c r="AV24" s="11"/>
    </row>
    <row r="25" spans="7:48" x14ac:dyDescent="0.25">
      <c r="G25" s="10"/>
      <c r="H25" s="10"/>
      <c r="I25" t="s">
        <v>3355</v>
      </c>
      <c r="J25" t="s">
        <v>3294</v>
      </c>
      <c r="K25" s="10"/>
      <c r="L25" t="s">
        <v>3355</v>
      </c>
      <c r="M25" t="s">
        <v>3294</v>
      </c>
      <c r="N25" t="s">
        <v>3387</v>
      </c>
      <c r="O25" s="10" t="s">
        <v>3283</v>
      </c>
      <c r="R25" s="10"/>
      <c r="S25" t="s">
        <v>3386</v>
      </c>
      <c r="T25" t="str">
        <f t="shared" si="1"/>
        <v>Training provided to community representation structuresTrainings provided to community representation structures</v>
      </c>
      <c r="U25" t="s">
        <v>3386</v>
      </c>
      <c r="V25" s="10" t="s">
        <v>3285</v>
      </c>
      <c r="W25" s="10"/>
      <c r="Y25" s="11"/>
      <c r="AB25" s="11"/>
      <c r="AC25" s="6" t="s">
        <v>3178</v>
      </c>
      <c r="AD25" t="s">
        <v>3183</v>
      </c>
      <c r="AE25" t="s">
        <v>1983</v>
      </c>
      <c r="AF25">
        <v>2650582</v>
      </c>
      <c r="AG25" s="11"/>
      <c r="AI25" s="17"/>
      <c r="AJ25" t="s">
        <v>3336</v>
      </c>
      <c r="AK25" t="s">
        <v>3277</v>
      </c>
      <c r="AL25" s="17"/>
      <c r="AN25" s="11"/>
      <c r="AO25" t="s">
        <v>3277</v>
      </c>
      <c r="AP25" t="s">
        <v>3363</v>
      </c>
      <c r="AQ25" s="11"/>
      <c r="AR25" t="s">
        <v>3277</v>
      </c>
      <c r="AS25" t="s">
        <v>3363</v>
      </c>
      <c r="AT25" t="s">
        <v>3385</v>
      </c>
      <c r="AU25" s="15" t="s">
        <v>3353</v>
      </c>
      <c r="AV25" s="11"/>
    </row>
    <row r="26" spans="7:48" x14ac:dyDescent="0.25">
      <c r="G26" s="10"/>
      <c r="H26" s="10"/>
      <c r="I26" t="s">
        <v>3281</v>
      </c>
      <c r="J26" t="s">
        <v>3297</v>
      </c>
      <c r="K26" s="10"/>
      <c r="L26" t="s">
        <v>3281</v>
      </c>
      <c r="M26" t="s">
        <v>3297</v>
      </c>
      <c r="N26" t="s">
        <v>3391</v>
      </c>
      <c r="O26" s="10" t="s">
        <v>3287</v>
      </c>
      <c r="R26" s="10"/>
      <c r="S26" t="s">
        <v>3387</v>
      </c>
      <c r="T26" t="str">
        <f t="shared" si="1"/>
        <v>Training provided to SMA, CBO, and other stakeholdersIndividuals received training in Site Management, including SMA and CBO staff and volunteers, and other stakeholders.</v>
      </c>
      <c r="U26" t="s">
        <v>3387</v>
      </c>
      <c r="V26" s="10" t="s">
        <v>3283</v>
      </c>
      <c r="W26" s="10"/>
      <c r="Y26" s="11"/>
      <c r="AB26" s="11"/>
      <c r="AC26" s="6" t="s">
        <v>3178</v>
      </c>
      <c r="AD26" t="s">
        <v>3183</v>
      </c>
      <c r="AE26" t="s">
        <v>568</v>
      </c>
      <c r="AF26">
        <v>2650596</v>
      </c>
      <c r="AG26" s="11"/>
      <c r="AI26" s="17"/>
      <c r="AJ26" t="s">
        <v>3336</v>
      </c>
      <c r="AK26" t="s">
        <v>3277</v>
      </c>
      <c r="AL26" s="17"/>
      <c r="AN26" s="11"/>
      <c r="AO26" t="s">
        <v>3277</v>
      </c>
      <c r="AP26" t="s">
        <v>3362</v>
      </c>
      <c r="AQ26" s="11"/>
      <c r="AR26" t="s">
        <v>3277</v>
      </c>
      <c r="AS26" t="s">
        <v>3362</v>
      </c>
      <c r="AT26" t="s">
        <v>3386</v>
      </c>
      <c r="AU26" s="10" t="s">
        <v>3285</v>
      </c>
      <c r="AV26" s="11"/>
    </row>
    <row r="27" spans="7:48" x14ac:dyDescent="0.25">
      <c r="G27" s="10"/>
      <c r="H27" s="10"/>
      <c r="R27" s="10"/>
      <c r="S27" t="s">
        <v>3391</v>
      </c>
      <c r="T27" t="str">
        <f t="shared" si="1"/>
        <v>Undertake intentions and perceptions surveysIntentions or perceptions surveys conducted</v>
      </c>
      <c r="U27" t="s">
        <v>3391</v>
      </c>
      <c r="V27" s="10" t="s">
        <v>3287</v>
      </c>
      <c r="W27" s="10"/>
      <c r="Y27" s="11"/>
      <c r="AB27" s="11"/>
      <c r="AC27" s="6" t="s">
        <v>3178</v>
      </c>
      <c r="AD27" t="s">
        <v>3183</v>
      </c>
      <c r="AE27" t="s">
        <v>97</v>
      </c>
      <c r="AF27">
        <v>2650575</v>
      </c>
      <c r="AG27" s="11"/>
      <c r="AI27" s="17"/>
      <c r="AJ27" t="s">
        <v>3337</v>
      </c>
      <c r="AK27" t="s">
        <v>3355</v>
      </c>
      <c r="AL27" s="17"/>
      <c r="AN27" s="11"/>
      <c r="AO27" t="s">
        <v>3355</v>
      </c>
      <c r="AP27" t="s">
        <v>3294</v>
      </c>
      <c r="AQ27" s="11"/>
      <c r="AR27" t="s">
        <v>3355</v>
      </c>
      <c r="AS27" t="s">
        <v>3294</v>
      </c>
      <c r="AT27" t="s">
        <v>3387</v>
      </c>
      <c r="AU27" s="10" t="s">
        <v>3283</v>
      </c>
      <c r="AV27" s="11"/>
    </row>
    <row r="28" spans="7:48" x14ac:dyDescent="0.25">
      <c r="G28" s="10"/>
      <c r="H28" s="10"/>
      <c r="W28" s="10"/>
      <c r="Y28" s="11"/>
      <c r="AB28" s="11"/>
      <c r="AC28" s="6" t="s">
        <v>3178</v>
      </c>
      <c r="AD28" t="s">
        <v>3183</v>
      </c>
      <c r="AE28" t="s">
        <v>97</v>
      </c>
      <c r="AF28">
        <v>2650595</v>
      </c>
      <c r="AG28" s="11"/>
      <c r="AI28" s="17"/>
      <c r="AJ28" t="s">
        <v>3335</v>
      </c>
      <c r="AK28" t="s">
        <v>3281</v>
      </c>
      <c r="AL28" s="17"/>
      <c r="AN28" s="11"/>
      <c r="AO28" t="s">
        <v>3281</v>
      </c>
      <c r="AP28" t="s">
        <v>3297</v>
      </c>
      <c r="AQ28" s="11"/>
      <c r="AR28" t="s">
        <v>3281</v>
      </c>
      <c r="AS28" t="s">
        <v>3297</v>
      </c>
      <c r="AT28" t="s">
        <v>3391</v>
      </c>
      <c r="AU28" s="10" t="s">
        <v>3287</v>
      </c>
      <c r="AV28" s="11"/>
    </row>
    <row r="29" spans="7:48" x14ac:dyDescent="0.25">
      <c r="AB29" s="11"/>
      <c r="AC29" t="s">
        <v>3178</v>
      </c>
      <c r="AD29" t="s">
        <v>3183</v>
      </c>
      <c r="AE29" t="s">
        <v>3223</v>
      </c>
      <c r="AF29">
        <v>2650885</v>
      </c>
      <c r="AG29" s="11"/>
    </row>
    <row r="30" spans="7:48" x14ac:dyDescent="0.25">
      <c r="AB30" s="11"/>
      <c r="AC30" t="s">
        <v>3178</v>
      </c>
      <c r="AD30" t="s">
        <v>3183</v>
      </c>
      <c r="AE30" t="s">
        <v>358</v>
      </c>
      <c r="AF30">
        <v>2650577</v>
      </c>
      <c r="AG30" s="11"/>
    </row>
    <row r="31" spans="7:48" x14ac:dyDescent="0.25">
      <c r="AB31" s="11"/>
      <c r="AC31" t="s">
        <v>3178</v>
      </c>
      <c r="AD31" t="s">
        <v>3183</v>
      </c>
      <c r="AE31" t="s">
        <v>510</v>
      </c>
      <c r="AF31">
        <v>2650578</v>
      </c>
      <c r="AG31" s="11"/>
    </row>
    <row r="32" spans="7:48" x14ac:dyDescent="0.25">
      <c r="AB32" s="11"/>
      <c r="AC32" t="s">
        <v>3178</v>
      </c>
      <c r="AD32" t="s">
        <v>3183</v>
      </c>
      <c r="AE32" t="s">
        <v>118</v>
      </c>
      <c r="AF32">
        <v>2651092</v>
      </c>
      <c r="AG32" s="11"/>
    </row>
    <row r="33" spans="28:33" x14ac:dyDescent="0.25">
      <c r="AB33" s="11"/>
      <c r="AC33" t="s">
        <v>3178</v>
      </c>
      <c r="AD33" t="s">
        <v>3183</v>
      </c>
      <c r="AE33" t="s">
        <v>504</v>
      </c>
      <c r="AF33">
        <v>2650576</v>
      </c>
      <c r="AG33" s="11"/>
    </row>
    <row r="34" spans="28:33" x14ac:dyDescent="0.25">
      <c r="AB34" s="11"/>
      <c r="AC34" t="s">
        <v>3178</v>
      </c>
      <c r="AD34" t="s">
        <v>3183</v>
      </c>
      <c r="AE34" t="s">
        <v>1698</v>
      </c>
      <c r="AF34">
        <v>2650580</v>
      </c>
      <c r="AG34" s="11"/>
    </row>
    <row r="35" spans="28:33" x14ac:dyDescent="0.25">
      <c r="AB35" s="11"/>
      <c r="AC35" t="s">
        <v>3178</v>
      </c>
      <c r="AD35" t="s">
        <v>3183</v>
      </c>
      <c r="AE35" t="s">
        <v>3227</v>
      </c>
      <c r="AF35">
        <v>2650887</v>
      </c>
      <c r="AG35" s="11"/>
    </row>
    <row r="36" spans="28:33" x14ac:dyDescent="0.25">
      <c r="AB36" s="11"/>
      <c r="AC36" t="s">
        <v>3178</v>
      </c>
      <c r="AD36" t="s">
        <v>3183</v>
      </c>
      <c r="AE36" t="s">
        <v>3235</v>
      </c>
      <c r="AF36">
        <v>26505193</v>
      </c>
      <c r="AG36" s="11"/>
    </row>
    <row r="37" spans="28:33" x14ac:dyDescent="0.25">
      <c r="AB37" s="11"/>
      <c r="AC37" t="s">
        <v>3178</v>
      </c>
      <c r="AD37" t="s">
        <v>3183</v>
      </c>
      <c r="AE37" t="s">
        <v>1724</v>
      </c>
      <c r="AF37">
        <v>26510151</v>
      </c>
      <c r="AG37" s="11"/>
    </row>
    <row r="38" spans="28:33" x14ac:dyDescent="0.25">
      <c r="AB38" s="11"/>
      <c r="AC38" t="s">
        <v>3178</v>
      </c>
      <c r="AD38" t="s">
        <v>3183</v>
      </c>
      <c r="AE38" t="s">
        <v>349</v>
      </c>
      <c r="AF38">
        <v>26510152</v>
      </c>
      <c r="AG38" s="11"/>
    </row>
    <row r="39" spans="28:33" x14ac:dyDescent="0.25">
      <c r="AB39" s="11"/>
      <c r="AC39" t="s">
        <v>3178</v>
      </c>
      <c r="AD39" t="s">
        <v>3183</v>
      </c>
      <c r="AE39" t="s">
        <v>1273</v>
      </c>
      <c r="AF39">
        <v>26509185</v>
      </c>
      <c r="AG39" s="11"/>
    </row>
    <row r="40" spans="28:33" x14ac:dyDescent="0.25">
      <c r="AB40" s="11"/>
      <c r="AC40" t="s">
        <v>3178</v>
      </c>
      <c r="AD40" t="s">
        <v>3183</v>
      </c>
      <c r="AE40" t="s">
        <v>1702</v>
      </c>
      <c r="AF40">
        <v>2651041</v>
      </c>
      <c r="AG40" s="11"/>
    </row>
    <row r="41" spans="28:33" x14ac:dyDescent="0.25">
      <c r="AB41" s="11"/>
      <c r="AC41" t="s">
        <v>3178</v>
      </c>
      <c r="AD41" t="s">
        <v>3183</v>
      </c>
      <c r="AE41" t="s">
        <v>2557</v>
      </c>
      <c r="AF41">
        <v>2650584</v>
      </c>
      <c r="AG41" s="11"/>
    </row>
    <row r="42" spans="28:33" x14ac:dyDescent="0.25">
      <c r="AB42" s="11"/>
      <c r="AC42" t="s">
        <v>3178</v>
      </c>
      <c r="AD42" t="s">
        <v>3183</v>
      </c>
      <c r="AE42" t="s">
        <v>3256</v>
      </c>
      <c r="AF42">
        <v>2651139</v>
      </c>
      <c r="AG42" s="11"/>
    </row>
    <row r="43" spans="28:33" x14ac:dyDescent="0.25">
      <c r="AB43" s="11"/>
      <c r="AC43" t="s">
        <v>3178</v>
      </c>
      <c r="AD43" t="s">
        <v>3183</v>
      </c>
      <c r="AE43" t="s">
        <v>2754</v>
      </c>
      <c r="AF43">
        <v>2651140</v>
      </c>
      <c r="AG43" s="11"/>
    </row>
    <row r="44" spans="28:33" x14ac:dyDescent="0.25">
      <c r="AB44" s="11"/>
      <c r="AC44" t="s">
        <v>3178</v>
      </c>
      <c r="AD44" t="s">
        <v>3183</v>
      </c>
      <c r="AE44" t="s">
        <v>3258</v>
      </c>
      <c r="AF44">
        <v>2651145</v>
      </c>
      <c r="AG44" s="11"/>
    </row>
    <row r="45" spans="28:33" x14ac:dyDescent="0.25">
      <c r="AB45" s="11"/>
      <c r="AC45" t="s">
        <v>3178</v>
      </c>
      <c r="AD45" t="s">
        <v>3183</v>
      </c>
      <c r="AE45" t="s">
        <v>1212</v>
      </c>
      <c r="AF45">
        <v>2650597</v>
      </c>
      <c r="AG45" s="11"/>
    </row>
    <row r="46" spans="28:33" x14ac:dyDescent="0.25">
      <c r="AB46" s="11"/>
      <c r="AC46" t="s">
        <v>3178</v>
      </c>
      <c r="AD46" t="s">
        <v>3183</v>
      </c>
      <c r="AE46" t="s">
        <v>974</v>
      </c>
      <c r="AF46">
        <v>2651089</v>
      </c>
      <c r="AG46" s="11"/>
    </row>
    <row r="47" spans="28:33" x14ac:dyDescent="0.25">
      <c r="AB47" s="11"/>
      <c r="AC47" s="6" t="s">
        <v>3179</v>
      </c>
      <c r="AD47" t="s">
        <v>59</v>
      </c>
      <c r="AE47" t="s">
        <v>3190</v>
      </c>
      <c r="AF47">
        <v>2600467</v>
      </c>
      <c r="AG47" s="11"/>
    </row>
    <row r="48" spans="28:33" x14ac:dyDescent="0.25">
      <c r="AB48" s="11"/>
      <c r="AC48" s="6" t="s">
        <v>3179</v>
      </c>
      <c r="AD48" t="s">
        <v>59</v>
      </c>
      <c r="AE48" t="s">
        <v>324</v>
      </c>
      <c r="AF48">
        <v>2600120</v>
      </c>
      <c r="AG48" s="11"/>
    </row>
    <row r="49" spans="28:33" x14ac:dyDescent="0.25">
      <c r="AB49" s="11"/>
      <c r="AC49" s="6" t="s">
        <v>3179</v>
      </c>
      <c r="AD49" t="s">
        <v>59</v>
      </c>
      <c r="AE49" t="s">
        <v>3206</v>
      </c>
      <c r="AF49">
        <v>2600473</v>
      </c>
      <c r="AG49" s="11"/>
    </row>
    <row r="50" spans="28:33" x14ac:dyDescent="0.25">
      <c r="AB50" s="11"/>
      <c r="AC50" s="6" t="s">
        <v>3179</v>
      </c>
      <c r="AD50" t="s">
        <v>59</v>
      </c>
      <c r="AE50" t="s">
        <v>3208</v>
      </c>
      <c r="AF50">
        <v>2600465</v>
      </c>
      <c r="AG50" s="11"/>
    </row>
    <row r="51" spans="28:33" x14ac:dyDescent="0.25">
      <c r="AB51" s="11"/>
      <c r="AC51" s="6" t="s">
        <v>3179</v>
      </c>
      <c r="AD51" t="s">
        <v>59</v>
      </c>
      <c r="AE51" t="s">
        <v>3210</v>
      </c>
      <c r="AF51">
        <v>2600470</v>
      </c>
      <c r="AG51" s="11"/>
    </row>
    <row r="52" spans="28:33" x14ac:dyDescent="0.25">
      <c r="AB52" s="11"/>
      <c r="AC52" s="6" t="s">
        <v>3179</v>
      </c>
      <c r="AD52" t="s">
        <v>59</v>
      </c>
      <c r="AE52" t="s">
        <v>3212</v>
      </c>
      <c r="AF52">
        <v>2600571</v>
      </c>
      <c r="AG52" s="11"/>
    </row>
    <row r="53" spans="28:33" ht="15.75" x14ac:dyDescent="0.25">
      <c r="AB53" s="11"/>
      <c r="AC53" s="6" t="s">
        <v>3179</v>
      </c>
      <c r="AD53" t="s">
        <v>59</v>
      </c>
      <c r="AE53" s="12" t="s">
        <v>114</v>
      </c>
      <c r="AF53">
        <v>2600123</v>
      </c>
      <c r="AG53" s="11"/>
    </row>
    <row r="54" spans="28:33" x14ac:dyDescent="0.25">
      <c r="AB54" s="11"/>
      <c r="AC54" s="6" t="s">
        <v>3179</v>
      </c>
      <c r="AD54" t="s">
        <v>59</v>
      </c>
      <c r="AE54" t="s">
        <v>3221</v>
      </c>
      <c r="AF54">
        <v>2600469</v>
      </c>
      <c r="AG54" s="11"/>
    </row>
    <row r="55" spans="28:33" x14ac:dyDescent="0.25">
      <c r="AB55" s="11"/>
      <c r="AC55" t="s">
        <v>3179</v>
      </c>
      <c r="AD55" t="s">
        <v>59</v>
      </c>
      <c r="AE55" t="s">
        <v>87</v>
      </c>
      <c r="AF55">
        <v>2600114</v>
      </c>
      <c r="AG55" s="11"/>
    </row>
    <row r="56" spans="28:33" x14ac:dyDescent="0.25">
      <c r="AB56" s="11"/>
      <c r="AC56" t="s">
        <v>3179</v>
      </c>
      <c r="AD56" t="s">
        <v>59</v>
      </c>
      <c r="AE56" t="s">
        <v>3224</v>
      </c>
      <c r="AF56">
        <v>2600474</v>
      </c>
      <c r="AG56" s="11"/>
    </row>
    <row r="57" spans="28:33" x14ac:dyDescent="0.25">
      <c r="AB57" s="11"/>
      <c r="AC57" t="s">
        <v>3179</v>
      </c>
      <c r="AD57" t="s">
        <v>59</v>
      </c>
      <c r="AE57" t="s">
        <v>1305</v>
      </c>
      <c r="AF57">
        <v>26002181</v>
      </c>
      <c r="AG57" s="11"/>
    </row>
    <row r="58" spans="28:33" x14ac:dyDescent="0.25">
      <c r="AB58" s="11"/>
      <c r="AC58" t="s">
        <v>3179</v>
      </c>
      <c r="AD58" t="s">
        <v>59</v>
      </c>
      <c r="AE58" t="s">
        <v>426</v>
      </c>
      <c r="AF58">
        <v>2600112</v>
      </c>
      <c r="AG58" s="11"/>
    </row>
    <row r="59" spans="28:33" x14ac:dyDescent="0.25">
      <c r="AB59" s="11"/>
      <c r="AC59" t="s">
        <v>3179</v>
      </c>
      <c r="AD59" t="s">
        <v>59</v>
      </c>
      <c r="AE59" t="s">
        <v>695</v>
      </c>
      <c r="AF59">
        <v>2600116</v>
      </c>
      <c r="AG59" s="11"/>
    </row>
    <row r="60" spans="28:33" x14ac:dyDescent="0.25">
      <c r="AB60" s="11"/>
      <c r="AC60" t="s">
        <v>3179</v>
      </c>
      <c r="AD60" t="s">
        <v>59</v>
      </c>
      <c r="AE60" t="s">
        <v>1689</v>
      </c>
      <c r="AF60">
        <v>2600121</v>
      </c>
      <c r="AG60" s="11"/>
    </row>
    <row r="61" spans="28:33" x14ac:dyDescent="0.25">
      <c r="AB61" s="11"/>
      <c r="AC61" t="s">
        <v>3179</v>
      </c>
      <c r="AD61" t="s">
        <v>59</v>
      </c>
      <c r="AE61" t="s">
        <v>3231</v>
      </c>
      <c r="AF61">
        <v>2600466</v>
      </c>
      <c r="AG61" s="11"/>
    </row>
    <row r="62" spans="28:33" x14ac:dyDescent="0.25">
      <c r="AB62" s="11"/>
      <c r="AC62" t="s">
        <v>3179</v>
      </c>
      <c r="AD62" t="s">
        <v>59</v>
      </c>
      <c r="AE62" t="s">
        <v>397</v>
      </c>
      <c r="AF62">
        <v>2600124</v>
      </c>
      <c r="AG62" s="11"/>
    </row>
    <row r="63" spans="28:33" x14ac:dyDescent="0.25">
      <c r="AB63" s="11"/>
      <c r="AC63" t="s">
        <v>3179</v>
      </c>
      <c r="AD63" t="s">
        <v>59</v>
      </c>
      <c r="AE63" t="s">
        <v>3232</v>
      </c>
      <c r="AF63">
        <v>2600117</v>
      </c>
      <c r="AG63" s="11"/>
    </row>
    <row r="64" spans="28:33" x14ac:dyDescent="0.25">
      <c r="AB64" s="11"/>
      <c r="AC64" t="s">
        <v>3179</v>
      </c>
      <c r="AD64" t="s">
        <v>59</v>
      </c>
      <c r="AE64" t="s">
        <v>1325</v>
      </c>
      <c r="AF64">
        <v>26001128</v>
      </c>
      <c r="AG64" s="11"/>
    </row>
    <row r="65" spans="28:33" x14ac:dyDescent="0.25">
      <c r="AB65" s="11"/>
      <c r="AC65" t="s">
        <v>3179</v>
      </c>
      <c r="AD65" t="s">
        <v>59</v>
      </c>
      <c r="AE65" t="s">
        <v>3233</v>
      </c>
      <c r="AF65">
        <v>2600372</v>
      </c>
      <c r="AG65" s="11"/>
    </row>
    <row r="66" spans="28:33" x14ac:dyDescent="0.25">
      <c r="AB66" s="11"/>
      <c r="AC66" t="s">
        <v>3179</v>
      </c>
      <c r="AD66" t="s">
        <v>59</v>
      </c>
      <c r="AE66" t="s">
        <v>3234</v>
      </c>
      <c r="AF66">
        <v>26001145</v>
      </c>
      <c r="AG66" s="11"/>
    </row>
    <row r="67" spans="28:33" x14ac:dyDescent="0.25">
      <c r="AB67" s="11"/>
      <c r="AC67" t="s">
        <v>3179</v>
      </c>
      <c r="AD67" t="s">
        <v>59</v>
      </c>
      <c r="AE67" t="s">
        <v>335</v>
      </c>
      <c r="AF67">
        <v>2600122</v>
      </c>
      <c r="AG67" s="11"/>
    </row>
    <row r="68" spans="28:33" x14ac:dyDescent="0.25">
      <c r="AB68" s="11"/>
      <c r="AC68" t="s">
        <v>3179</v>
      </c>
      <c r="AD68" t="s">
        <v>59</v>
      </c>
      <c r="AE68" t="s">
        <v>3237</v>
      </c>
      <c r="AF68">
        <v>2600468</v>
      </c>
      <c r="AG68" s="11"/>
    </row>
    <row r="69" spans="28:33" x14ac:dyDescent="0.25">
      <c r="AB69" s="11"/>
      <c r="AC69" t="s">
        <v>3179</v>
      </c>
      <c r="AD69" t="s">
        <v>59</v>
      </c>
      <c r="AE69" t="s">
        <v>1091</v>
      </c>
      <c r="AF69">
        <v>2600115</v>
      </c>
      <c r="AG69" s="11"/>
    </row>
    <row r="70" spans="28:33" x14ac:dyDescent="0.25">
      <c r="AB70" s="11"/>
      <c r="AC70" t="s">
        <v>3179</v>
      </c>
      <c r="AD70" t="s">
        <v>59</v>
      </c>
      <c r="AE70" t="s">
        <v>3241</v>
      </c>
      <c r="AF70">
        <v>2600111</v>
      </c>
      <c r="AG70" s="11"/>
    </row>
    <row r="71" spans="28:33" x14ac:dyDescent="0.25">
      <c r="AB71" s="11"/>
      <c r="AC71" t="s">
        <v>3179</v>
      </c>
      <c r="AD71" t="s">
        <v>59</v>
      </c>
      <c r="AE71" t="s">
        <v>3246</v>
      </c>
      <c r="AF71">
        <v>26001146</v>
      </c>
      <c r="AG71" s="11"/>
    </row>
    <row r="72" spans="28:33" x14ac:dyDescent="0.25">
      <c r="AB72" s="11"/>
      <c r="AC72" t="s">
        <v>3179</v>
      </c>
      <c r="AD72" t="s">
        <v>59</v>
      </c>
      <c r="AE72" t="s">
        <v>67</v>
      </c>
      <c r="AF72">
        <v>2600118</v>
      </c>
      <c r="AG72" s="11"/>
    </row>
    <row r="73" spans="28:33" x14ac:dyDescent="0.25">
      <c r="AB73" s="11"/>
      <c r="AC73" t="s">
        <v>3179</v>
      </c>
      <c r="AD73" t="s">
        <v>59</v>
      </c>
      <c r="AE73" t="s">
        <v>60</v>
      </c>
      <c r="AF73">
        <v>2600119</v>
      </c>
      <c r="AG73" s="11"/>
    </row>
    <row r="74" spans="28:33" x14ac:dyDescent="0.25">
      <c r="AB74" s="11"/>
      <c r="AC74" t="s">
        <v>3179</v>
      </c>
      <c r="AD74" t="s">
        <v>59</v>
      </c>
      <c r="AE74" t="s">
        <v>342</v>
      </c>
      <c r="AF74">
        <v>2600113</v>
      </c>
      <c r="AG74" s="11"/>
    </row>
    <row r="75" spans="28:33" x14ac:dyDescent="0.25">
      <c r="AB75" s="11"/>
      <c r="AC75" s="6" t="s">
        <v>3176</v>
      </c>
      <c r="AD75" t="s">
        <v>3182</v>
      </c>
      <c r="AE75" t="s">
        <v>3185</v>
      </c>
      <c r="AF75">
        <v>27005186</v>
      </c>
      <c r="AG75" s="11"/>
    </row>
    <row r="76" spans="28:33" x14ac:dyDescent="0.25">
      <c r="AB76" s="11"/>
      <c r="AC76" s="6" t="s">
        <v>3176</v>
      </c>
      <c r="AD76" t="s">
        <v>3182</v>
      </c>
      <c r="AE76" t="s">
        <v>587</v>
      </c>
      <c r="AF76">
        <v>27006168</v>
      </c>
      <c r="AG76" s="11"/>
    </row>
    <row r="77" spans="28:33" x14ac:dyDescent="0.25">
      <c r="AB77" s="11"/>
      <c r="AC77" s="6" t="s">
        <v>3176</v>
      </c>
      <c r="AD77" t="s">
        <v>3182</v>
      </c>
      <c r="AE77" t="s">
        <v>3187</v>
      </c>
      <c r="AF77">
        <v>2700754</v>
      </c>
      <c r="AG77" s="11"/>
    </row>
    <row r="78" spans="28:33" x14ac:dyDescent="0.25">
      <c r="AB78" s="11"/>
      <c r="AC78" s="6" t="s">
        <v>3176</v>
      </c>
      <c r="AD78" t="s">
        <v>3182</v>
      </c>
      <c r="AE78" t="s">
        <v>3188</v>
      </c>
      <c r="AF78">
        <v>2700760</v>
      </c>
      <c r="AG78" s="11"/>
    </row>
    <row r="79" spans="28:33" x14ac:dyDescent="0.25">
      <c r="AB79" s="11"/>
      <c r="AC79" s="6" t="s">
        <v>3176</v>
      </c>
      <c r="AD79" t="s">
        <v>3182</v>
      </c>
      <c r="AE79" t="s">
        <v>3192</v>
      </c>
      <c r="AF79">
        <v>2700763</v>
      </c>
      <c r="AG79" s="11"/>
    </row>
    <row r="80" spans="28:33" x14ac:dyDescent="0.25">
      <c r="AB80" s="11"/>
      <c r="AC80" s="6" t="s">
        <v>3176</v>
      </c>
      <c r="AD80" t="s">
        <v>3182</v>
      </c>
      <c r="AE80" t="s">
        <v>325</v>
      </c>
      <c r="AF80">
        <v>27002104</v>
      </c>
      <c r="AG80" s="11"/>
    </row>
    <row r="81" spans="28:33" x14ac:dyDescent="0.25">
      <c r="AB81" s="11"/>
      <c r="AC81" s="6" t="s">
        <v>3176</v>
      </c>
      <c r="AD81" t="s">
        <v>3182</v>
      </c>
      <c r="AE81" t="s">
        <v>3198</v>
      </c>
      <c r="AF81">
        <v>27008163</v>
      </c>
      <c r="AG81" s="11"/>
    </row>
    <row r="82" spans="28:33" x14ac:dyDescent="0.25">
      <c r="AB82" s="11"/>
      <c r="AC82" s="6" t="s">
        <v>3176</v>
      </c>
      <c r="AD82" t="s">
        <v>3182</v>
      </c>
      <c r="AE82" t="s">
        <v>3200</v>
      </c>
      <c r="AF82">
        <v>2700753</v>
      </c>
      <c r="AG82" s="11"/>
    </row>
    <row r="83" spans="28:33" x14ac:dyDescent="0.25">
      <c r="AB83" s="11"/>
      <c r="AC83" s="6" t="s">
        <v>3176</v>
      </c>
      <c r="AD83" t="s">
        <v>3182</v>
      </c>
      <c r="AE83" t="s">
        <v>3201</v>
      </c>
      <c r="AF83">
        <v>27008188</v>
      </c>
      <c r="AG83" s="11"/>
    </row>
    <row r="84" spans="28:33" x14ac:dyDescent="0.25">
      <c r="AB84" s="11"/>
      <c r="AC84" s="6" t="s">
        <v>3176</v>
      </c>
      <c r="AD84" t="s">
        <v>3182</v>
      </c>
      <c r="AE84" t="s">
        <v>3202</v>
      </c>
      <c r="AF84">
        <v>27008164</v>
      </c>
      <c r="AG84" s="11"/>
    </row>
    <row r="85" spans="28:33" x14ac:dyDescent="0.25">
      <c r="AB85" s="11"/>
      <c r="AC85" s="6" t="s">
        <v>3176</v>
      </c>
      <c r="AD85" t="s">
        <v>3182</v>
      </c>
      <c r="AE85" t="s">
        <v>3203</v>
      </c>
      <c r="AF85">
        <v>27008165</v>
      </c>
      <c r="AG85" s="11"/>
    </row>
    <row r="86" spans="28:33" x14ac:dyDescent="0.25">
      <c r="AB86" s="11"/>
      <c r="AC86" s="6" t="s">
        <v>3176</v>
      </c>
      <c r="AD86" t="s">
        <v>3182</v>
      </c>
      <c r="AE86" t="s">
        <v>3204</v>
      </c>
      <c r="AF86">
        <v>27008166</v>
      </c>
      <c r="AG86" s="11"/>
    </row>
    <row r="87" spans="28:33" x14ac:dyDescent="0.25">
      <c r="AB87" s="11"/>
      <c r="AC87" s="6" t="s">
        <v>3176</v>
      </c>
      <c r="AD87" t="s">
        <v>3182</v>
      </c>
      <c r="AE87" t="s">
        <v>135</v>
      </c>
      <c r="AF87">
        <v>27002100</v>
      </c>
      <c r="AG87" s="11"/>
    </row>
    <row r="88" spans="28:33" x14ac:dyDescent="0.25">
      <c r="AB88" s="11"/>
      <c r="AC88" s="6" t="s">
        <v>3176</v>
      </c>
      <c r="AD88" t="s">
        <v>3182</v>
      </c>
      <c r="AE88" t="s">
        <v>2952</v>
      </c>
      <c r="AF88">
        <v>27002106</v>
      </c>
      <c r="AG88" s="11"/>
    </row>
    <row r="89" spans="28:33" x14ac:dyDescent="0.25">
      <c r="AB89" s="11"/>
      <c r="AC89" s="6" t="s">
        <v>3176</v>
      </c>
      <c r="AD89" t="s">
        <v>3182</v>
      </c>
      <c r="AE89" t="s">
        <v>472</v>
      </c>
      <c r="AF89">
        <v>27002103</v>
      </c>
      <c r="AG89" s="11"/>
    </row>
    <row r="90" spans="28:33" x14ac:dyDescent="0.25">
      <c r="AB90" s="11"/>
      <c r="AC90" s="6" t="s">
        <v>3176</v>
      </c>
      <c r="AD90" t="s">
        <v>3182</v>
      </c>
      <c r="AE90" t="s">
        <v>484</v>
      </c>
      <c r="AF90">
        <v>2700298</v>
      </c>
      <c r="AG90" s="11"/>
    </row>
    <row r="91" spans="28:33" x14ac:dyDescent="0.25">
      <c r="AB91" s="11"/>
      <c r="AC91" s="6" t="s">
        <v>3176</v>
      </c>
      <c r="AD91" t="s">
        <v>3182</v>
      </c>
      <c r="AE91" t="s">
        <v>53</v>
      </c>
      <c r="AF91">
        <v>27002154</v>
      </c>
      <c r="AG91" s="11"/>
    </row>
    <row r="92" spans="28:33" x14ac:dyDescent="0.25">
      <c r="AB92" s="11"/>
      <c r="AC92" s="6" t="s">
        <v>3176</v>
      </c>
      <c r="AD92" t="s">
        <v>3182</v>
      </c>
      <c r="AE92" t="s">
        <v>2312</v>
      </c>
      <c r="AF92">
        <v>27001174</v>
      </c>
      <c r="AG92" s="11"/>
    </row>
    <row r="93" spans="28:33" x14ac:dyDescent="0.25">
      <c r="AB93" s="11"/>
      <c r="AC93" s="6" t="s">
        <v>3176</v>
      </c>
      <c r="AD93" t="s">
        <v>3182</v>
      </c>
      <c r="AE93" t="s">
        <v>520</v>
      </c>
      <c r="AF93">
        <v>27001172</v>
      </c>
      <c r="AG93" s="11"/>
    </row>
    <row r="94" spans="28:33" x14ac:dyDescent="0.25">
      <c r="AB94" s="11"/>
      <c r="AC94" s="6" t="s">
        <v>3176</v>
      </c>
      <c r="AD94" t="s">
        <v>3182</v>
      </c>
      <c r="AE94" t="s">
        <v>82</v>
      </c>
      <c r="AF94">
        <v>27001153</v>
      </c>
      <c r="AG94" s="11"/>
    </row>
    <row r="95" spans="28:33" x14ac:dyDescent="0.25">
      <c r="AB95" s="11"/>
      <c r="AC95" s="6" t="s">
        <v>3176</v>
      </c>
      <c r="AD95" t="s">
        <v>3182</v>
      </c>
      <c r="AE95" t="s">
        <v>3213</v>
      </c>
      <c r="AF95">
        <v>2700551</v>
      </c>
      <c r="AG95" s="11"/>
    </row>
    <row r="96" spans="28:33" x14ac:dyDescent="0.25">
      <c r="AB96" s="11"/>
      <c r="AC96" s="6" t="s">
        <v>3176</v>
      </c>
      <c r="AD96" t="s">
        <v>3182</v>
      </c>
      <c r="AE96" t="s">
        <v>3214</v>
      </c>
      <c r="AF96">
        <v>2700764</v>
      </c>
      <c r="AG96" s="11"/>
    </row>
    <row r="97" spans="28:33" x14ac:dyDescent="0.25">
      <c r="AB97" s="11"/>
      <c r="AC97" s="6" t="s">
        <v>3176</v>
      </c>
      <c r="AD97" t="s">
        <v>3182</v>
      </c>
      <c r="AE97" t="s">
        <v>3217</v>
      </c>
      <c r="AF97">
        <v>2700550</v>
      </c>
      <c r="AG97" s="11"/>
    </row>
    <row r="98" spans="28:33" x14ac:dyDescent="0.25">
      <c r="AB98" s="11"/>
      <c r="AC98" s="6" t="s">
        <v>3176</v>
      </c>
      <c r="AD98" t="s">
        <v>3182</v>
      </c>
      <c r="AE98" t="s">
        <v>79</v>
      </c>
      <c r="AF98">
        <v>27002101</v>
      </c>
      <c r="AG98" s="11"/>
    </row>
    <row r="99" spans="28:33" x14ac:dyDescent="0.25">
      <c r="AB99" s="11"/>
      <c r="AC99" s="6" t="s">
        <v>3176</v>
      </c>
      <c r="AD99" t="s">
        <v>3182</v>
      </c>
      <c r="AE99" t="s">
        <v>3220</v>
      </c>
      <c r="AF99">
        <v>2700548</v>
      </c>
      <c r="AG99" s="11"/>
    </row>
    <row r="100" spans="28:33" x14ac:dyDescent="0.25">
      <c r="AB100" s="11"/>
      <c r="AC100" t="s">
        <v>3176</v>
      </c>
      <c r="AD100" t="s">
        <v>3182</v>
      </c>
      <c r="AE100" t="s">
        <v>3222</v>
      </c>
      <c r="AF100">
        <v>2700547</v>
      </c>
      <c r="AG100" s="11"/>
    </row>
    <row r="101" spans="28:33" x14ac:dyDescent="0.25">
      <c r="AB101" s="11"/>
      <c r="AC101" t="s">
        <v>3176</v>
      </c>
      <c r="AD101" t="s">
        <v>3182</v>
      </c>
      <c r="AE101" t="s">
        <v>2970</v>
      </c>
      <c r="AF101">
        <v>2700552</v>
      </c>
      <c r="AG101" s="11"/>
    </row>
    <row r="102" spans="28:33" x14ac:dyDescent="0.25">
      <c r="AB102" s="11"/>
      <c r="AC102" t="s">
        <v>3176</v>
      </c>
      <c r="AD102" t="s">
        <v>3182</v>
      </c>
      <c r="AE102" t="s">
        <v>118</v>
      </c>
      <c r="AF102">
        <v>2700549</v>
      </c>
      <c r="AG102" s="11"/>
    </row>
    <row r="103" spans="28:33" x14ac:dyDescent="0.25">
      <c r="AB103" s="11"/>
      <c r="AC103" t="s">
        <v>3176</v>
      </c>
      <c r="AD103" t="s">
        <v>3182</v>
      </c>
      <c r="AE103" t="s">
        <v>118</v>
      </c>
      <c r="AF103">
        <v>27002114</v>
      </c>
      <c r="AG103" s="11"/>
    </row>
    <row r="104" spans="28:33" x14ac:dyDescent="0.25">
      <c r="AB104" s="11"/>
      <c r="AC104" t="s">
        <v>3176</v>
      </c>
      <c r="AD104" t="s">
        <v>3182</v>
      </c>
      <c r="AE104" t="s">
        <v>3225</v>
      </c>
      <c r="AF104">
        <v>27002102</v>
      </c>
      <c r="AG104" s="11"/>
    </row>
    <row r="105" spans="28:33" x14ac:dyDescent="0.25">
      <c r="AB105" s="11"/>
      <c r="AC105" t="s">
        <v>3176</v>
      </c>
      <c r="AD105" t="s">
        <v>3182</v>
      </c>
      <c r="AE105" t="s">
        <v>3228</v>
      </c>
      <c r="AF105">
        <v>27001173</v>
      </c>
      <c r="AG105" s="11"/>
    </row>
    <row r="106" spans="28:33" x14ac:dyDescent="0.25">
      <c r="AB106" s="11"/>
      <c r="AC106" t="s">
        <v>3176</v>
      </c>
      <c r="AD106" t="s">
        <v>3182</v>
      </c>
      <c r="AE106" t="s">
        <v>2926</v>
      </c>
      <c r="AF106">
        <v>27002112</v>
      </c>
      <c r="AG106" s="11"/>
    </row>
    <row r="107" spans="28:33" x14ac:dyDescent="0.25">
      <c r="AB107" s="11"/>
      <c r="AC107" t="s">
        <v>3176</v>
      </c>
      <c r="AD107" t="s">
        <v>3182</v>
      </c>
      <c r="AE107" t="s">
        <v>173</v>
      </c>
      <c r="AF107">
        <v>27002105</v>
      </c>
      <c r="AG107" s="11"/>
    </row>
    <row r="108" spans="28:33" x14ac:dyDescent="0.25">
      <c r="AB108" s="11"/>
      <c r="AC108" t="s">
        <v>3176</v>
      </c>
      <c r="AD108" t="s">
        <v>3182</v>
      </c>
      <c r="AE108" t="s">
        <v>3236</v>
      </c>
      <c r="AF108">
        <v>2700755</v>
      </c>
      <c r="AG108" s="11"/>
    </row>
    <row r="109" spans="28:33" x14ac:dyDescent="0.25">
      <c r="AB109" s="11"/>
      <c r="AC109" t="s">
        <v>3176</v>
      </c>
      <c r="AD109" t="s">
        <v>3182</v>
      </c>
      <c r="AE109" t="s">
        <v>431</v>
      </c>
      <c r="AF109">
        <v>27004175</v>
      </c>
      <c r="AG109" s="11"/>
    </row>
    <row r="110" spans="28:33" x14ac:dyDescent="0.25">
      <c r="AB110" s="11"/>
      <c r="AC110" t="s">
        <v>3176</v>
      </c>
      <c r="AD110" t="s">
        <v>3182</v>
      </c>
      <c r="AE110" t="s">
        <v>2266</v>
      </c>
      <c r="AF110">
        <v>27004189</v>
      </c>
      <c r="AG110" s="11"/>
    </row>
    <row r="111" spans="28:33" x14ac:dyDescent="0.25">
      <c r="AB111" s="11"/>
      <c r="AC111" t="s">
        <v>3176</v>
      </c>
      <c r="AD111" t="s">
        <v>3182</v>
      </c>
      <c r="AE111" t="s">
        <v>2213</v>
      </c>
      <c r="AF111">
        <v>27004171</v>
      </c>
      <c r="AG111" s="11"/>
    </row>
    <row r="112" spans="28:33" x14ac:dyDescent="0.25">
      <c r="AB112" s="11"/>
      <c r="AC112" t="s">
        <v>3176</v>
      </c>
      <c r="AD112" t="s">
        <v>3182</v>
      </c>
      <c r="AE112" t="s">
        <v>459</v>
      </c>
      <c r="AF112">
        <v>27004169</v>
      </c>
      <c r="AG112" s="11"/>
    </row>
    <row r="113" spans="28:33" x14ac:dyDescent="0.25">
      <c r="AB113" s="11"/>
      <c r="AC113" t="s">
        <v>3176</v>
      </c>
      <c r="AD113" t="s">
        <v>3182</v>
      </c>
      <c r="AE113" t="s">
        <v>393</v>
      </c>
      <c r="AF113">
        <v>27002108</v>
      </c>
      <c r="AG113" s="11"/>
    </row>
    <row r="114" spans="28:33" x14ac:dyDescent="0.25">
      <c r="AB114" s="11"/>
      <c r="AC114" t="s">
        <v>3176</v>
      </c>
      <c r="AD114" t="s">
        <v>3182</v>
      </c>
      <c r="AE114" t="s">
        <v>3238</v>
      </c>
      <c r="AF114">
        <v>27002110</v>
      </c>
      <c r="AG114" s="11"/>
    </row>
    <row r="115" spans="28:33" x14ac:dyDescent="0.25">
      <c r="AB115" s="11"/>
      <c r="AC115" t="s">
        <v>3176</v>
      </c>
      <c r="AD115" t="s">
        <v>3182</v>
      </c>
      <c r="AE115" t="s">
        <v>3242</v>
      </c>
      <c r="AF115">
        <v>2700758</v>
      </c>
      <c r="AG115" s="11"/>
    </row>
    <row r="116" spans="28:33" x14ac:dyDescent="0.25">
      <c r="AB116" s="11"/>
      <c r="AC116" t="s">
        <v>3176</v>
      </c>
      <c r="AD116" t="s">
        <v>3182</v>
      </c>
      <c r="AE116" t="s">
        <v>3243</v>
      </c>
      <c r="AF116">
        <v>2700757</v>
      </c>
      <c r="AG116" s="11"/>
    </row>
    <row r="117" spans="28:33" x14ac:dyDescent="0.25">
      <c r="AB117" s="11"/>
      <c r="AC117" t="s">
        <v>3176</v>
      </c>
      <c r="AD117" t="s">
        <v>3182</v>
      </c>
      <c r="AE117" t="s">
        <v>460</v>
      </c>
      <c r="AF117">
        <v>27002113</v>
      </c>
      <c r="AG117" s="11"/>
    </row>
    <row r="118" spans="28:33" x14ac:dyDescent="0.25">
      <c r="AB118" s="11"/>
      <c r="AC118" t="s">
        <v>3176</v>
      </c>
      <c r="AD118" t="s">
        <v>3182</v>
      </c>
      <c r="AE118" t="s">
        <v>440</v>
      </c>
      <c r="AF118">
        <v>27003176</v>
      </c>
      <c r="AG118" s="11"/>
    </row>
    <row r="119" spans="28:33" x14ac:dyDescent="0.25">
      <c r="AB119" s="11"/>
      <c r="AC119" t="s">
        <v>3176</v>
      </c>
      <c r="AD119" t="s">
        <v>3182</v>
      </c>
      <c r="AE119" t="s">
        <v>3248</v>
      </c>
      <c r="AF119">
        <v>27007187</v>
      </c>
      <c r="AG119" s="11"/>
    </row>
    <row r="120" spans="28:33" x14ac:dyDescent="0.25">
      <c r="AB120" s="11"/>
      <c r="AC120" t="s">
        <v>3176</v>
      </c>
      <c r="AD120" t="s">
        <v>3182</v>
      </c>
      <c r="AE120" t="s">
        <v>1508</v>
      </c>
      <c r="AF120">
        <v>27002111</v>
      </c>
      <c r="AG120" s="11"/>
    </row>
    <row r="121" spans="28:33" x14ac:dyDescent="0.25">
      <c r="AB121" s="11"/>
      <c r="AC121" t="s">
        <v>3176</v>
      </c>
      <c r="AD121" t="s">
        <v>3182</v>
      </c>
      <c r="AE121" t="s">
        <v>3250</v>
      </c>
      <c r="AF121">
        <v>2700756</v>
      </c>
      <c r="AG121" s="11"/>
    </row>
    <row r="122" spans="28:33" x14ac:dyDescent="0.25">
      <c r="AB122" s="11"/>
      <c r="AC122" t="s">
        <v>3176</v>
      </c>
      <c r="AD122" t="s">
        <v>3182</v>
      </c>
      <c r="AE122" t="s">
        <v>1505</v>
      </c>
      <c r="AF122">
        <v>27002170</v>
      </c>
      <c r="AG122" s="11"/>
    </row>
    <row r="123" spans="28:33" x14ac:dyDescent="0.25">
      <c r="AB123" s="11"/>
      <c r="AC123" t="s">
        <v>3176</v>
      </c>
      <c r="AD123" t="s">
        <v>3182</v>
      </c>
      <c r="AE123" t="s">
        <v>2933</v>
      </c>
      <c r="AF123">
        <v>27008167</v>
      </c>
      <c r="AG123" s="11"/>
    </row>
    <row r="124" spans="28:33" x14ac:dyDescent="0.25">
      <c r="AB124" s="11"/>
      <c r="AC124" t="s">
        <v>3176</v>
      </c>
      <c r="AD124" t="s">
        <v>3182</v>
      </c>
      <c r="AE124" t="s">
        <v>1360</v>
      </c>
      <c r="AF124">
        <v>27002107</v>
      </c>
      <c r="AG124" s="11"/>
    </row>
    <row r="125" spans="28:33" x14ac:dyDescent="0.25">
      <c r="AB125" s="11"/>
      <c r="AC125" t="s">
        <v>3176</v>
      </c>
      <c r="AD125" t="s">
        <v>3182</v>
      </c>
      <c r="AE125" t="s">
        <v>485</v>
      </c>
      <c r="AF125">
        <v>27002109</v>
      </c>
      <c r="AG125" s="11"/>
    </row>
    <row r="126" spans="28:33" x14ac:dyDescent="0.25">
      <c r="AB126" s="11"/>
      <c r="AC126" t="s">
        <v>3176</v>
      </c>
      <c r="AD126" t="s">
        <v>3182</v>
      </c>
      <c r="AE126" t="s">
        <v>3251</v>
      </c>
      <c r="AF126">
        <v>2700759</v>
      </c>
      <c r="AG126" s="11"/>
    </row>
    <row r="127" spans="28:33" x14ac:dyDescent="0.25">
      <c r="AB127" s="11"/>
      <c r="AC127" t="s">
        <v>3176</v>
      </c>
      <c r="AD127" t="s">
        <v>3182</v>
      </c>
      <c r="AE127" t="s">
        <v>3255</v>
      </c>
      <c r="AF127">
        <v>2700762</v>
      </c>
      <c r="AG127" s="11"/>
    </row>
    <row r="128" spans="28:33" x14ac:dyDescent="0.25">
      <c r="AB128" s="11"/>
      <c r="AC128" t="s">
        <v>3176</v>
      </c>
      <c r="AD128" t="s">
        <v>3182</v>
      </c>
      <c r="AE128" t="s">
        <v>3259</v>
      </c>
      <c r="AF128">
        <v>2700761</v>
      </c>
      <c r="AG128" s="11"/>
    </row>
    <row r="129" spans="28:33" x14ac:dyDescent="0.25">
      <c r="AB129" s="11"/>
      <c r="AC129" s="6" t="s">
        <v>3177</v>
      </c>
      <c r="AD129" t="s">
        <v>120</v>
      </c>
      <c r="AE129" t="s">
        <v>121</v>
      </c>
      <c r="AF129">
        <v>25501191</v>
      </c>
      <c r="AG129" s="11"/>
    </row>
    <row r="130" spans="28:33" x14ac:dyDescent="0.25">
      <c r="AB130" s="11"/>
      <c r="AC130" s="6" t="s">
        <v>3177</v>
      </c>
      <c r="AD130" t="s">
        <v>120</v>
      </c>
      <c r="AE130" t="s">
        <v>493</v>
      </c>
      <c r="AF130">
        <v>25501180</v>
      </c>
      <c r="AG130" s="11"/>
    </row>
    <row r="131" spans="28:33" x14ac:dyDescent="0.25">
      <c r="AB131" s="11"/>
      <c r="AC131" s="6" t="s">
        <v>3177</v>
      </c>
      <c r="AD131" t="s">
        <v>120</v>
      </c>
      <c r="AE131" t="s">
        <v>3195</v>
      </c>
      <c r="AF131">
        <v>2550132</v>
      </c>
      <c r="AG131" s="11"/>
    </row>
    <row r="132" spans="28:33" x14ac:dyDescent="0.25">
      <c r="AB132" s="11"/>
      <c r="AC132" s="6" t="s">
        <v>3177</v>
      </c>
      <c r="AD132" t="s">
        <v>120</v>
      </c>
      <c r="AE132" t="s">
        <v>125</v>
      </c>
      <c r="AF132">
        <v>255036</v>
      </c>
      <c r="AG132" s="11"/>
    </row>
    <row r="133" spans="28:33" x14ac:dyDescent="0.25">
      <c r="AB133" s="11"/>
      <c r="AC133" s="6" t="s">
        <v>3177</v>
      </c>
      <c r="AD133" t="s">
        <v>120</v>
      </c>
      <c r="AE133" t="s">
        <v>492</v>
      </c>
      <c r="AF133">
        <v>255034</v>
      </c>
      <c r="AG133" s="11"/>
    </row>
    <row r="134" spans="28:33" x14ac:dyDescent="0.25">
      <c r="AB134" s="11"/>
      <c r="AC134" s="6" t="s">
        <v>3177</v>
      </c>
      <c r="AD134" t="s">
        <v>120</v>
      </c>
      <c r="AE134" t="s">
        <v>2406</v>
      </c>
      <c r="AF134">
        <v>2550131</v>
      </c>
      <c r="AG134" s="11"/>
    </row>
    <row r="135" spans="28:33" x14ac:dyDescent="0.25">
      <c r="AB135" s="11"/>
      <c r="AC135" s="6" t="s">
        <v>3177</v>
      </c>
      <c r="AD135" t="s">
        <v>120</v>
      </c>
      <c r="AE135" t="s">
        <v>1862</v>
      </c>
      <c r="AF135">
        <v>2550536</v>
      </c>
      <c r="AG135" s="11"/>
    </row>
    <row r="136" spans="28:33" x14ac:dyDescent="0.25">
      <c r="AB136" s="11"/>
      <c r="AC136" s="6" t="s">
        <v>3177</v>
      </c>
      <c r="AD136" t="s">
        <v>120</v>
      </c>
      <c r="AE136" t="s">
        <v>1862</v>
      </c>
      <c r="AF136">
        <v>25501135</v>
      </c>
      <c r="AG136" s="11"/>
    </row>
    <row r="137" spans="28:33" x14ac:dyDescent="0.25">
      <c r="AB137" s="11"/>
      <c r="AC137" s="6" t="s">
        <v>3177</v>
      </c>
      <c r="AD137" t="s">
        <v>120</v>
      </c>
      <c r="AE137" t="s">
        <v>396</v>
      </c>
      <c r="AF137">
        <v>2550128</v>
      </c>
      <c r="AG137" s="11"/>
    </row>
    <row r="138" spans="28:33" x14ac:dyDescent="0.25">
      <c r="AB138" s="11"/>
      <c r="AC138" s="6" t="s">
        <v>3177</v>
      </c>
      <c r="AD138" t="s">
        <v>120</v>
      </c>
      <c r="AE138" t="s">
        <v>462</v>
      </c>
      <c r="AF138">
        <v>25501133</v>
      </c>
      <c r="AG138" s="11"/>
    </row>
    <row r="139" spans="28:33" x14ac:dyDescent="0.25">
      <c r="AB139" s="11"/>
      <c r="AC139" s="6" t="s">
        <v>3177</v>
      </c>
      <c r="AD139" t="s">
        <v>120</v>
      </c>
      <c r="AE139" t="s">
        <v>3166</v>
      </c>
      <c r="AF139">
        <v>25501190</v>
      </c>
      <c r="AG139" s="11"/>
    </row>
    <row r="140" spans="28:33" x14ac:dyDescent="0.25">
      <c r="AB140" s="11"/>
      <c r="AC140" s="6" t="s">
        <v>3177</v>
      </c>
      <c r="AD140" t="s">
        <v>120</v>
      </c>
      <c r="AE140" t="s">
        <v>3211</v>
      </c>
      <c r="AF140">
        <v>25502178</v>
      </c>
      <c r="AG140" s="11"/>
    </row>
    <row r="141" spans="28:33" x14ac:dyDescent="0.25">
      <c r="AB141" s="11"/>
      <c r="AC141" s="6" t="s">
        <v>3177</v>
      </c>
      <c r="AD141" t="s">
        <v>120</v>
      </c>
      <c r="AE141" t="s">
        <v>309</v>
      </c>
      <c r="AF141">
        <v>2550129</v>
      </c>
      <c r="AG141" s="11"/>
    </row>
    <row r="142" spans="28:33" x14ac:dyDescent="0.25">
      <c r="AB142" s="11"/>
      <c r="AC142" s="6" t="s">
        <v>3177</v>
      </c>
      <c r="AD142" t="s">
        <v>120</v>
      </c>
      <c r="AE142" t="s">
        <v>3215</v>
      </c>
      <c r="AF142">
        <v>2550333</v>
      </c>
      <c r="AG142" s="11"/>
    </row>
    <row r="143" spans="28:33" x14ac:dyDescent="0.25">
      <c r="AB143" s="11"/>
      <c r="AC143" s="6" t="s">
        <v>3177</v>
      </c>
      <c r="AD143" t="s">
        <v>120</v>
      </c>
      <c r="AE143" t="s">
        <v>487</v>
      </c>
      <c r="AF143">
        <v>2550310</v>
      </c>
      <c r="AG143" s="11"/>
    </row>
    <row r="144" spans="28:33" x14ac:dyDescent="0.25">
      <c r="AB144" s="11"/>
      <c r="AC144" s="6" t="s">
        <v>3177</v>
      </c>
      <c r="AD144" t="s">
        <v>120</v>
      </c>
      <c r="AE144" t="s">
        <v>486</v>
      </c>
      <c r="AF144">
        <v>255035</v>
      </c>
      <c r="AG144" s="11"/>
    </row>
    <row r="145" spans="28:33" x14ac:dyDescent="0.25">
      <c r="AB145" s="11"/>
      <c r="AC145" s="6" t="s">
        <v>3177</v>
      </c>
      <c r="AD145" t="s">
        <v>120</v>
      </c>
      <c r="AE145" t="s">
        <v>390</v>
      </c>
      <c r="AF145">
        <v>2550126</v>
      </c>
      <c r="AG145" s="11"/>
    </row>
    <row r="146" spans="28:33" x14ac:dyDescent="0.25">
      <c r="AB146" s="11"/>
      <c r="AC146" s="6" t="s">
        <v>3177</v>
      </c>
      <c r="AD146" t="s">
        <v>120</v>
      </c>
      <c r="AE146" t="s">
        <v>3164</v>
      </c>
      <c r="AF146">
        <v>255039</v>
      </c>
      <c r="AG146" s="11"/>
    </row>
    <row r="147" spans="28:33" x14ac:dyDescent="0.25">
      <c r="AB147" s="11"/>
      <c r="AC147" s="6" t="s">
        <v>3177</v>
      </c>
      <c r="AD147" t="s">
        <v>120</v>
      </c>
      <c r="AE147" t="s">
        <v>3143</v>
      </c>
      <c r="AF147">
        <v>25505136</v>
      </c>
      <c r="AG147" s="11"/>
    </row>
    <row r="148" spans="28:33" x14ac:dyDescent="0.25">
      <c r="AB148" s="11"/>
      <c r="AC148" s="6" t="s">
        <v>3177</v>
      </c>
      <c r="AD148" t="s">
        <v>120</v>
      </c>
      <c r="AE148" t="s">
        <v>3218</v>
      </c>
      <c r="AF148">
        <v>25505140</v>
      </c>
      <c r="AG148" s="11"/>
    </row>
    <row r="149" spans="28:33" x14ac:dyDescent="0.25">
      <c r="AB149" s="11"/>
      <c r="AC149" s="6" t="s">
        <v>3177</v>
      </c>
      <c r="AD149" t="s">
        <v>120</v>
      </c>
      <c r="AE149" t="s">
        <v>2030</v>
      </c>
      <c r="AF149">
        <v>25505141</v>
      </c>
      <c r="AG149" s="11"/>
    </row>
    <row r="150" spans="28:33" x14ac:dyDescent="0.25">
      <c r="AB150" s="11"/>
      <c r="AC150" s="6" t="s">
        <v>3177</v>
      </c>
      <c r="AD150" t="s">
        <v>120</v>
      </c>
      <c r="AE150" t="s">
        <v>1712</v>
      </c>
      <c r="AF150">
        <v>25505139</v>
      </c>
      <c r="AG150" s="11"/>
    </row>
    <row r="151" spans="28:33" x14ac:dyDescent="0.25">
      <c r="AB151" s="11"/>
      <c r="AC151" t="s">
        <v>3177</v>
      </c>
      <c r="AD151" t="s">
        <v>120</v>
      </c>
      <c r="AE151" t="s">
        <v>3226</v>
      </c>
      <c r="AF151">
        <v>2550135</v>
      </c>
      <c r="AG151" s="11"/>
    </row>
    <row r="152" spans="28:33" x14ac:dyDescent="0.25">
      <c r="AB152" s="11"/>
      <c r="AC152" t="s">
        <v>3177</v>
      </c>
      <c r="AD152" t="s">
        <v>120</v>
      </c>
      <c r="AE152" t="s">
        <v>1690</v>
      </c>
      <c r="AF152">
        <v>25505138</v>
      </c>
      <c r="AG152" s="11"/>
    </row>
    <row r="153" spans="28:33" x14ac:dyDescent="0.25">
      <c r="AB153" s="11"/>
      <c r="AC153" t="s">
        <v>3177</v>
      </c>
      <c r="AD153" t="s">
        <v>120</v>
      </c>
      <c r="AE153" t="s">
        <v>360</v>
      </c>
      <c r="AF153">
        <v>25501129</v>
      </c>
      <c r="AG153" s="11"/>
    </row>
    <row r="154" spans="28:33" x14ac:dyDescent="0.25">
      <c r="AB154" s="11"/>
      <c r="AC154" t="s">
        <v>3177</v>
      </c>
      <c r="AD154" t="s">
        <v>120</v>
      </c>
      <c r="AE154" t="s">
        <v>3230</v>
      </c>
      <c r="AF154">
        <v>2550127</v>
      </c>
      <c r="AG154" s="11"/>
    </row>
    <row r="155" spans="28:33" x14ac:dyDescent="0.25">
      <c r="AB155" s="11"/>
      <c r="AC155" t="s">
        <v>3177</v>
      </c>
      <c r="AD155" t="s">
        <v>120</v>
      </c>
      <c r="AE155" t="s">
        <v>2235</v>
      </c>
      <c r="AF155">
        <v>25505143</v>
      </c>
      <c r="AG155" s="11"/>
    </row>
    <row r="156" spans="28:33" x14ac:dyDescent="0.25">
      <c r="AB156" s="11"/>
      <c r="AC156" t="s">
        <v>3177</v>
      </c>
      <c r="AD156" t="s">
        <v>120</v>
      </c>
      <c r="AE156" t="s">
        <v>461</v>
      </c>
      <c r="AF156">
        <v>25503179</v>
      </c>
      <c r="AG156" s="11"/>
    </row>
    <row r="157" spans="28:33" x14ac:dyDescent="0.25">
      <c r="AB157" s="11"/>
      <c r="AC157" t="s">
        <v>3177</v>
      </c>
      <c r="AD157" t="s">
        <v>120</v>
      </c>
      <c r="AE157" t="s">
        <v>434</v>
      </c>
      <c r="AF157">
        <v>25501134</v>
      </c>
      <c r="AG157" s="11"/>
    </row>
    <row r="158" spans="28:33" x14ac:dyDescent="0.25">
      <c r="AB158" s="11"/>
      <c r="AC158" t="s">
        <v>3177</v>
      </c>
      <c r="AD158" t="s">
        <v>120</v>
      </c>
      <c r="AE158" t="s">
        <v>490</v>
      </c>
      <c r="AF158">
        <v>25501131</v>
      </c>
      <c r="AG158" s="11"/>
    </row>
    <row r="159" spans="28:33" x14ac:dyDescent="0.25">
      <c r="AB159" s="11"/>
      <c r="AC159" t="s">
        <v>3177</v>
      </c>
      <c r="AD159" t="s">
        <v>120</v>
      </c>
      <c r="AE159" t="s">
        <v>489</v>
      </c>
      <c r="AF159">
        <v>255031</v>
      </c>
      <c r="AG159" s="11"/>
    </row>
    <row r="160" spans="28:33" x14ac:dyDescent="0.25">
      <c r="AB160" s="11"/>
      <c r="AC160" t="s">
        <v>3177</v>
      </c>
      <c r="AD160" t="s">
        <v>120</v>
      </c>
      <c r="AE160" t="s">
        <v>3239</v>
      </c>
      <c r="AF160">
        <v>255038</v>
      </c>
      <c r="AG160" s="11"/>
    </row>
    <row r="161" spans="28:33" x14ac:dyDescent="0.25">
      <c r="AB161" s="11"/>
      <c r="AC161" t="s">
        <v>3177</v>
      </c>
      <c r="AD161" t="s">
        <v>120</v>
      </c>
      <c r="AE161" t="s">
        <v>3240</v>
      </c>
      <c r="AF161">
        <v>255037</v>
      </c>
      <c r="AG161" s="11"/>
    </row>
    <row r="162" spans="28:33" x14ac:dyDescent="0.25">
      <c r="AB162" s="11"/>
      <c r="AC162" t="s">
        <v>3177</v>
      </c>
      <c r="AD162" t="s">
        <v>120</v>
      </c>
      <c r="AE162" t="s">
        <v>3165</v>
      </c>
      <c r="AF162">
        <v>255033</v>
      </c>
      <c r="AG162" s="11"/>
    </row>
    <row r="163" spans="28:33" x14ac:dyDescent="0.25">
      <c r="AB163" s="11"/>
      <c r="AC163" t="s">
        <v>3177</v>
      </c>
      <c r="AD163" t="s">
        <v>120</v>
      </c>
      <c r="AE163" t="s">
        <v>365</v>
      </c>
      <c r="AF163">
        <v>2550334</v>
      </c>
      <c r="AG163" s="11"/>
    </row>
    <row r="164" spans="28:33" x14ac:dyDescent="0.25">
      <c r="AB164" s="11"/>
      <c r="AC164" t="s">
        <v>3177</v>
      </c>
      <c r="AD164" t="s">
        <v>120</v>
      </c>
      <c r="AE164" t="s">
        <v>539</v>
      </c>
      <c r="AF164">
        <v>2550130</v>
      </c>
      <c r="AG164" s="11"/>
    </row>
    <row r="165" spans="28:33" x14ac:dyDescent="0.25">
      <c r="AB165" s="11"/>
      <c r="AC165" t="s">
        <v>3177</v>
      </c>
      <c r="AD165" t="s">
        <v>120</v>
      </c>
      <c r="AE165" t="s">
        <v>302</v>
      </c>
      <c r="AF165">
        <v>25505137</v>
      </c>
      <c r="AG165" s="11"/>
    </row>
    <row r="166" spans="28:33" x14ac:dyDescent="0.25">
      <c r="AB166" s="11"/>
      <c r="AC166" t="s">
        <v>3177</v>
      </c>
      <c r="AD166" t="s">
        <v>120</v>
      </c>
      <c r="AE166" t="s">
        <v>3244</v>
      </c>
      <c r="AF166">
        <v>25505144</v>
      </c>
      <c r="AG166" s="11"/>
    </row>
    <row r="167" spans="28:33" x14ac:dyDescent="0.25">
      <c r="AB167" s="11"/>
      <c r="AC167" t="s">
        <v>3177</v>
      </c>
      <c r="AD167" t="s">
        <v>120</v>
      </c>
      <c r="AE167" t="s">
        <v>436</v>
      </c>
      <c r="AF167">
        <v>25504177</v>
      </c>
      <c r="AG167" s="11"/>
    </row>
    <row r="168" spans="28:33" x14ac:dyDescent="0.25">
      <c r="AB168" s="11"/>
      <c r="AC168" t="s">
        <v>3177</v>
      </c>
      <c r="AD168" t="s">
        <v>120</v>
      </c>
      <c r="AE168" t="s">
        <v>3245</v>
      </c>
      <c r="AF168">
        <v>2550525</v>
      </c>
      <c r="AG168" s="11"/>
    </row>
    <row r="169" spans="28:33" x14ac:dyDescent="0.25">
      <c r="AB169" s="11"/>
      <c r="AC169" t="s">
        <v>3177</v>
      </c>
      <c r="AD169" t="s">
        <v>120</v>
      </c>
      <c r="AE169" t="s">
        <v>2407</v>
      </c>
      <c r="AF169">
        <v>25501132</v>
      </c>
      <c r="AG169" s="11"/>
    </row>
    <row r="170" spans="28:33" x14ac:dyDescent="0.25">
      <c r="AB170" s="11"/>
      <c r="AC170" t="s">
        <v>3177</v>
      </c>
      <c r="AD170" t="s">
        <v>120</v>
      </c>
      <c r="AE170" t="s">
        <v>2126</v>
      </c>
      <c r="AF170">
        <v>25501130</v>
      </c>
      <c r="AG170" s="11"/>
    </row>
    <row r="171" spans="28:33" x14ac:dyDescent="0.25">
      <c r="AB171" s="11"/>
      <c r="AC171" t="s">
        <v>3177</v>
      </c>
      <c r="AD171" t="s">
        <v>120</v>
      </c>
      <c r="AE171" t="s">
        <v>2054</v>
      </c>
      <c r="AF171">
        <v>25505142</v>
      </c>
      <c r="AG171" s="11"/>
    </row>
    <row r="172" spans="28:33" x14ac:dyDescent="0.25">
      <c r="AB172" s="11"/>
      <c r="AC172" t="s">
        <v>3177</v>
      </c>
      <c r="AD172" t="s">
        <v>120</v>
      </c>
      <c r="AE172" t="s">
        <v>3264</v>
      </c>
      <c r="AF172">
        <v>255032</v>
      </c>
      <c r="AG172" s="11"/>
    </row>
    <row r="173" spans="28:33" x14ac:dyDescent="0.25">
      <c r="AB173" s="11"/>
      <c r="AC173" s="6" t="s">
        <v>3180</v>
      </c>
      <c r="AD173" t="s">
        <v>402</v>
      </c>
      <c r="AE173" t="s">
        <v>3197</v>
      </c>
      <c r="AF173">
        <v>27504161</v>
      </c>
      <c r="AG173" s="11"/>
    </row>
    <row r="174" spans="28:33" x14ac:dyDescent="0.25">
      <c r="AB174" s="11"/>
      <c r="AC174" s="6" t="s">
        <v>3180</v>
      </c>
      <c r="AD174" t="s">
        <v>402</v>
      </c>
      <c r="AE174" t="s">
        <v>3198</v>
      </c>
      <c r="AF174">
        <v>27503192</v>
      </c>
      <c r="AG174" s="11"/>
    </row>
    <row r="175" spans="28:33" x14ac:dyDescent="0.25">
      <c r="AB175" s="11"/>
      <c r="AC175" s="6" t="s">
        <v>3180</v>
      </c>
      <c r="AD175" t="s">
        <v>402</v>
      </c>
      <c r="AE175" t="s">
        <v>3205</v>
      </c>
      <c r="AF175">
        <v>27501125</v>
      </c>
      <c r="AG175" s="11"/>
    </row>
    <row r="176" spans="28:33" x14ac:dyDescent="0.25">
      <c r="AB176" s="11"/>
      <c r="AC176" s="6" t="s">
        <v>3180</v>
      </c>
      <c r="AD176" t="s">
        <v>402</v>
      </c>
      <c r="AE176" t="s">
        <v>3207</v>
      </c>
      <c r="AF176">
        <v>27501124</v>
      </c>
      <c r="AG176" s="11"/>
    </row>
    <row r="177" spans="28:33" x14ac:dyDescent="0.25">
      <c r="AB177" s="11"/>
      <c r="AC177" s="6" t="s">
        <v>3180</v>
      </c>
      <c r="AD177" t="s">
        <v>402</v>
      </c>
      <c r="AE177" t="s">
        <v>3209</v>
      </c>
      <c r="AF177">
        <v>27501123</v>
      </c>
      <c r="AG177" s="11"/>
    </row>
    <row r="178" spans="28:33" x14ac:dyDescent="0.25">
      <c r="AB178" s="11"/>
      <c r="AC178" s="6" t="s">
        <v>3180</v>
      </c>
      <c r="AD178" t="s">
        <v>402</v>
      </c>
      <c r="AE178" t="s">
        <v>3171</v>
      </c>
      <c r="AF178">
        <v>27501156</v>
      </c>
      <c r="AG178" s="11"/>
    </row>
    <row r="179" spans="28:33" x14ac:dyDescent="0.25">
      <c r="AB179" s="11"/>
      <c r="AC179" s="6" t="s">
        <v>3180</v>
      </c>
      <c r="AD179" t="s">
        <v>402</v>
      </c>
      <c r="AE179" t="s">
        <v>403</v>
      </c>
      <c r="AF179">
        <v>27501116</v>
      </c>
      <c r="AG179" s="11"/>
    </row>
    <row r="180" spans="28:33" x14ac:dyDescent="0.25">
      <c r="AB180" s="11"/>
      <c r="AC180" s="6" t="s">
        <v>3180</v>
      </c>
      <c r="AD180" t="s">
        <v>402</v>
      </c>
      <c r="AE180" t="s">
        <v>79</v>
      </c>
      <c r="AF180">
        <v>27503122</v>
      </c>
      <c r="AG180" s="11"/>
    </row>
    <row r="181" spans="28:33" x14ac:dyDescent="0.25">
      <c r="AB181" s="11"/>
      <c r="AC181" t="s">
        <v>3180</v>
      </c>
      <c r="AD181" t="s">
        <v>402</v>
      </c>
      <c r="AE181" t="s">
        <v>118</v>
      </c>
      <c r="AF181">
        <v>27501115</v>
      </c>
      <c r="AG181" s="11"/>
    </row>
    <row r="182" spans="28:33" x14ac:dyDescent="0.25">
      <c r="AB182" s="11"/>
      <c r="AC182" t="s">
        <v>3180</v>
      </c>
      <c r="AD182" t="s">
        <v>402</v>
      </c>
      <c r="AE182" t="s">
        <v>3229</v>
      </c>
      <c r="AF182">
        <v>27501126</v>
      </c>
      <c r="AG182" s="11"/>
    </row>
    <row r="183" spans="28:33" x14ac:dyDescent="0.25">
      <c r="AB183" s="11"/>
      <c r="AC183" t="s">
        <v>3180</v>
      </c>
      <c r="AD183" t="s">
        <v>402</v>
      </c>
      <c r="AE183" t="s">
        <v>2235</v>
      </c>
      <c r="AF183">
        <v>27501127</v>
      </c>
      <c r="AG183" s="11"/>
    </row>
    <row r="184" spans="28:33" x14ac:dyDescent="0.25">
      <c r="AB184" s="11"/>
      <c r="AC184" t="s">
        <v>3180</v>
      </c>
      <c r="AD184" t="s">
        <v>402</v>
      </c>
      <c r="AE184" t="s">
        <v>3247</v>
      </c>
      <c r="AF184">
        <v>27501119</v>
      </c>
      <c r="AG184" s="11"/>
    </row>
    <row r="185" spans="28:33" x14ac:dyDescent="0.25">
      <c r="AB185" s="11"/>
      <c r="AC185" t="s">
        <v>3180</v>
      </c>
      <c r="AD185" t="s">
        <v>402</v>
      </c>
      <c r="AE185" t="s">
        <v>3249</v>
      </c>
      <c r="AF185">
        <v>27501121</v>
      </c>
      <c r="AG185" s="11"/>
    </row>
    <row r="186" spans="28:33" x14ac:dyDescent="0.25">
      <c r="AB186" s="11"/>
      <c r="AC186" t="s">
        <v>3180</v>
      </c>
      <c r="AD186" t="s">
        <v>402</v>
      </c>
      <c r="AE186" t="s">
        <v>3170</v>
      </c>
      <c r="AF186">
        <v>27501157</v>
      </c>
      <c r="AG186" s="11"/>
    </row>
    <row r="187" spans="28:33" x14ac:dyDescent="0.25">
      <c r="AB187" s="11"/>
      <c r="AC187" t="s">
        <v>3180</v>
      </c>
      <c r="AD187" t="s">
        <v>402</v>
      </c>
      <c r="AE187" t="s">
        <v>3252</v>
      </c>
      <c r="AF187">
        <v>27501117</v>
      </c>
      <c r="AG187" s="11"/>
    </row>
    <row r="188" spans="28:33" x14ac:dyDescent="0.25">
      <c r="AB188" s="11"/>
      <c r="AC188" t="s">
        <v>3180</v>
      </c>
      <c r="AD188" t="s">
        <v>402</v>
      </c>
      <c r="AE188" t="s">
        <v>3253</v>
      </c>
      <c r="AF188">
        <v>27502159</v>
      </c>
      <c r="AG188" s="11"/>
    </row>
    <row r="189" spans="28:33" x14ac:dyDescent="0.25">
      <c r="AB189" s="11"/>
      <c r="AC189" t="s">
        <v>3180</v>
      </c>
      <c r="AD189" t="s">
        <v>402</v>
      </c>
      <c r="AE189" t="s">
        <v>3254</v>
      </c>
      <c r="AF189">
        <v>27502160</v>
      </c>
      <c r="AG189" s="11"/>
    </row>
    <row r="190" spans="28:33" x14ac:dyDescent="0.25">
      <c r="AB190" s="11"/>
      <c r="AC190" t="s">
        <v>3180</v>
      </c>
      <c r="AD190" t="s">
        <v>402</v>
      </c>
      <c r="AE190" t="s">
        <v>3257</v>
      </c>
      <c r="AF190">
        <v>27504162</v>
      </c>
      <c r="AG190" s="11"/>
    </row>
    <row r="191" spans="28:33" x14ac:dyDescent="0.25">
      <c r="AB191" s="11"/>
      <c r="AC191" t="s">
        <v>3180</v>
      </c>
      <c r="AD191" t="s">
        <v>402</v>
      </c>
      <c r="AE191" t="s">
        <v>3260</v>
      </c>
      <c r="AF191">
        <v>27501118</v>
      </c>
      <c r="AG191" s="11"/>
    </row>
    <row r="192" spans="28:33" x14ac:dyDescent="0.25">
      <c r="AB192" s="11"/>
      <c r="AC192" t="s">
        <v>3180</v>
      </c>
      <c r="AD192" t="s">
        <v>402</v>
      </c>
      <c r="AE192" t="s">
        <v>3261</v>
      </c>
      <c r="AF192">
        <v>27501120</v>
      </c>
      <c r="AG192" s="11"/>
    </row>
    <row r="193" spans="28:33" x14ac:dyDescent="0.25">
      <c r="AB193" s="11"/>
      <c r="AC193" t="s">
        <v>3180</v>
      </c>
      <c r="AD193" t="s">
        <v>402</v>
      </c>
      <c r="AE193" t="s">
        <v>3262</v>
      </c>
      <c r="AF193">
        <v>27501158</v>
      </c>
      <c r="AG193" s="11"/>
    </row>
    <row r="194" spans="28:33" x14ac:dyDescent="0.25">
      <c r="AB194" s="11"/>
      <c r="AC194" t="s">
        <v>3180</v>
      </c>
      <c r="AD194" t="s">
        <v>402</v>
      </c>
      <c r="AE194" t="s">
        <v>3263</v>
      </c>
      <c r="AF194">
        <v>27501155</v>
      </c>
      <c r="AG194" s="11"/>
    </row>
  </sheetData>
  <sortState xmlns:xlrd2="http://schemas.microsoft.com/office/spreadsheetml/2017/richdata2" ref="B2:B15">
    <sortCondition ref="B2:B15"/>
  </sortState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F641-F044-CA45-80EA-73F178724CEC}">
  <sheetPr codeName="Sheet7"/>
  <dimension ref="A1:N1883"/>
  <sheetViews>
    <sheetView topLeftCell="A1707" zoomScale="91" workbookViewId="0">
      <selection activeCell="F1737" sqref="F1737"/>
    </sheetView>
  </sheetViews>
  <sheetFormatPr defaultColWidth="10.85546875" defaultRowHeight="15.75" x14ac:dyDescent="0.25"/>
  <cols>
    <col min="1" max="1" width="10.85546875" style="12"/>
    <col min="2" max="2" width="25" style="12" customWidth="1"/>
    <col min="3" max="3" width="15.7109375" style="12" customWidth="1"/>
    <col min="4" max="4" width="13.85546875" style="12" customWidth="1"/>
    <col min="5" max="5" width="20.42578125" style="12" customWidth="1"/>
    <col min="6" max="6" width="25.28515625" style="12" bestFit="1" customWidth="1"/>
    <col min="7" max="7" width="34.7109375" style="12" customWidth="1"/>
    <col min="8" max="8" width="35.7109375" style="12" customWidth="1"/>
    <col min="9" max="9" width="32.140625" style="12" bestFit="1" customWidth="1"/>
    <col min="10" max="10" width="21.42578125" style="12" customWidth="1"/>
    <col min="11" max="11" width="33.85546875" style="12" customWidth="1"/>
    <col min="12" max="12" width="18" style="12" customWidth="1"/>
    <col min="13" max="16384" width="10.85546875" style="12"/>
  </cols>
  <sheetData>
    <row r="1" spans="1:14" x14ac:dyDescent="0.25">
      <c r="A1" s="12" t="s">
        <v>39</v>
      </c>
      <c r="B1" s="13" t="s">
        <v>40</v>
      </c>
      <c r="C1" s="12" t="s">
        <v>41</v>
      </c>
      <c r="D1" s="12" t="s">
        <v>42</v>
      </c>
      <c r="E1" s="12" t="s">
        <v>43</v>
      </c>
      <c r="F1" s="13" t="s">
        <v>3266</v>
      </c>
      <c r="G1" s="13" t="s">
        <v>3272</v>
      </c>
      <c r="H1" s="13" t="s">
        <v>37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48</v>
      </c>
      <c r="N1" s="12" t="s">
        <v>49</v>
      </c>
    </row>
    <row r="2" spans="1:14" x14ac:dyDescent="0.25">
      <c r="A2" s="12" t="s">
        <v>1277</v>
      </c>
      <c r="B2" s="12" t="s">
        <v>1278</v>
      </c>
      <c r="C2" s="12" t="s">
        <v>1279</v>
      </c>
      <c r="D2" t="s">
        <v>5313</v>
      </c>
      <c r="E2" s="12" t="s">
        <v>3178</v>
      </c>
      <c r="F2" s="12" t="s">
        <v>104</v>
      </c>
      <c r="G2" s="12" t="s">
        <v>5316</v>
      </c>
      <c r="H2" s="12" t="s">
        <v>1278</v>
      </c>
      <c r="I2" s="84">
        <v>2651091</v>
      </c>
      <c r="J2" s="12" t="s">
        <v>1215</v>
      </c>
      <c r="L2" s="12" t="str">
        <f>IF(OR(ISBLANK(tblSites[[#This Row],[Implementing Partner]]), tblSites[[#This Row],[Implementing Partner]]="-"), tblSites[[#This Row],[Site Agency]], tblSites[[#This Row],[Implementing Partner]])</f>
        <v>UNRWA</v>
      </c>
      <c r="M2" s="12" t="s">
        <v>55</v>
      </c>
      <c r="N2" s="12" t="str">
        <f>tblSites[[#This Row],[FinalImplementingPartner]]</f>
        <v>UNRWA</v>
      </c>
    </row>
    <row r="3" spans="1:14" x14ac:dyDescent="0.25">
      <c r="A3" s="12" t="s">
        <v>1270</v>
      </c>
      <c r="B3" s="12" t="s">
        <v>1271</v>
      </c>
      <c r="C3" s="12" t="s">
        <v>1272</v>
      </c>
      <c r="D3" t="s">
        <v>5313</v>
      </c>
      <c r="E3" s="12" t="s">
        <v>3178</v>
      </c>
      <c r="F3" s="12" t="s">
        <v>1273</v>
      </c>
      <c r="G3" s="12" t="s">
        <v>5317</v>
      </c>
      <c r="H3" s="12" t="s">
        <v>1271</v>
      </c>
      <c r="I3" s="84">
        <v>26509185</v>
      </c>
      <c r="J3" s="12" t="s">
        <v>1215</v>
      </c>
      <c r="L3" s="12" t="str">
        <f>IF(OR(ISBLANK(tblSites[[#This Row],[Implementing Partner]]), tblSites[[#This Row],[Implementing Partner]]="-"), tblSites[[#This Row],[Site Agency]], tblSites[[#This Row],[Implementing Partner]])</f>
        <v>UNRWA</v>
      </c>
      <c r="M3" s="12" t="s">
        <v>55</v>
      </c>
      <c r="N3" s="12" t="str">
        <f>tblSites[[#This Row],[FinalImplementingPartner]]</f>
        <v>UNRWA</v>
      </c>
    </row>
    <row r="4" spans="1:14" x14ac:dyDescent="0.25">
      <c r="A4" s="12" t="s">
        <v>2247</v>
      </c>
      <c r="B4" s="12" t="s">
        <v>2248</v>
      </c>
      <c r="C4" s="12" t="s">
        <v>2249</v>
      </c>
      <c r="D4" t="s">
        <v>5313</v>
      </c>
      <c r="E4" s="12" t="s">
        <v>3178</v>
      </c>
      <c r="F4" s="14" t="s">
        <v>104</v>
      </c>
      <c r="G4" s="12" t="s">
        <v>5316</v>
      </c>
      <c r="H4" s="12" t="s">
        <v>2248</v>
      </c>
      <c r="I4" s="84">
        <v>2651091</v>
      </c>
      <c r="J4" s="12" t="s">
        <v>1215</v>
      </c>
      <c r="L4" s="12" t="str">
        <f>IF(OR(ISBLANK(tblSites[[#This Row],[Implementing Partner]]), tblSites[[#This Row],[Implementing Partner]]="-"), tblSites[[#This Row],[Site Agency]], tblSites[[#This Row],[Implementing Partner]])</f>
        <v>UNRWA</v>
      </c>
      <c r="M4" s="12" t="s">
        <v>55</v>
      </c>
      <c r="N4" s="12" t="str">
        <f>tblSites[[#This Row],[FinalImplementingPartner]]</f>
        <v>UNRWA</v>
      </c>
    </row>
    <row r="5" spans="1:14" x14ac:dyDescent="0.25">
      <c r="A5" s="12" t="s">
        <v>2313</v>
      </c>
      <c r="B5" s="12" t="s">
        <v>2314</v>
      </c>
      <c r="C5" s="12" t="s">
        <v>2315</v>
      </c>
      <c r="D5" t="s">
        <v>5313</v>
      </c>
      <c r="E5" s="12" t="s">
        <v>3178</v>
      </c>
      <c r="F5" s="12" t="s">
        <v>1273</v>
      </c>
      <c r="G5" s="12" t="s">
        <v>5317</v>
      </c>
      <c r="H5" s="12" t="s">
        <v>2314</v>
      </c>
      <c r="I5" s="84">
        <v>26509185</v>
      </c>
      <c r="J5" s="12" t="s">
        <v>1215</v>
      </c>
      <c r="L5" s="12" t="str">
        <f>IF(OR(ISBLANK(tblSites[[#This Row],[Implementing Partner]]), tblSites[[#This Row],[Implementing Partner]]="-"), tblSites[[#This Row],[Site Agency]], tblSites[[#This Row],[Implementing Partner]])</f>
        <v>UNRWA</v>
      </c>
      <c r="M5" s="12" t="s">
        <v>55</v>
      </c>
      <c r="N5" s="12" t="str">
        <f>tblSites[[#This Row],[FinalImplementingPartner]]</f>
        <v>UNRWA</v>
      </c>
    </row>
    <row r="6" spans="1:14" x14ac:dyDescent="0.25">
      <c r="A6" s="12" t="s">
        <v>2285</v>
      </c>
      <c r="B6" s="12" t="s">
        <v>2286</v>
      </c>
      <c r="C6" s="12" t="s">
        <v>2287</v>
      </c>
      <c r="D6" t="s">
        <v>5313</v>
      </c>
      <c r="E6" s="12" t="s">
        <v>3178</v>
      </c>
      <c r="F6" s="12" t="s">
        <v>163</v>
      </c>
      <c r="G6" s="12" t="s">
        <v>5318</v>
      </c>
      <c r="H6" s="12" t="s">
        <v>2286</v>
      </c>
      <c r="I6" s="84">
        <v>2651093</v>
      </c>
      <c r="J6" s="12" t="s">
        <v>1215</v>
      </c>
      <c r="L6" s="12" t="str">
        <f>IF(OR(ISBLANK(tblSites[[#This Row],[Implementing Partner]]), tblSites[[#This Row],[Implementing Partner]]="-"), tblSites[[#This Row],[Site Agency]], tblSites[[#This Row],[Implementing Partner]])</f>
        <v>UNRWA</v>
      </c>
      <c r="M6" s="12" t="s">
        <v>55</v>
      </c>
      <c r="N6" s="12" t="str">
        <f>tblSites[[#This Row],[FinalImplementingPartner]]</f>
        <v>UNRWA</v>
      </c>
    </row>
    <row r="7" spans="1:14" x14ac:dyDescent="0.25">
      <c r="A7" s="12" t="s">
        <v>1243</v>
      </c>
      <c r="B7" s="12" t="s">
        <v>1244</v>
      </c>
      <c r="C7" s="12" t="s">
        <v>1245</v>
      </c>
      <c r="D7" t="s">
        <v>5313</v>
      </c>
      <c r="E7" s="12" t="s">
        <v>3178</v>
      </c>
      <c r="F7" s="12" t="s">
        <v>154</v>
      </c>
      <c r="G7" s="12" t="s">
        <v>5319</v>
      </c>
      <c r="H7" s="12" t="s">
        <v>1244</v>
      </c>
      <c r="I7" s="84">
        <v>26501147</v>
      </c>
      <c r="J7" s="12" t="s">
        <v>1215</v>
      </c>
      <c r="L7" s="12" t="str">
        <f>IF(OR(ISBLANK(tblSites[[#This Row],[Implementing Partner]]), tblSites[[#This Row],[Implementing Partner]]="-"), tblSites[[#This Row],[Site Agency]], tblSites[[#This Row],[Implementing Partner]])</f>
        <v>UNRWA</v>
      </c>
      <c r="M7" s="12" t="s">
        <v>55</v>
      </c>
      <c r="N7" s="12" t="str">
        <f>tblSites[[#This Row],[FinalImplementingPartner]]</f>
        <v>UNRWA</v>
      </c>
    </row>
    <row r="8" spans="1:14" x14ac:dyDescent="0.25">
      <c r="A8" s="12" t="s">
        <v>1213</v>
      </c>
      <c r="B8" s="12" t="s">
        <v>1214</v>
      </c>
      <c r="D8" t="s">
        <v>5313</v>
      </c>
      <c r="E8" s="12" t="s">
        <v>3178</v>
      </c>
      <c r="F8" s="12" t="s">
        <v>154</v>
      </c>
      <c r="G8" s="12" t="s">
        <v>5319</v>
      </c>
      <c r="H8" s="12" t="s">
        <v>1214</v>
      </c>
      <c r="I8" s="84">
        <v>26501147</v>
      </c>
      <c r="J8" s="12" t="s">
        <v>1215</v>
      </c>
      <c r="L8" s="12" t="str">
        <f>IF(OR(ISBLANK(tblSites[[#This Row],[Implementing Partner]]), tblSites[[#This Row],[Implementing Partner]]="-"), tblSites[[#This Row],[Site Agency]], tblSites[[#This Row],[Implementing Partner]])</f>
        <v>UNRWA</v>
      </c>
      <c r="M8" s="12" t="s">
        <v>55</v>
      </c>
      <c r="N8" s="12" t="str">
        <f>tblSites[[#This Row],[FinalImplementingPartner]]</f>
        <v>UNRWA</v>
      </c>
    </row>
    <row r="9" spans="1:14" x14ac:dyDescent="0.25">
      <c r="A9" s="12" t="s">
        <v>2259</v>
      </c>
      <c r="B9" s="12" t="s">
        <v>2260</v>
      </c>
      <c r="D9" t="s">
        <v>5313</v>
      </c>
      <c r="E9" s="12" t="s">
        <v>3178</v>
      </c>
      <c r="F9" s="12" t="s">
        <v>3219</v>
      </c>
      <c r="G9" s="12" t="s">
        <v>5320</v>
      </c>
      <c r="H9" s="12" t="s">
        <v>2260</v>
      </c>
      <c r="I9" s="84">
        <v>26502183</v>
      </c>
      <c r="J9" s="12" t="s">
        <v>1215</v>
      </c>
      <c r="L9" s="12" t="str">
        <f>IF(OR(ISBLANK(tblSites[[#This Row],[Implementing Partner]]), tblSites[[#This Row],[Implementing Partner]]="-"), tblSites[[#This Row],[Site Agency]], tblSites[[#This Row],[Implementing Partner]])</f>
        <v>UNRWA</v>
      </c>
      <c r="M9" s="12" t="s">
        <v>55</v>
      </c>
      <c r="N9" s="12" t="str">
        <f>tblSites[[#This Row],[FinalImplementingPartner]]</f>
        <v>UNRWA</v>
      </c>
    </row>
    <row r="10" spans="1:14" x14ac:dyDescent="0.25">
      <c r="A10" s="12" t="s">
        <v>1953</v>
      </c>
      <c r="B10" s="12" t="s">
        <v>1954</v>
      </c>
      <c r="C10" s="12" t="s">
        <v>1955</v>
      </c>
      <c r="D10" t="s">
        <v>5313</v>
      </c>
      <c r="E10" s="12" t="s">
        <v>3178</v>
      </c>
      <c r="F10" s="12" t="s">
        <v>3219</v>
      </c>
      <c r="G10" s="12" t="s">
        <v>5320</v>
      </c>
      <c r="H10" s="12" t="s">
        <v>1954</v>
      </c>
      <c r="I10" s="84">
        <v>26502183</v>
      </c>
      <c r="J10" s="12" t="s">
        <v>1215</v>
      </c>
      <c r="L10" s="12" t="str">
        <f>IF(OR(ISBLANK(tblSites[[#This Row],[Implementing Partner]]), tblSites[[#This Row],[Implementing Partner]]="-"), tblSites[[#This Row],[Site Agency]], tblSites[[#This Row],[Implementing Partner]])</f>
        <v>UNRWA</v>
      </c>
      <c r="M10" s="12" t="s">
        <v>55</v>
      </c>
      <c r="N10" s="12" t="str">
        <f>tblSites[[#This Row],[FinalImplementingPartner]]</f>
        <v>UNRWA</v>
      </c>
    </row>
    <row r="11" spans="1:14" x14ac:dyDescent="0.25">
      <c r="A11" s="12" t="s">
        <v>2245</v>
      </c>
      <c r="B11" s="12" t="s">
        <v>2246</v>
      </c>
      <c r="C11" s="12" t="s">
        <v>4590</v>
      </c>
      <c r="D11" t="s">
        <v>5313</v>
      </c>
      <c r="E11" s="12" t="s">
        <v>3178</v>
      </c>
      <c r="F11" s="12" t="s">
        <v>2665</v>
      </c>
      <c r="G11" s="12" t="s">
        <v>5321</v>
      </c>
      <c r="H11" s="12" t="s">
        <v>2246</v>
      </c>
      <c r="I11" s="84">
        <v>2650581</v>
      </c>
      <c r="J11" s="12" t="s">
        <v>1215</v>
      </c>
      <c r="L11" s="12" t="str">
        <f>IF(OR(ISBLANK(tblSites[[#This Row],[Implementing Partner]]), tblSites[[#This Row],[Implementing Partner]]="-"), tblSites[[#This Row],[Site Agency]], tblSites[[#This Row],[Implementing Partner]])</f>
        <v>UNRWA</v>
      </c>
      <c r="M11" s="12" t="s">
        <v>55</v>
      </c>
      <c r="N11" s="12" t="str">
        <f>tblSites[[#This Row],[FinalImplementingPartner]]</f>
        <v>UNRWA</v>
      </c>
    </row>
    <row r="12" spans="1:14" x14ac:dyDescent="0.25">
      <c r="A12" s="12" t="s">
        <v>1219</v>
      </c>
      <c r="B12" s="12" t="s">
        <v>1220</v>
      </c>
      <c r="D12" t="s">
        <v>5313</v>
      </c>
      <c r="E12" s="12" t="s">
        <v>3178</v>
      </c>
      <c r="F12" s="12" t="s">
        <v>3219</v>
      </c>
      <c r="G12" s="12" t="s">
        <v>5320</v>
      </c>
      <c r="H12" s="12" t="s">
        <v>1220</v>
      </c>
      <c r="I12" s="84">
        <v>26502183</v>
      </c>
      <c r="J12" s="12" t="s">
        <v>1215</v>
      </c>
      <c r="L12" s="12" t="str">
        <f>IF(OR(ISBLANK(tblSites[[#This Row],[Implementing Partner]]), tblSites[[#This Row],[Implementing Partner]]="-"), tblSites[[#This Row],[Site Agency]], tblSites[[#This Row],[Implementing Partner]])</f>
        <v>UNRWA</v>
      </c>
      <c r="M12" s="12" t="s">
        <v>55</v>
      </c>
      <c r="N12" s="12" t="str">
        <f>tblSites[[#This Row],[FinalImplementingPartner]]</f>
        <v>UNRWA</v>
      </c>
    </row>
    <row r="13" spans="1:14" x14ac:dyDescent="0.25">
      <c r="A13" s="12" t="s">
        <v>2240</v>
      </c>
      <c r="B13" s="12" t="s">
        <v>2241</v>
      </c>
      <c r="D13" t="s">
        <v>5313</v>
      </c>
      <c r="E13" s="12" t="s">
        <v>3178</v>
      </c>
      <c r="F13" s="12" t="s">
        <v>154</v>
      </c>
      <c r="G13" s="12" t="s">
        <v>5319</v>
      </c>
      <c r="H13" s="12" t="s">
        <v>2241</v>
      </c>
      <c r="I13" s="84">
        <v>26501147</v>
      </c>
      <c r="J13" s="12" t="s">
        <v>1215</v>
      </c>
      <c r="L13" s="12" t="str">
        <f>IF(OR(ISBLANK(tblSites[[#This Row],[Implementing Partner]]), tblSites[[#This Row],[Implementing Partner]]="-"), tblSites[[#This Row],[Site Agency]], tblSites[[#This Row],[Implementing Partner]])</f>
        <v>UNRWA</v>
      </c>
      <c r="M13" s="12" t="s">
        <v>55</v>
      </c>
      <c r="N13" s="12" t="str">
        <f>tblSites[[#This Row],[FinalImplementingPartner]]</f>
        <v>UNRWA</v>
      </c>
    </row>
    <row r="14" spans="1:14" x14ac:dyDescent="0.25">
      <c r="A14" s="12" t="s">
        <v>1265</v>
      </c>
      <c r="B14" s="12" t="s">
        <v>1266</v>
      </c>
      <c r="D14" t="s">
        <v>5313</v>
      </c>
      <c r="E14" s="12" t="s">
        <v>3178</v>
      </c>
      <c r="F14" s="12" t="s">
        <v>3219</v>
      </c>
      <c r="G14" s="12" t="s">
        <v>5320</v>
      </c>
      <c r="H14" s="12" t="s">
        <v>1266</v>
      </c>
      <c r="I14" s="84">
        <v>26502183</v>
      </c>
      <c r="J14" s="12" t="s">
        <v>1215</v>
      </c>
      <c r="L14" s="12" t="str">
        <f>IF(OR(ISBLANK(tblSites[[#This Row],[Implementing Partner]]), tblSites[[#This Row],[Implementing Partner]]="-"), tblSites[[#This Row],[Site Agency]], tblSites[[#This Row],[Implementing Partner]])</f>
        <v>UNRWA</v>
      </c>
      <c r="M14" s="12" t="s">
        <v>55</v>
      </c>
      <c r="N14" s="12" t="str">
        <f>tblSites[[#This Row],[FinalImplementingPartner]]</f>
        <v>UNRWA</v>
      </c>
    </row>
    <row r="15" spans="1:14" x14ac:dyDescent="0.25">
      <c r="A15" s="12" t="s">
        <v>1967</v>
      </c>
      <c r="B15" s="12" t="s">
        <v>1968</v>
      </c>
      <c r="D15" t="s">
        <v>5313</v>
      </c>
      <c r="E15" s="12" t="s">
        <v>3178</v>
      </c>
      <c r="F15" s="12" t="s">
        <v>3219</v>
      </c>
      <c r="G15" s="12" t="s">
        <v>5320</v>
      </c>
      <c r="H15" s="12" t="s">
        <v>1968</v>
      </c>
      <c r="I15" s="84">
        <v>26502183</v>
      </c>
      <c r="J15" s="12" t="s">
        <v>1215</v>
      </c>
      <c r="L15" s="12" t="str">
        <f>IF(OR(ISBLANK(tblSites[[#This Row],[Implementing Partner]]), tblSites[[#This Row],[Implementing Partner]]="-"), tblSites[[#This Row],[Site Agency]], tblSites[[#This Row],[Implementing Partner]])</f>
        <v>UNRWA</v>
      </c>
      <c r="M15" s="12" t="s">
        <v>55</v>
      </c>
      <c r="N15" s="12" t="str">
        <f>tblSites[[#This Row],[FinalImplementingPartner]]</f>
        <v>UNRWA</v>
      </c>
    </row>
    <row r="16" spans="1:14" x14ac:dyDescent="0.25">
      <c r="A16" s="12" t="s">
        <v>1962</v>
      </c>
      <c r="B16" s="12" t="s">
        <v>1963</v>
      </c>
      <c r="C16" s="12" t="s">
        <v>1964</v>
      </c>
      <c r="D16" t="s">
        <v>5313</v>
      </c>
      <c r="E16" s="12" t="s">
        <v>3178</v>
      </c>
      <c r="F16" s="12" t="s">
        <v>154</v>
      </c>
      <c r="G16" s="12" t="s">
        <v>5319</v>
      </c>
      <c r="H16" s="12" t="s">
        <v>1963</v>
      </c>
      <c r="I16" s="84">
        <v>26501147</v>
      </c>
      <c r="J16" s="12" t="s">
        <v>1215</v>
      </c>
      <c r="L16" s="12" t="str">
        <f>IF(OR(ISBLANK(tblSites[[#This Row],[Implementing Partner]]), tblSites[[#This Row],[Implementing Partner]]="-"), tblSites[[#This Row],[Site Agency]], tblSites[[#This Row],[Implementing Partner]])</f>
        <v>UNRWA</v>
      </c>
      <c r="M16" s="12" t="s">
        <v>55</v>
      </c>
      <c r="N16" s="12" t="str">
        <f>tblSites[[#This Row],[FinalImplementingPartner]]</f>
        <v>UNRWA</v>
      </c>
    </row>
    <row r="17" spans="1:14" x14ac:dyDescent="0.25">
      <c r="A17" s="12" t="s">
        <v>1956</v>
      </c>
      <c r="B17" s="12" t="s">
        <v>1957</v>
      </c>
      <c r="C17" s="12" t="s">
        <v>1958</v>
      </c>
      <c r="D17" t="s">
        <v>5313</v>
      </c>
      <c r="E17" s="12" t="s">
        <v>3178</v>
      </c>
      <c r="F17" s="12" t="s">
        <v>154</v>
      </c>
      <c r="G17" s="12" t="s">
        <v>5319</v>
      </c>
      <c r="H17" s="12" t="s">
        <v>1957</v>
      </c>
      <c r="I17" s="84">
        <v>26501147</v>
      </c>
      <c r="J17" s="12" t="s">
        <v>1215</v>
      </c>
      <c r="L17" s="12" t="str">
        <f>IF(OR(ISBLANK(tblSites[[#This Row],[Implementing Partner]]), tblSites[[#This Row],[Implementing Partner]]="-"), tblSites[[#This Row],[Site Agency]], tblSites[[#This Row],[Implementing Partner]])</f>
        <v>UNRWA</v>
      </c>
      <c r="M17" s="12" t="s">
        <v>55</v>
      </c>
      <c r="N17" s="12" t="str">
        <f>tblSites[[#This Row],[FinalImplementingPartner]]</f>
        <v>UNRWA</v>
      </c>
    </row>
    <row r="18" spans="1:14" x14ac:dyDescent="0.25">
      <c r="A18" s="12" t="s">
        <v>1965</v>
      </c>
      <c r="B18" s="12" t="s">
        <v>1966</v>
      </c>
      <c r="D18" t="s">
        <v>5313</v>
      </c>
      <c r="E18" s="12" t="s">
        <v>3178</v>
      </c>
      <c r="F18" s="12" t="s">
        <v>154</v>
      </c>
      <c r="G18" s="12" t="s">
        <v>5319</v>
      </c>
      <c r="H18" s="12" t="s">
        <v>1966</v>
      </c>
      <c r="I18" s="84">
        <v>26501147</v>
      </c>
      <c r="J18" s="12" t="s">
        <v>1215</v>
      </c>
      <c r="L18" s="12" t="str">
        <f>IF(OR(ISBLANK(tblSites[[#This Row],[Implementing Partner]]), tblSites[[#This Row],[Implementing Partner]]="-"), tblSites[[#This Row],[Site Agency]], tblSites[[#This Row],[Implementing Partner]])</f>
        <v>UNRWA</v>
      </c>
      <c r="M18" s="12" t="s">
        <v>55</v>
      </c>
      <c r="N18" s="12" t="str">
        <f>tblSites[[#This Row],[FinalImplementingPartner]]</f>
        <v>UNRWA</v>
      </c>
    </row>
    <row r="19" spans="1:14" x14ac:dyDescent="0.25">
      <c r="A19" s="12" t="s">
        <v>1232</v>
      </c>
      <c r="B19" s="12" t="s">
        <v>1233</v>
      </c>
      <c r="D19" t="s">
        <v>5313</v>
      </c>
      <c r="E19" s="12" t="s">
        <v>3178</v>
      </c>
      <c r="F19" s="12" t="s">
        <v>154</v>
      </c>
      <c r="G19" s="12" t="s">
        <v>5319</v>
      </c>
      <c r="H19" s="12" t="s">
        <v>1233</v>
      </c>
      <c r="I19" s="84">
        <v>26501147</v>
      </c>
      <c r="J19" s="12" t="s">
        <v>1215</v>
      </c>
      <c r="L19" s="12" t="str">
        <f>IF(OR(ISBLANK(tblSites[[#This Row],[Implementing Partner]]), tblSites[[#This Row],[Implementing Partner]]="-"), tblSites[[#This Row],[Site Agency]], tblSites[[#This Row],[Implementing Partner]])</f>
        <v>UNRWA</v>
      </c>
      <c r="M19" s="12" t="s">
        <v>55</v>
      </c>
      <c r="N19" s="12" t="str">
        <f>tblSites[[#This Row],[FinalImplementingPartner]]</f>
        <v>UNRWA</v>
      </c>
    </row>
    <row r="20" spans="1:14" x14ac:dyDescent="0.25">
      <c r="A20" s="12" t="s">
        <v>1959</v>
      </c>
      <c r="B20" s="12" t="s">
        <v>1960</v>
      </c>
      <c r="C20" s="12" t="s">
        <v>1961</v>
      </c>
      <c r="D20" t="s">
        <v>5313</v>
      </c>
      <c r="E20" s="12" t="s">
        <v>3178</v>
      </c>
      <c r="F20" s="12" t="s">
        <v>1228</v>
      </c>
      <c r="G20" s="12" t="s">
        <v>5322</v>
      </c>
      <c r="H20" s="12" t="s">
        <v>1960</v>
      </c>
      <c r="I20" s="84">
        <v>26504182</v>
      </c>
      <c r="J20" s="12" t="s">
        <v>1215</v>
      </c>
      <c r="L20" s="12" t="str">
        <f>IF(OR(ISBLANK(tblSites[[#This Row],[Implementing Partner]]), tblSites[[#This Row],[Implementing Partner]]="-"), tblSites[[#This Row],[Site Agency]], tblSites[[#This Row],[Implementing Partner]])</f>
        <v>UNRWA</v>
      </c>
      <c r="M20" s="12" t="s">
        <v>55</v>
      </c>
      <c r="N20" s="12" t="str">
        <f>tblSites[[#This Row],[FinalImplementingPartner]]</f>
        <v>UNRWA</v>
      </c>
    </row>
    <row r="21" spans="1:14" x14ac:dyDescent="0.25">
      <c r="A21" s="12" t="s">
        <v>2242</v>
      </c>
      <c r="B21" s="12" t="s">
        <v>2243</v>
      </c>
      <c r="C21" s="12" t="s">
        <v>2244</v>
      </c>
      <c r="D21" t="s">
        <v>5313</v>
      </c>
      <c r="E21" s="12" t="s">
        <v>3178</v>
      </c>
      <c r="F21" s="12" t="s">
        <v>1228</v>
      </c>
      <c r="G21" s="12" t="s">
        <v>5322</v>
      </c>
      <c r="H21" s="12" t="s">
        <v>2243</v>
      </c>
      <c r="I21" s="84">
        <v>26504182</v>
      </c>
      <c r="J21" s="12" t="s">
        <v>1215</v>
      </c>
      <c r="L21" s="12" t="str">
        <f>IF(OR(ISBLANK(tblSites[[#This Row],[Implementing Partner]]), tblSites[[#This Row],[Implementing Partner]]="-"), tblSites[[#This Row],[Site Agency]], tblSites[[#This Row],[Implementing Partner]])</f>
        <v>UNRWA</v>
      </c>
      <c r="M21" s="12" t="s">
        <v>55</v>
      </c>
      <c r="N21" s="12" t="str">
        <f>tblSites[[#This Row],[FinalImplementingPartner]]</f>
        <v>UNRWA</v>
      </c>
    </row>
    <row r="22" spans="1:14" x14ac:dyDescent="0.25">
      <c r="A22" s="12" t="s">
        <v>1229</v>
      </c>
      <c r="B22" s="12" t="s">
        <v>1230</v>
      </c>
      <c r="C22" s="12" t="s">
        <v>1231</v>
      </c>
      <c r="D22" t="s">
        <v>5313</v>
      </c>
      <c r="E22" s="12" t="s">
        <v>3178</v>
      </c>
      <c r="F22" s="12" t="s">
        <v>1228</v>
      </c>
      <c r="G22" s="12" t="s">
        <v>5322</v>
      </c>
      <c r="H22" s="12" t="s">
        <v>1230</v>
      </c>
      <c r="I22" s="84">
        <v>26504182</v>
      </c>
      <c r="J22" s="12" t="s">
        <v>1215</v>
      </c>
      <c r="L22" s="12" t="str">
        <f>IF(OR(ISBLANK(tblSites[[#This Row],[Implementing Partner]]), tblSites[[#This Row],[Implementing Partner]]="-"), tblSites[[#This Row],[Site Agency]], tblSites[[#This Row],[Implementing Partner]])</f>
        <v>UNRWA</v>
      </c>
      <c r="M22" s="12" t="s">
        <v>55</v>
      </c>
      <c r="N22" s="12" t="str">
        <f>tblSites[[#This Row],[FinalImplementingPartner]]</f>
        <v>UNRWA</v>
      </c>
    </row>
    <row r="23" spans="1:14" x14ac:dyDescent="0.25">
      <c r="A23" s="12" t="s">
        <v>1216</v>
      </c>
      <c r="B23" s="12" t="s">
        <v>1217</v>
      </c>
      <c r="D23" t="s">
        <v>5313</v>
      </c>
      <c r="E23" s="12" t="s">
        <v>3178</v>
      </c>
      <c r="F23" s="12" t="s">
        <v>1218</v>
      </c>
      <c r="G23" s="12" t="s">
        <v>5323</v>
      </c>
      <c r="H23" s="12" t="s">
        <v>1217</v>
      </c>
      <c r="I23" s="84">
        <v>26507184</v>
      </c>
      <c r="J23" s="12" t="s">
        <v>1215</v>
      </c>
      <c r="L23" s="12" t="str">
        <f>IF(OR(ISBLANK(tblSites[[#This Row],[Implementing Partner]]), tblSites[[#This Row],[Implementing Partner]]="-"), tblSites[[#This Row],[Site Agency]], tblSites[[#This Row],[Implementing Partner]])</f>
        <v>UNRWA</v>
      </c>
      <c r="M23" s="12" t="s">
        <v>55</v>
      </c>
      <c r="N23" s="12" t="str">
        <f>tblSites[[#This Row],[FinalImplementingPartner]]</f>
        <v>UNRWA</v>
      </c>
    </row>
    <row r="24" spans="1:14" x14ac:dyDescent="0.25">
      <c r="A24" s="12" t="s">
        <v>1223</v>
      </c>
      <c r="B24" s="12" t="s">
        <v>1224</v>
      </c>
      <c r="D24" t="s">
        <v>5313</v>
      </c>
      <c r="E24" s="12" t="s">
        <v>3178</v>
      </c>
      <c r="F24" s="12" t="s">
        <v>1218</v>
      </c>
      <c r="G24" s="12" t="s">
        <v>5323</v>
      </c>
      <c r="H24" s="12" t="s">
        <v>1224</v>
      </c>
      <c r="I24" s="84">
        <v>26507184</v>
      </c>
      <c r="J24" s="12" t="s">
        <v>1215</v>
      </c>
      <c r="L24" s="12" t="str">
        <f>IF(OR(ISBLANK(tblSites[[#This Row],[Implementing Partner]]), tblSites[[#This Row],[Implementing Partner]]="-"), tblSites[[#This Row],[Site Agency]], tblSites[[#This Row],[Implementing Partner]])</f>
        <v>UNRWA</v>
      </c>
      <c r="M24" s="12" t="s">
        <v>55</v>
      </c>
      <c r="N24" s="12" t="str">
        <f>tblSites[[#This Row],[FinalImplementingPartner]]</f>
        <v>UNRWA</v>
      </c>
    </row>
    <row r="25" spans="1:14" x14ac:dyDescent="0.25">
      <c r="A25" s="12" t="s">
        <v>1221</v>
      </c>
      <c r="B25" s="12" t="s">
        <v>1222</v>
      </c>
      <c r="D25" t="s">
        <v>5313</v>
      </c>
      <c r="E25" s="12" t="s">
        <v>3178</v>
      </c>
      <c r="F25" s="12" t="s">
        <v>1218</v>
      </c>
      <c r="G25" s="12" t="s">
        <v>5323</v>
      </c>
      <c r="H25" s="12" t="s">
        <v>1222</v>
      </c>
      <c r="I25" s="84">
        <v>26507184</v>
      </c>
      <c r="J25" s="12" t="s">
        <v>1215</v>
      </c>
      <c r="L25" s="12" t="str">
        <f>IF(OR(ISBLANK(tblSites[[#This Row],[Implementing Partner]]), tblSites[[#This Row],[Implementing Partner]]="-"), tblSites[[#This Row],[Site Agency]], tblSites[[#This Row],[Implementing Partner]])</f>
        <v>UNRWA</v>
      </c>
      <c r="M25" s="12" t="s">
        <v>55</v>
      </c>
      <c r="N25" s="12" t="str">
        <f>tblSites[[#This Row],[FinalImplementingPartner]]</f>
        <v>UNRWA</v>
      </c>
    </row>
    <row r="26" spans="1:14" x14ac:dyDescent="0.25">
      <c r="A26" s="12" t="s">
        <v>971</v>
      </c>
      <c r="B26" s="12" t="s">
        <v>972</v>
      </c>
      <c r="C26" s="47" t="s">
        <v>973</v>
      </c>
      <c r="D26" t="s">
        <v>5313</v>
      </c>
      <c r="E26" s="12" t="s">
        <v>3178</v>
      </c>
      <c r="F26" s="12" t="s">
        <v>974</v>
      </c>
      <c r="G26" s="12" t="s">
        <v>5324</v>
      </c>
      <c r="H26" s="12" t="s">
        <v>972</v>
      </c>
      <c r="I26" s="84">
        <v>2651089</v>
      </c>
      <c r="J26" s="12" t="s">
        <v>5</v>
      </c>
      <c r="K26" s="12" t="s">
        <v>119</v>
      </c>
      <c r="L26" s="12" t="str">
        <f>IF(OR(ISBLANK(tblSites[[#This Row],[Implementing Partner]]), tblSites[[#This Row],[Implementing Partner]]="-"), tblSites[[#This Row],[Site Agency]], tblSites[[#This Row],[Implementing Partner]])</f>
        <v>BLDA</v>
      </c>
      <c r="M26" s="12" t="s">
        <v>55</v>
      </c>
      <c r="N26" s="12" t="str">
        <f>tblSites[[#This Row],[FinalImplementingPartner]]</f>
        <v>BLDA</v>
      </c>
    </row>
    <row r="27" spans="1:14" x14ac:dyDescent="0.25">
      <c r="A27" s="12" t="s">
        <v>148</v>
      </c>
      <c r="B27" s="12" t="s">
        <v>149</v>
      </c>
      <c r="C27" s="12" t="s">
        <v>150</v>
      </c>
      <c r="D27" t="s">
        <v>5313</v>
      </c>
      <c r="E27" s="12" t="s">
        <v>3178</v>
      </c>
      <c r="F27" s="12" t="s">
        <v>118</v>
      </c>
      <c r="G27" s="12" t="s">
        <v>5325</v>
      </c>
      <c r="H27" s="12" t="s">
        <v>149</v>
      </c>
      <c r="I27" s="84">
        <v>2651092</v>
      </c>
      <c r="J27" s="12" t="s">
        <v>5102</v>
      </c>
      <c r="L27" s="12" t="str">
        <f>IF(OR(ISBLANK(tblSites[[#This Row],[Implementing Partner]]), tblSites[[#This Row],[Implementing Partner]]="-"), tblSites[[#This Row],[Site Agency]], tblSites[[#This Row],[Implementing Partner]])</f>
        <v>No SMA</v>
      </c>
      <c r="M27" s="12" t="s">
        <v>55</v>
      </c>
      <c r="N27" s="12" t="str">
        <f>tblSites[[#This Row],[FinalImplementingPartner]]</f>
        <v>No SMA</v>
      </c>
    </row>
    <row r="28" spans="1:14" x14ac:dyDescent="0.25">
      <c r="A28" s="12" t="s">
        <v>94</v>
      </c>
      <c r="B28" s="12" t="s">
        <v>95</v>
      </c>
      <c r="C28" s="12" t="s">
        <v>96</v>
      </c>
      <c r="D28" t="s">
        <v>5313</v>
      </c>
      <c r="E28" s="12" t="s">
        <v>3178</v>
      </c>
      <c r="F28" s="12" t="s">
        <v>97</v>
      </c>
      <c r="G28" s="12" t="s">
        <v>5326</v>
      </c>
      <c r="H28" s="12" t="s">
        <v>95</v>
      </c>
      <c r="I28" s="84">
        <v>2650595</v>
      </c>
      <c r="J28" s="12" t="s">
        <v>7</v>
      </c>
      <c r="L28" s="12" t="str">
        <f>IF(OR(ISBLANK(tblSites[[#This Row],[Implementing Partner]]), tblSites[[#This Row],[Implementing Partner]]="-"), tblSites[[#This Row],[Site Agency]], tblSites[[#This Row],[Implementing Partner]])</f>
        <v>ACTED</v>
      </c>
      <c r="M28" s="12" t="s">
        <v>55</v>
      </c>
      <c r="N28" s="12" t="str">
        <f>tblSites[[#This Row],[FinalImplementingPartner]]</f>
        <v>ACTED</v>
      </c>
    </row>
    <row r="29" spans="1:14" x14ac:dyDescent="0.25">
      <c r="A29" s="12" t="s">
        <v>2508</v>
      </c>
      <c r="B29" s="12" t="s">
        <v>2509</v>
      </c>
      <c r="C29" s="12" t="s">
        <v>2510</v>
      </c>
      <c r="D29" t="s">
        <v>5313</v>
      </c>
      <c r="E29" s="12" t="s">
        <v>3178</v>
      </c>
      <c r="F29" s="12" t="s">
        <v>349</v>
      </c>
      <c r="G29" s="12" t="s">
        <v>5327</v>
      </c>
      <c r="H29" s="12" t="s">
        <v>2509</v>
      </c>
      <c r="I29" s="84">
        <v>26510152</v>
      </c>
      <c r="J29" s="12" t="s">
        <v>5102</v>
      </c>
      <c r="L29" s="12" t="str">
        <f>IF(OR(ISBLANK(tblSites[[#This Row],[Implementing Partner]]), tblSites[[#This Row],[Implementing Partner]]="-"), tblSites[[#This Row],[Site Agency]], tblSites[[#This Row],[Implementing Partner]])</f>
        <v>No SMA</v>
      </c>
      <c r="M29" s="12" t="s">
        <v>55</v>
      </c>
      <c r="N29" s="12" t="str">
        <f>tblSites[[#This Row],[FinalImplementingPartner]]</f>
        <v>No SMA</v>
      </c>
    </row>
    <row r="30" spans="1:14" x14ac:dyDescent="0.25">
      <c r="A30" s="12" t="s">
        <v>1993</v>
      </c>
      <c r="B30" s="12" t="s">
        <v>3992</v>
      </c>
      <c r="C30" s="12" t="s">
        <v>1994</v>
      </c>
      <c r="D30" t="s">
        <v>5313</v>
      </c>
      <c r="E30" s="12" t="s">
        <v>3178</v>
      </c>
      <c r="F30" s="12" t="s">
        <v>1992</v>
      </c>
      <c r="G30" s="12" t="s">
        <v>5328</v>
      </c>
      <c r="H30" s="12" t="s">
        <v>3992</v>
      </c>
      <c r="I30" s="84">
        <v>26506150</v>
      </c>
      <c r="J30" s="12" t="s">
        <v>5102</v>
      </c>
      <c r="L30" s="12" t="str">
        <f>IF(OR(ISBLANK(tblSites[[#This Row],[Implementing Partner]]), tblSites[[#This Row],[Implementing Partner]]="-"), tblSites[[#This Row],[Site Agency]], tblSites[[#This Row],[Implementing Partner]])</f>
        <v>No SMA</v>
      </c>
      <c r="M30" s="12" t="s">
        <v>55</v>
      </c>
      <c r="N30" s="12" t="str">
        <f>tblSites[[#This Row],[FinalImplementingPartner]]</f>
        <v>No SMA</v>
      </c>
    </row>
    <row r="31" spans="1:14" x14ac:dyDescent="0.25">
      <c r="A31" s="12" t="s">
        <v>142</v>
      </c>
      <c r="B31" s="12" t="s">
        <v>143</v>
      </c>
      <c r="C31" s="12" t="s">
        <v>144</v>
      </c>
      <c r="D31" t="s">
        <v>5313</v>
      </c>
      <c r="E31" s="12" t="s">
        <v>3178</v>
      </c>
      <c r="F31" s="12" t="s">
        <v>125</v>
      </c>
      <c r="G31" s="12" t="s">
        <v>5329</v>
      </c>
      <c r="H31" s="12" t="s">
        <v>143</v>
      </c>
      <c r="I31" s="84">
        <v>2651094</v>
      </c>
      <c r="L31" s="12">
        <f>IF(OR(ISBLANK(tblSites[[#This Row],[Implementing Partner]]), tblSites[[#This Row],[Implementing Partner]]="-"), tblSites[[#This Row],[Site Agency]], tblSites[[#This Row],[Implementing Partner]])</f>
        <v>0</v>
      </c>
      <c r="M31" s="12" t="s">
        <v>55</v>
      </c>
      <c r="N31" s="12">
        <f>tblSites[[#This Row],[FinalImplementingPartner]]</f>
        <v>0</v>
      </c>
    </row>
    <row r="32" spans="1:14" x14ac:dyDescent="0.25">
      <c r="A32" s="12" t="s">
        <v>2148</v>
      </c>
      <c r="B32" s="12" t="s">
        <v>2149</v>
      </c>
      <c r="C32" s="12" t="s">
        <v>2150</v>
      </c>
      <c r="D32" t="s">
        <v>5313</v>
      </c>
      <c r="E32" s="12" t="s">
        <v>3178</v>
      </c>
      <c r="F32" s="12" t="s">
        <v>125</v>
      </c>
      <c r="G32" s="12" t="s">
        <v>5330</v>
      </c>
      <c r="H32" s="12" t="s">
        <v>2149</v>
      </c>
      <c r="I32" s="84">
        <v>2651094</v>
      </c>
      <c r="J32" s="12" t="s">
        <v>5</v>
      </c>
      <c r="K32" s="12" t="s">
        <v>119</v>
      </c>
      <c r="L32" s="12" t="str">
        <f>IF(OR(ISBLANK(tblSites[[#This Row],[Implementing Partner]]), tblSites[[#This Row],[Implementing Partner]]="-"), tblSites[[#This Row],[Site Agency]], tblSites[[#This Row],[Implementing Partner]])</f>
        <v>BLDA</v>
      </c>
      <c r="M32" s="12" t="s">
        <v>55</v>
      </c>
      <c r="N32" s="12" t="str">
        <f>tblSites[[#This Row],[FinalImplementingPartner]]</f>
        <v>BLDA</v>
      </c>
    </row>
    <row r="33" spans="1:14" x14ac:dyDescent="0.25">
      <c r="A33" s="12" t="s">
        <v>533</v>
      </c>
      <c r="B33" s="12" t="s">
        <v>534</v>
      </c>
      <c r="C33" s="12" t="s">
        <v>535</v>
      </c>
      <c r="D33" t="s">
        <v>5313</v>
      </c>
      <c r="E33" s="12" t="s">
        <v>3178</v>
      </c>
      <c r="F33" s="12" t="s">
        <v>163</v>
      </c>
      <c r="G33" s="12" t="s">
        <v>5331</v>
      </c>
      <c r="H33" s="12" t="s">
        <v>534</v>
      </c>
      <c r="I33" s="84">
        <v>2651093</v>
      </c>
      <c r="J33" s="12" t="s">
        <v>5</v>
      </c>
      <c r="K33" s="12" t="s">
        <v>83</v>
      </c>
      <c r="L33" s="12" t="str">
        <f>IF(OR(ISBLANK(tblSites[[#This Row],[Implementing Partner]]), tblSites[[#This Row],[Implementing Partner]]="-"), tblSites[[#This Row],[Site Agency]], tblSites[[#This Row],[Implementing Partner]])</f>
        <v>CESVI</v>
      </c>
      <c r="M33" s="12" t="s">
        <v>55</v>
      </c>
      <c r="N33" s="12" t="str">
        <f>tblSites[[#This Row],[FinalImplementingPartner]]</f>
        <v>CESVI</v>
      </c>
    </row>
    <row r="34" spans="1:14" x14ac:dyDescent="0.25">
      <c r="A34" s="12" t="s">
        <v>1989</v>
      </c>
      <c r="B34" s="12" t="s">
        <v>1990</v>
      </c>
      <c r="C34" s="12" t="s">
        <v>1991</v>
      </c>
      <c r="D34" t="s">
        <v>5313</v>
      </c>
      <c r="E34" s="12" t="s">
        <v>3178</v>
      </c>
      <c r="F34" s="12" t="s">
        <v>1992</v>
      </c>
      <c r="G34" s="12" t="s">
        <v>5328</v>
      </c>
      <c r="H34" s="12" t="s">
        <v>1990</v>
      </c>
      <c r="I34" s="84">
        <v>26506150</v>
      </c>
      <c r="J34" s="12" t="s">
        <v>5102</v>
      </c>
      <c r="L34" s="12" t="str">
        <f>IF(OR(ISBLANK(tblSites[[#This Row],[Implementing Partner]]), tblSites[[#This Row],[Implementing Partner]]="-"), tblSites[[#This Row],[Site Agency]], tblSites[[#This Row],[Implementing Partner]])</f>
        <v>No SMA</v>
      </c>
      <c r="M34" s="12" t="s">
        <v>55</v>
      </c>
      <c r="N34" s="12" t="str">
        <f>tblSites[[#This Row],[FinalImplementingPartner]]</f>
        <v>No SMA</v>
      </c>
    </row>
    <row r="35" spans="1:14" x14ac:dyDescent="0.25">
      <c r="A35" s="12" t="s">
        <v>708</v>
      </c>
      <c r="B35" s="12" t="s">
        <v>709</v>
      </c>
      <c r="C35" s="12" t="s">
        <v>710</v>
      </c>
      <c r="D35" t="s">
        <v>5313</v>
      </c>
      <c r="E35" s="12" t="s">
        <v>3178</v>
      </c>
      <c r="F35" s="12" t="s">
        <v>163</v>
      </c>
      <c r="G35" s="12" t="s">
        <v>5332</v>
      </c>
      <c r="H35" s="12" t="s">
        <v>709</v>
      </c>
      <c r="I35" s="84">
        <v>2651093</v>
      </c>
      <c r="J35" s="12" t="s">
        <v>5</v>
      </c>
      <c r="K35" s="12" t="s">
        <v>119</v>
      </c>
      <c r="L35" s="12" t="str">
        <f>IF(OR(ISBLANK(tblSites[[#This Row],[Implementing Partner]]), tblSites[[#This Row],[Implementing Partner]]="-"), tblSites[[#This Row],[Site Agency]], tblSites[[#This Row],[Implementing Partner]])</f>
        <v>BLDA</v>
      </c>
      <c r="M35" s="12" t="s">
        <v>55</v>
      </c>
      <c r="N35" s="12" t="str">
        <f>tblSites[[#This Row],[FinalImplementingPartner]]</f>
        <v>BLDA</v>
      </c>
    </row>
    <row r="36" spans="1:14" x14ac:dyDescent="0.25">
      <c r="A36" s="12" t="s">
        <v>2489</v>
      </c>
      <c r="B36" s="12" t="s">
        <v>2490</v>
      </c>
      <c r="C36" s="12" t="s">
        <v>389</v>
      </c>
      <c r="D36" t="s">
        <v>5313</v>
      </c>
      <c r="E36" s="12" t="s">
        <v>3178</v>
      </c>
      <c r="F36" s="12" t="s">
        <v>361</v>
      </c>
      <c r="G36" s="12" t="s">
        <v>5333</v>
      </c>
      <c r="H36" s="12" t="s">
        <v>2490</v>
      </c>
      <c r="I36" s="84">
        <v>2651099</v>
      </c>
      <c r="J36" s="12" t="s">
        <v>5102</v>
      </c>
      <c r="L36" s="12" t="str">
        <f>IF(OR(ISBLANK(tblSites[[#This Row],[Implementing Partner]]), tblSites[[#This Row],[Implementing Partner]]="-"), tblSites[[#This Row],[Site Agency]], tblSites[[#This Row],[Implementing Partner]])</f>
        <v>No SMA</v>
      </c>
      <c r="M36" s="12" t="s">
        <v>55</v>
      </c>
      <c r="N36" s="12" t="str">
        <f>tblSites[[#This Row],[FinalImplementingPartner]]</f>
        <v>No SMA</v>
      </c>
    </row>
    <row r="37" spans="1:14" x14ac:dyDescent="0.25">
      <c r="A37" s="12" t="s">
        <v>2440</v>
      </c>
      <c r="B37" s="12" t="s">
        <v>2441</v>
      </c>
      <c r="C37" s="12" t="s">
        <v>2442</v>
      </c>
      <c r="D37" t="s">
        <v>5313</v>
      </c>
      <c r="E37" s="12" t="s">
        <v>3178</v>
      </c>
      <c r="F37" s="12" t="s">
        <v>1724</v>
      </c>
      <c r="G37" s="12" t="s">
        <v>5334</v>
      </c>
      <c r="H37" s="12" t="s">
        <v>2441</v>
      </c>
      <c r="I37" s="84">
        <v>26510151</v>
      </c>
      <c r="J37" s="12" t="s">
        <v>5102</v>
      </c>
      <c r="L37" s="12" t="str">
        <f>IF(OR(ISBLANK(tblSites[[#This Row],[Implementing Partner]]), tblSites[[#This Row],[Implementing Partner]]="-"), tblSites[[#This Row],[Site Agency]], tblSites[[#This Row],[Implementing Partner]])</f>
        <v>No SMA</v>
      </c>
      <c r="M37" s="12" t="s">
        <v>55</v>
      </c>
      <c r="N37" s="12" t="str">
        <f>tblSites[[#This Row],[FinalImplementingPartner]]</f>
        <v>No SMA</v>
      </c>
    </row>
    <row r="38" spans="1:14" x14ac:dyDescent="0.25">
      <c r="A38" s="12" t="s">
        <v>2175</v>
      </c>
      <c r="B38" s="12" t="s">
        <v>2176</v>
      </c>
      <c r="C38" s="12" t="s">
        <v>2177</v>
      </c>
      <c r="D38" t="s">
        <v>5313</v>
      </c>
      <c r="E38" s="12" t="s">
        <v>3178</v>
      </c>
      <c r="F38" s="12" t="s">
        <v>118</v>
      </c>
      <c r="G38" s="12" t="s">
        <v>5325</v>
      </c>
      <c r="H38" s="12" t="s">
        <v>2176</v>
      </c>
      <c r="I38" s="84">
        <v>2651092</v>
      </c>
      <c r="J38" s="12" t="s">
        <v>5102</v>
      </c>
      <c r="L38" s="12" t="str">
        <f>IF(OR(ISBLANK(tblSites[[#This Row],[Implementing Partner]]), tblSites[[#This Row],[Implementing Partner]]="-"), tblSites[[#This Row],[Site Agency]], tblSites[[#This Row],[Implementing Partner]])</f>
        <v>No SMA</v>
      </c>
      <c r="M38" s="12" t="s">
        <v>55</v>
      </c>
      <c r="N38" s="12" t="str">
        <f>tblSites[[#This Row],[FinalImplementingPartner]]</f>
        <v>No SMA</v>
      </c>
    </row>
    <row r="39" spans="1:14" x14ac:dyDescent="0.25">
      <c r="A39" s="12" t="s">
        <v>1665</v>
      </c>
      <c r="B39" s="12" t="s">
        <v>1666</v>
      </c>
      <c r="C39" s="12" t="s">
        <v>1667</v>
      </c>
      <c r="D39" t="s">
        <v>5313</v>
      </c>
      <c r="E39" s="12" t="s">
        <v>3178</v>
      </c>
      <c r="F39" s="12" t="s">
        <v>1212</v>
      </c>
      <c r="G39" s="12" t="s">
        <v>5335</v>
      </c>
      <c r="H39" s="12" t="s">
        <v>1666</v>
      </c>
      <c r="I39" s="84">
        <v>2650597</v>
      </c>
      <c r="J39" s="12" t="s">
        <v>5102</v>
      </c>
      <c r="L39" s="12" t="str">
        <f>IF(OR(ISBLANK(tblSites[[#This Row],[Implementing Partner]]), tblSites[[#This Row],[Implementing Partner]]="-"), tblSites[[#This Row],[Site Agency]], tblSites[[#This Row],[Implementing Partner]])</f>
        <v>No SMA</v>
      </c>
      <c r="M39" s="12" t="s">
        <v>55</v>
      </c>
      <c r="N39" s="12" t="str">
        <f>tblSites[[#This Row],[FinalImplementingPartner]]</f>
        <v>No SMA</v>
      </c>
    </row>
    <row r="40" spans="1:14" x14ac:dyDescent="0.25">
      <c r="A40" s="12" t="s">
        <v>408</v>
      </c>
      <c r="B40" s="12" t="s">
        <v>409</v>
      </c>
      <c r="C40" s="12" t="s">
        <v>410</v>
      </c>
      <c r="D40" t="s">
        <v>5313</v>
      </c>
      <c r="E40" s="12" t="s">
        <v>3178</v>
      </c>
      <c r="F40" s="12" t="s">
        <v>154</v>
      </c>
      <c r="G40" s="12" t="s">
        <v>5336</v>
      </c>
      <c r="H40" s="12" t="s">
        <v>409</v>
      </c>
      <c r="I40" s="84">
        <v>26501147</v>
      </c>
      <c r="J40" s="12" t="s">
        <v>5102</v>
      </c>
      <c r="L40" s="12" t="str">
        <f>IF(OR(ISBLANK(tblSites[[#This Row],[Implementing Partner]]), tblSites[[#This Row],[Implementing Partner]]="-"), tblSites[[#This Row],[Site Agency]], tblSites[[#This Row],[Implementing Partner]])</f>
        <v>No SMA</v>
      </c>
      <c r="M40" s="12" t="s">
        <v>55</v>
      </c>
      <c r="N40" s="12" t="str">
        <f>tblSites[[#This Row],[FinalImplementingPartner]]</f>
        <v>No SMA</v>
      </c>
    </row>
    <row r="41" spans="1:14" x14ac:dyDescent="0.25">
      <c r="A41" s="12" t="s">
        <v>1209</v>
      </c>
      <c r="B41" s="12" t="s">
        <v>1210</v>
      </c>
      <c r="C41" s="12" t="s">
        <v>1211</v>
      </c>
      <c r="D41" t="s">
        <v>5313</v>
      </c>
      <c r="E41" s="12" t="s">
        <v>3178</v>
      </c>
      <c r="F41" s="12" t="s">
        <v>154</v>
      </c>
      <c r="G41" s="12" t="s">
        <v>5336</v>
      </c>
      <c r="H41" s="12" t="s">
        <v>1210</v>
      </c>
      <c r="I41" s="84">
        <v>26501147</v>
      </c>
      <c r="J41" s="12" t="s">
        <v>5102</v>
      </c>
      <c r="L41" s="12" t="str">
        <f>IF(OR(ISBLANK(tblSites[[#This Row],[Implementing Partner]]), tblSites[[#This Row],[Implementing Partner]]="-"), tblSites[[#This Row],[Site Agency]], tblSites[[#This Row],[Implementing Partner]])</f>
        <v>No SMA</v>
      </c>
      <c r="M41" s="12" t="s">
        <v>55</v>
      </c>
      <c r="N41" s="12" t="str">
        <f>tblSites[[#This Row],[FinalImplementingPartner]]</f>
        <v>No SMA</v>
      </c>
    </row>
    <row r="42" spans="1:14" x14ac:dyDescent="0.25">
      <c r="A42" s="12" t="s">
        <v>2555</v>
      </c>
      <c r="B42" s="12" t="s">
        <v>2556</v>
      </c>
      <c r="D42" t="s">
        <v>5313</v>
      </c>
      <c r="E42" s="12" t="s">
        <v>3178</v>
      </c>
      <c r="F42" s="12" t="s">
        <v>3219</v>
      </c>
      <c r="G42" s="12" t="s">
        <v>5337</v>
      </c>
      <c r="H42" s="12" t="s">
        <v>2556</v>
      </c>
      <c r="I42" s="84">
        <v>26502183</v>
      </c>
      <c r="J42" s="12" t="s">
        <v>5102</v>
      </c>
      <c r="L42" s="12" t="str">
        <f>IF(OR(ISBLANK(tblSites[[#This Row],[Implementing Partner]]), tblSites[[#This Row],[Implementing Partner]]="-"), tblSites[[#This Row],[Site Agency]], tblSites[[#This Row],[Implementing Partner]])</f>
        <v>No SMA</v>
      </c>
      <c r="M42" s="12" t="s">
        <v>55</v>
      </c>
      <c r="N42" s="12" t="str">
        <f>tblSites[[#This Row],[FinalImplementingPartner]]</f>
        <v>No SMA</v>
      </c>
    </row>
    <row r="43" spans="1:14" x14ac:dyDescent="0.25">
      <c r="A43" s="12" t="s">
        <v>2464</v>
      </c>
      <c r="B43" s="12" t="s">
        <v>2465</v>
      </c>
      <c r="C43" s="12" t="s">
        <v>2466</v>
      </c>
      <c r="D43" t="s">
        <v>5313</v>
      </c>
      <c r="E43" s="12" t="s">
        <v>3178</v>
      </c>
      <c r="F43" s="12" t="s">
        <v>361</v>
      </c>
      <c r="G43" s="12" t="s">
        <v>5333</v>
      </c>
      <c r="H43" s="12" t="s">
        <v>2465</v>
      </c>
      <c r="I43" s="84">
        <v>2651099</v>
      </c>
      <c r="J43" s="12" t="s">
        <v>5102</v>
      </c>
      <c r="L43" s="12" t="str">
        <f>IF(OR(ISBLANK(tblSites[[#This Row],[Implementing Partner]]), tblSites[[#This Row],[Implementing Partner]]="-"), tblSites[[#This Row],[Site Agency]], tblSites[[#This Row],[Implementing Partner]])</f>
        <v>No SMA</v>
      </c>
      <c r="M43" s="12" t="s">
        <v>55</v>
      </c>
      <c r="N43" s="12" t="str">
        <f>tblSites[[#This Row],[FinalImplementingPartner]]</f>
        <v>No SMA</v>
      </c>
    </row>
    <row r="44" spans="1:14" x14ac:dyDescent="0.25">
      <c r="A44" s="12" t="s">
        <v>1802</v>
      </c>
      <c r="B44" s="12" t="s">
        <v>1803</v>
      </c>
      <c r="C44" s="12" t="s">
        <v>1804</v>
      </c>
      <c r="D44" t="s">
        <v>5313</v>
      </c>
      <c r="E44" s="12" t="s">
        <v>3178</v>
      </c>
      <c r="F44" s="12" t="s">
        <v>163</v>
      </c>
      <c r="G44" s="12" t="s">
        <v>5338</v>
      </c>
      <c r="H44" s="12" t="s">
        <v>1803</v>
      </c>
      <c r="I44" s="84">
        <v>2651093</v>
      </c>
      <c r="J44" s="12" t="s">
        <v>5102</v>
      </c>
      <c r="L44" s="12" t="str">
        <f>IF(OR(ISBLANK(tblSites[[#This Row],[Implementing Partner]]), tblSites[[#This Row],[Implementing Partner]]="-"), tblSites[[#This Row],[Site Agency]], tblSites[[#This Row],[Implementing Partner]])</f>
        <v>No SMA</v>
      </c>
      <c r="M44" s="12" t="s">
        <v>55</v>
      </c>
      <c r="N44" s="12" t="str">
        <f>tblSites[[#This Row],[FinalImplementingPartner]]</f>
        <v>No SMA</v>
      </c>
    </row>
    <row r="45" spans="1:14" x14ac:dyDescent="0.25">
      <c r="A45" s="12" t="s">
        <v>164</v>
      </c>
      <c r="B45" s="12" t="s">
        <v>165</v>
      </c>
      <c r="C45" s="12" t="s">
        <v>166</v>
      </c>
      <c r="D45" t="s">
        <v>5313</v>
      </c>
      <c r="E45" s="12" t="s">
        <v>3178</v>
      </c>
      <c r="F45" s="12" t="s">
        <v>163</v>
      </c>
      <c r="G45" s="12" t="s">
        <v>5332</v>
      </c>
      <c r="H45" s="12" t="s">
        <v>165</v>
      </c>
      <c r="I45" s="84">
        <v>2651093</v>
      </c>
      <c r="J45" s="12" t="s">
        <v>5</v>
      </c>
      <c r="K45" s="12" t="s">
        <v>119</v>
      </c>
      <c r="L45" s="12" t="str">
        <f>IF(OR(ISBLANK(tblSites[[#This Row],[Implementing Partner]]), tblSites[[#This Row],[Implementing Partner]]="-"), tblSites[[#This Row],[Site Agency]], tblSites[[#This Row],[Implementing Partner]])</f>
        <v>BLDA</v>
      </c>
      <c r="M45" s="12" t="s">
        <v>55</v>
      </c>
      <c r="N45" s="12" t="str">
        <f>tblSites[[#This Row],[FinalImplementingPartner]]</f>
        <v>BLDA</v>
      </c>
    </row>
    <row r="46" spans="1:14" x14ac:dyDescent="0.25">
      <c r="A46" s="12" t="s">
        <v>2538</v>
      </c>
      <c r="B46" s="12" t="s">
        <v>1684</v>
      </c>
      <c r="C46" s="12" t="s">
        <v>1685</v>
      </c>
      <c r="D46" t="s">
        <v>5313</v>
      </c>
      <c r="E46" s="12" t="s">
        <v>3178</v>
      </c>
      <c r="F46" s="12" t="s">
        <v>361</v>
      </c>
      <c r="G46" s="12" t="s">
        <v>5333</v>
      </c>
      <c r="H46" s="12" t="s">
        <v>1684</v>
      </c>
      <c r="I46" s="84">
        <v>2651099</v>
      </c>
      <c r="J46" s="12" t="s">
        <v>5102</v>
      </c>
      <c r="L46" s="12" t="str">
        <f>IF(OR(ISBLANK(tblSites[[#This Row],[Implementing Partner]]), tblSites[[#This Row],[Implementing Partner]]="-"), tblSites[[#This Row],[Site Agency]], tblSites[[#This Row],[Implementing Partner]])</f>
        <v>No SMA</v>
      </c>
      <c r="M46" s="12" t="s">
        <v>55</v>
      </c>
      <c r="N46" s="12" t="str">
        <f>tblSites[[#This Row],[FinalImplementingPartner]]</f>
        <v>No SMA</v>
      </c>
    </row>
    <row r="47" spans="1:14" x14ac:dyDescent="0.25">
      <c r="A47" s="12" t="s">
        <v>1155</v>
      </c>
      <c r="B47" s="12" t="s">
        <v>1156</v>
      </c>
      <c r="C47" s="12" t="s">
        <v>1157</v>
      </c>
      <c r="D47" t="s">
        <v>5313</v>
      </c>
      <c r="E47" s="12" t="s">
        <v>3178</v>
      </c>
      <c r="F47" s="12" t="s">
        <v>104</v>
      </c>
      <c r="G47" s="12" t="s">
        <v>5339</v>
      </c>
      <c r="H47" s="12" t="s">
        <v>1156</v>
      </c>
      <c r="I47" s="84">
        <v>2651091</v>
      </c>
      <c r="J47" s="12" t="s">
        <v>5102</v>
      </c>
      <c r="L47" s="12" t="str">
        <f>IF(OR(ISBLANK(tblSites[[#This Row],[Implementing Partner]]), tblSites[[#This Row],[Implementing Partner]]="-"), tblSites[[#This Row],[Site Agency]], tblSites[[#This Row],[Implementing Partner]])</f>
        <v>No SMA</v>
      </c>
      <c r="M47" s="12" t="s">
        <v>55</v>
      </c>
      <c r="N47" s="12" t="str">
        <f>tblSites[[#This Row],[FinalImplementingPartner]]</f>
        <v>No SMA</v>
      </c>
    </row>
    <row r="48" spans="1:14" x14ac:dyDescent="0.25">
      <c r="A48" s="12" t="s">
        <v>2558</v>
      </c>
      <c r="B48" s="12" t="s">
        <v>2559</v>
      </c>
      <c r="C48" s="12" t="s">
        <v>2560</v>
      </c>
      <c r="D48" t="s">
        <v>5313</v>
      </c>
      <c r="E48" s="12" t="s">
        <v>3178</v>
      </c>
      <c r="F48" s="12" t="s">
        <v>1983</v>
      </c>
      <c r="G48" s="12" t="s">
        <v>5340</v>
      </c>
      <c r="H48" s="12" t="s">
        <v>2559</v>
      </c>
      <c r="I48" s="84">
        <v>2650582</v>
      </c>
      <c r="J48" s="12" t="s">
        <v>5102</v>
      </c>
      <c r="L48" s="12" t="str">
        <f>IF(OR(ISBLANK(tblSites[[#This Row],[Implementing Partner]]), tblSites[[#This Row],[Implementing Partner]]="-"), tblSites[[#This Row],[Site Agency]], tblSites[[#This Row],[Implementing Partner]])</f>
        <v>No SMA</v>
      </c>
      <c r="M48" s="12" t="s">
        <v>55</v>
      </c>
      <c r="N48" s="12" t="str">
        <f>tblSites[[#This Row],[FinalImplementingPartner]]</f>
        <v>No SMA</v>
      </c>
    </row>
    <row r="49" spans="1:14" x14ac:dyDescent="0.25">
      <c r="A49" s="12" t="s">
        <v>2561</v>
      </c>
      <c r="B49" s="12" t="s">
        <v>2562</v>
      </c>
      <c r="C49" s="12" t="s">
        <v>2563</v>
      </c>
      <c r="D49" t="s">
        <v>5313</v>
      </c>
      <c r="E49" s="12" t="s">
        <v>3178</v>
      </c>
      <c r="F49" s="12" t="s">
        <v>1212</v>
      </c>
      <c r="G49" s="12" t="s">
        <v>5335</v>
      </c>
      <c r="H49" s="12" t="s">
        <v>2562</v>
      </c>
      <c r="I49" s="84">
        <v>2650597</v>
      </c>
      <c r="J49" s="12" t="s">
        <v>5102</v>
      </c>
      <c r="L49" s="12" t="str">
        <f>IF(OR(ISBLANK(tblSites[[#This Row],[Implementing Partner]]), tblSites[[#This Row],[Implementing Partner]]="-"), tblSites[[#This Row],[Site Agency]], tblSites[[#This Row],[Implementing Partner]])</f>
        <v>No SMA</v>
      </c>
      <c r="M49" s="12" t="s">
        <v>55</v>
      </c>
      <c r="N49" s="12" t="str">
        <f>tblSites[[#This Row],[FinalImplementingPartner]]</f>
        <v>No SMA</v>
      </c>
    </row>
    <row r="50" spans="1:14" x14ac:dyDescent="0.25">
      <c r="A50" s="12" t="s">
        <v>2564</v>
      </c>
      <c r="B50" s="12" t="s">
        <v>2565</v>
      </c>
      <c r="C50" s="12" t="s">
        <v>2566</v>
      </c>
      <c r="D50" t="s">
        <v>5313</v>
      </c>
      <c r="E50" s="12" t="s">
        <v>3178</v>
      </c>
      <c r="F50" s="12" t="s">
        <v>358</v>
      </c>
      <c r="G50" s="12" t="s">
        <v>5341</v>
      </c>
      <c r="H50" s="12" t="s">
        <v>2565</v>
      </c>
      <c r="I50" s="84">
        <v>2650577</v>
      </c>
      <c r="J50" s="12" t="s">
        <v>35</v>
      </c>
      <c r="L50" s="12" t="str">
        <f>IF(OR(ISBLANK(tblSites[[#This Row],[Implementing Partner]]), tblSites[[#This Row],[Implementing Partner]]="-"), tblSites[[#This Row],[Site Agency]], tblSites[[#This Row],[Implementing Partner]])</f>
        <v>NRC</v>
      </c>
      <c r="M50" s="12" t="s">
        <v>55</v>
      </c>
      <c r="N50" s="12" t="str">
        <f>tblSites[[#This Row],[FinalImplementingPartner]]</f>
        <v>NRC</v>
      </c>
    </row>
    <row r="51" spans="1:14" x14ac:dyDescent="0.25">
      <c r="A51" s="12" t="s">
        <v>1225</v>
      </c>
      <c r="B51" s="12" t="s">
        <v>1226</v>
      </c>
      <c r="C51" s="12" t="s">
        <v>1227</v>
      </c>
      <c r="D51" t="s">
        <v>5313</v>
      </c>
      <c r="E51" s="12" t="s">
        <v>3178</v>
      </c>
      <c r="F51" s="12" t="s">
        <v>1228</v>
      </c>
      <c r="G51" s="12" t="s">
        <v>5322</v>
      </c>
      <c r="H51" s="12" t="s">
        <v>1226</v>
      </c>
      <c r="I51" s="84">
        <v>26504182</v>
      </c>
      <c r="J51" s="12" t="s">
        <v>1215</v>
      </c>
      <c r="L51" s="12" t="str">
        <f>IF(OR(ISBLANK(tblSites[[#This Row],[Implementing Partner]]), tblSites[[#This Row],[Implementing Partner]]="-"), tblSites[[#This Row],[Site Agency]], tblSites[[#This Row],[Implementing Partner]])</f>
        <v>UNRWA</v>
      </c>
      <c r="M51" s="12" t="s">
        <v>55</v>
      </c>
      <c r="N51" s="12" t="str">
        <f>tblSites[[#This Row],[FinalImplementingPartner]]</f>
        <v>UNRWA</v>
      </c>
    </row>
    <row r="52" spans="1:14" x14ac:dyDescent="0.25">
      <c r="A52" s="12" t="s">
        <v>1115</v>
      </c>
      <c r="B52" s="12" t="s">
        <v>1116</v>
      </c>
      <c r="C52" s="12" t="s">
        <v>1117</v>
      </c>
      <c r="D52" t="s">
        <v>5313</v>
      </c>
      <c r="E52" s="12" t="s">
        <v>3178</v>
      </c>
      <c r="F52" s="12" t="s">
        <v>104</v>
      </c>
      <c r="G52" s="12" t="s">
        <v>5339</v>
      </c>
      <c r="H52" s="12" t="s">
        <v>1116</v>
      </c>
      <c r="I52" s="84">
        <v>2651091</v>
      </c>
      <c r="J52" s="12" t="s">
        <v>5102</v>
      </c>
      <c r="L52" s="12" t="str">
        <f>IF(OR(ISBLANK(tblSites[[#This Row],[Implementing Partner]]), tblSites[[#This Row],[Implementing Partner]]="-"), tblSites[[#This Row],[Site Agency]], tblSites[[#This Row],[Implementing Partner]])</f>
        <v>No SMA</v>
      </c>
      <c r="M52" s="12" t="s">
        <v>55</v>
      </c>
      <c r="N52" s="12" t="str">
        <f>tblSites[[#This Row],[FinalImplementingPartner]]</f>
        <v>No SMA</v>
      </c>
    </row>
    <row r="53" spans="1:14" x14ac:dyDescent="0.25">
      <c r="A53" s="12" t="s">
        <v>1969</v>
      </c>
      <c r="B53" s="12" t="s">
        <v>1970</v>
      </c>
      <c r="C53" s="12" t="s">
        <v>1971</v>
      </c>
      <c r="D53" t="s">
        <v>5313</v>
      </c>
      <c r="E53" s="12" t="s">
        <v>3178</v>
      </c>
      <c r="F53" s="12" t="s">
        <v>125</v>
      </c>
      <c r="G53" s="12" t="s">
        <v>5342</v>
      </c>
      <c r="H53" s="12" t="s">
        <v>1970</v>
      </c>
      <c r="I53" s="84">
        <v>2651094</v>
      </c>
      <c r="J53" s="12" t="s">
        <v>5102</v>
      </c>
      <c r="L53" s="12" t="str">
        <f>IF(OR(ISBLANK(tblSites[[#This Row],[Implementing Partner]]), tblSites[[#This Row],[Implementing Partner]]="-"), tblSites[[#This Row],[Site Agency]], tblSites[[#This Row],[Implementing Partner]])</f>
        <v>No SMA</v>
      </c>
      <c r="M53" s="12" t="s">
        <v>55</v>
      </c>
      <c r="N53" s="12" t="str">
        <f>tblSites[[#This Row],[FinalImplementingPartner]]</f>
        <v>No SMA</v>
      </c>
    </row>
    <row r="54" spans="1:14" x14ac:dyDescent="0.25">
      <c r="A54" s="12" t="s">
        <v>2443</v>
      </c>
      <c r="B54" s="12" t="s">
        <v>2444</v>
      </c>
      <c r="C54" s="12" t="s">
        <v>2445</v>
      </c>
      <c r="D54" t="s">
        <v>5313</v>
      </c>
      <c r="E54" s="12" t="s">
        <v>3178</v>
      </c>
      <c r="F54" s="12" t="s">
        <v>97</v>
      </c>
      <c r="G54" s="12" t="s">
        <v>5343</v>
      </c>
      <c r="H54" s="12" t="s">
        <v>2444</v>
      </c>
      <c r="I54" s="84">
        <v>2650595</v>
      </c>
      <c r="J54" s="12" t="s">
        <v>5102</v>
      </c>
      <c r="L54" s="12" t="str">
        <f>IF(OR(ISBLANK(tblSites[[#This Row],[Implementing Partner]]), tblSites[[#This Row],[Implementing Partner]]="-"), tblSites[[#This Row],[Site Agency]], tblSites[[#This Row],[Implementing Partner]])</f>
        <v>No SMA</v>
      </c>
      <c r="M54" s="12" t="s">
        <v>55</v>
      </c>
      <c r="N54" s="12" t="str">
        <f>tblSites[[#This Row],[FinalImplementingPartner]]</f>
        <v>No SMA</v>
      </c>
    </row>
    <row r="55" spans="1:14" x14ac:dyDescent="0.25">
      <c r="A55" s="12" t="s">
        <v>186</v>
      </c>
      <c r="B55" s="12" t="s">
        <v>187</v>
      </c>
      <c r="C55" s="12" t="s">
        <v>188</v>
      </c>
      <c r="D55" t="s">
        <v>5313</v>
      </c>
      <c r="E55" s="12" t="s">
        <v>3178</v>
      </c>
      <c r="F55" s="12" t="s">
        <v>104</v>
      </c>
      <c r="G55" s="12" t="s">
        <v>5344</v>
      </c>
      <c r="H55" s="12" t="s">
        <v>187</v>
      </c>
      <c r="I55" s="84">
        <v>2651091</v>
      </c>
      <c r="J55" s="12" t="s">
        <v>7</v>
      </c>
      <c r="L55" s="12" t="str">
        <f>IF(OR(ISBLANK(tblSites[[#This Row],[Implementing Partner]]), tblSites[[#This Row],[Implementing Partner]]="-"), tblSites[[#This Row],[Site Agency]], tblSites[[#This Row],[Implementing Partner]])</f>
        <v>ACTED</v>
      </c>
      <c r="M55" s="12" t="s">
        <v>55</v>
      </c>
      <c r="N55" s="12" t="str">
        <f>tblSites[[#This Row],[FinalImplementingPartner]]</f>
        <v>ACTED</v>
      </c>
    </row>
    <row r="56" spans="1:14" x14ac:dyDescent="0.25">
      <c r="A56" s="12" t="s">
        <v>1118</v>
      </c>
      <c r="B56" s="12" t="s">
        <v>1119</v>
      </c>
      <c r="C56" s="12" t="s">
        <v>1120</v>
      </c>
      <c r="D56" t="s">
        <v>5313</v>
      </c>
      <c r="E56" s="12" t="s">
        <v>3178</v>
      </c>
      <c r="F56" s="12" t="s">
        <v>104</v>
      </c>
      <c r="G56" s="12" t="s">
        <v>5339</v>
      </c>
      <c r="H56" s="12" t="s">
        <v>1119</v>
      </c>
      <c r="I56" s="84">
        <v>2651091</v>
      </c>
      <c r="J56" s="12" t="s">
        <v>5102</v>
      </c>
      <c r="L56" s="12" t="str">
        <f>IF(OR(ISBLANK(tblSites[[#This Row],[Implementing Partner]]), tblSites[[#This Row],[Implementing Partner]]="-"), tblSites[[#This Row],[Site Agency]], tblSites[[#This Row],[Implementing Partner]])</f>
        <v>No SMA</v>
      </c>
      <c r="M56" s="12" t="s">
        <v>55</v>
      </c>
      <c r="N56" s="12" t="str">
        <f>tblSites[[#This Row],[FinalImplementingPartner]]</f>
        <v>No SMA</v>
      </c>
    </row>
    <row r="57" spans="1:14" x14ac:dyDescent="0.25">
      <c r="A57" s="12" t="s">
        <v>2567</v>
      </c>
      <c r="B57" s="12" t="s">
        <v>2568</v>
      </c>
      <c r="C57" s="12" t="s">
        <v>2569</v>
      </c>
      <c r="D57" t="s">
        <v>5313</v>
      </c>
      <c r="E57" s="12" t="s">
        <v>3178</v>
      </c>
      <c r="F57" s="12" t="s">
        <v>1983</v>
      </c>
      <c r="G57" s="12" t="s">
        <v>5340</v>
      </c>
      <c r="H57" s="12" t="s">
        <v>2568</v>
      </c>
      <c r="I57" s="84">
        <v>2650582</v>
      </c>
      <c r="J57" s="12" t="s">
        <v>5102</v>
      </c>
      <c r="L57" s="12" t="str">
        <f>IF(OR(ISBLANK(tblSites[[#This Row],[Implementing Partner]]), tblSites[[#This Row],[Implementing Partner]]="-"), tblSites[[#This Row],[Site Agency]], tblSites[[#This Row],[Implementing Partner]])</f>
        <v>No SMA</v>
      </c>
      <c r="M57" s="12" t="s">
        <v>55</v>
      </c>
      <c r="N57" s="12" t="str">
        <f>tblSites[[#This Row],[FinalImplementingPartner]]</f>
        <v>No SMA</v>
      </c>
    </row>
    <row r="58" spans="1:14" x14ac:dyDescent="0.25">
      <c r="A58" s="12" t="s">
        <v>2570</v>
      </c>
      <c r="B58" s="12" t="s">
        <v>2571</v>
      </c>
      <c r="C58" s="12" t="s">
        <v>2572</v>
      </c>
      <c r="D58" t="s">
        <v>5313</v>
      </c>
      <c r="E58" s="12" t="s">
        <v>3178</v>
      </c>
      <c r="F58" s="12" t="s">
        <v>154</v>
      </c>
      <c r="G58" s="12" t="s">
        <v>5336</v>
      </c>
      <c r="H58" s="12" t="s">
        <v>2571</v>
      </c>
      <c r="I58" s="84">
        <v>26501147</v>
      </c>
      <c r="J58" s="12" t="s">
        <v>5102</v>
      </c>
      <c r="L58" s="12" t="str">
        <f>IF(OR(ISBLANK(tblSites[[#This Row],[Implementing Partner]]), tblSites[[#This Row],[Implementing Partner]]="-"), tblSites[[#This Row],[Site Agency]], tblSites[[#This Row],[Implementing Partner]])</f>
        <v>No SMA</v>
      </c>
      <c r="M58" s="12" t="s">
        <v>55</v>
      </c>
      <c r="N58" s="12" t="str">
        <f>tblSites[[#This Row],[FinalImplementingPartner]]</f>
        <v>No SMA</v>
      </c>
    </row>
    <row r="59" spans="1:14" x14ac:dyDescent="0.25">
      <c r="A59" s="12" t="s">
        <v>2573</v>
      </c>
      <c r="B59" s="12" t="s">
        <v>2574</v>
      </c>
      <c r="C59" s="12" t="s">
        <v>2575</v>
      </c>
      <c r="D59" t="s">
        <v>5313</v>
      </c>
      <c r="E59" s="12" t="s">
        <v>3178</v>
      </c>
      <c r="F59" s="12" t="s">
        <v>154</v>
      </c>
      <c r="G59" s="12" t="s">
        <v>5336</v>
      </c>
      <c r="H59" s="12" t="s">
        <v>2574</v>
      </c>
      <c r="I59" s="84">
        <v>26501147</v>
      </c>
      <c r="J59" s="12" t="s">
        <v>5102</v>
      </c>
      <c r="L59" s="12" t="str">
        <f>IF(OR(ISBLANK(tblSites[[#This Row],[Implementing Partner]]), tblSites[[#This Row],[Implementing Partner]]="-"), tblSites[[#This Row],[Site Agency]], tblSites[[#This Row],[Implementing Partner]])</f>
        <v>No SMA</v>
      </c>
      <c r="M59" s="12" t="s">
        <v>55</v>
      </c>
      <c r="N59" s="12" t="str">
        <f>tblSites[[#This Row],[FinalImplementingPartner]]</f>
        <v>No SMA</v>
      </c>
    </row>
    <row r="60" spans="1:14" x14ac:dyDescent="0.25">
      <c r="A60" s="12" t="s">
        <v>2144</v>
      </c>
      <c r="B60" s="12" t="s">
        <v>1122</v>
      </c>
      <c r="D60" t="s">
        <v>5313</v>
      </c>
      <c r="E60" s="12" t="s">
        <v>3178</v>
      </c>
      <c r="F60" s="12" t="s">
        <v>104</v>
      </c>
      <c r="G60" s="12" t="s">
        <v>5339</v>
      </c>
      <c r="H60" s="12" t="s">
        <v>1122</v>
      </c>
      <c r="I60" s="84">
        <v>2651091</v>
      </c>
      <c r="J60" s="12" t="s">
        <v>5102</v>
      </c>
      <c r="L60" s="12" t="str">
        <f>IF(OR(ISBLANK(tblSites[[#This Row],[Implementing Partner]]), tblSites[[#This Row],[Implementing Partner]]="-"), tblSites[[#This Row],[Site Agency]], tblSites[[#This Row],[Implementing Partner]])</f>
        <v>No SMA</v>
      </c>
      <c r="M60" s="12" t="s">
        <v>55</v>
      </c>
      <c r="N60" s="12" t="str">
        <f>tblSites[[#This Row],[FinalImplementingPartner]]</f>
        <v>No SMA</v>
      </c>
    </row>
    <row r="61" spans="1:14" x14ac:dyDescent="0.25">
      <c r="A61" s="12" t="s">
        <v>2371</v>
      </c>
      <c r="B61" s="12" t="s">
        <v>2372</v>
      </c>
      <c r="C61" s="12" t="s">
        <v>2373</v>
      </c>
      <c r="D61" t="s">
        <v>5313</v>
      </c>
      <c r="E61" s="12" t="s">
        <v>3178</v>
      </c>
      <c r="F61" s="12" t="s">
        <v>154</v>
      </c>
      <c r="G61" s="12" t="s">
        <v>5336</v>
      </c>
      <c r="H61" s="12" t="s">
        <v>2372</v>
      </c>
      <c r="I61" s="84">
        <v>26501147</v>
      </c>
      <c r="J61" s="12" t="s">
        <v>5102</v>
      </c>
      <c r="L61" s="12" t="str">
        <f>IF(OR(ISBLANK(tblSites[[#This Row],[Implementing Partner]]), tblSites[[#This Row],[Implementing Partner]]="-"), tblSites[[#This Row],[Site Agency]], tblSites[[#This Row],[Implementing Partner]])</f>
        <v>No SMA</v>
      </c>
      <c r="M61" s="12" t="s">
        <v>55</v>
      </c>
      <c r="N61" s="12" t="str">
        <f>tblSites[[#This Row],[FinalImplementingPartner]]</f>
        <v>No SMA</v>
      </c>
    </row>
    <row r="62" spans="1:14" x14ac:dyDescent="0.25">
      <c r="A62" s="12" t="s">
        <v>2446</v>
      </c>
      <c r="B62" s="12" t="s">
        <v>2447</v>
      </c>
      <c r="C62" s="12" t="s">
        <v>2448</v>
      </c>
      <c r="D62" t="s">
        <v>5313</v>
      </c>
      <c r="E62" s="12" t="s">
        <v>3178</v>
      </c>
      <c r="F62" s="12" t="s">
        <v>349</v>
      </c>
      <c r="G62" s="12" t="s">
        <v>5327</v>
      </c>
      <c r="H62" s="12" t="s">
        <v>2447</v>
      </c>
      <c r="I62" s="84">
        <v>26510152</v>
      </c>
      <c r="J62" s="12" t="s">
        <v>5102</v>
      </c>
      <c r="L62" s="12" t="str">
        <f>IF(OR(ISBLANK(tblSites[[#This Row],[Implementing Partner]]), tblSites[[#This Row],[Implementing Partner]]="-"), tblSites[[#This Row],[Site Agency]], tblSites[[#This Row],[Implementing Partner]])</f>
        <v>No SMA</v>
      </c>
      <c r="M62" s="12" t="s">
        <v>55</v>
      </c>
      <c r="N62" s="12" t="str">
        <f>tblSites[[#This Row],[FinalImplementingPartner]]</f>
        <v>No SMA</v>
      </c>
    </row>
    <row r="63" spans="1:14" x14ac:dyDescent="0.25">
      <c r="A63" s="12" t="s">
        <v>1799</v>
      </c>
      <c r="B63" s="12" t="s">
        <v>1800</v>
      </c>
      <c r="C63" s="12" t="s">
        <v>1801</v>
      </c>
      <c r="D63" t="s">
        <v>5313</v>
      </c>
      <c r="E63" s="12" t="s">
        <v>3178</v>
      </c>
      <c r="F63" s="12" t="s">
        <v>349</v>
      </c>
      <c r="G63" s="12" t="s">
        <v>5327</v>
      </c>
      <c r="H63" s="12" t="s">
        <v>1800</v>
      </c>
      <c r="I63" s="84">
        <v>26510152</v>
      </c>
      <c r="J63" s="12" t="s">
        <v>5102</v>
      </c>
      <c r="L63" s="12" t="str">
        <f>IF(OR(ISBLANK(tblSites[[#This Row],[Implementing Partner]]), tblSites[[#This Row],[Implementing Partner]]="-"), tblSites[[#This Row],[Site Agency]], tblSites[[#This Row],[Implementing Partner]])</f>
        <v>No SMA</v>
      </c>
      <c r="M63" s="12" t="s">
        <v>55</v>
      </c>
      <c r="N63" s="12" t="str">
        <f>tblSites[[#This Row],[FinalImplementingPartner]]</f>
        <v>No SMA</v>
      </c>
    </row>
    <row r="64" spans="1:14" x14ac:dyDescent="0.25">
      <c r="A64" s="12" t="s">
        <v>2364</v>
      </c>
      <c r="B64" s="12" t="s">
        <v>2365</v>
      </c>
      <c r="C64" s="12" t="s">
        <v>2366</v>
      </c>
      <c r="D64" t="s">
        <v>5313</v>
      </c>
      <c r="E64" s="12" t="s">
        <v>3178</v>
      </c>
      <c r="F64" s="12" t="s">
        <v>154</v>
      </c>
      <c r="G64" s="12" t="s">
        <v>5336</v>
      </c>
      <c r="H64" s="12" t="s">
        <v>2365</v>
      </c>
      <c r="I64" s="84">
        <v>26501147</v>
      </c>
      <c r="J64" s="12" t="s">
        <v>5102</v>
      </c>
      <c r="L64" s="12" t="str">
        <f>IF(OR(ISBLANK(tblSites[[#This Row],[Implementing Partner]]), tblSites[[#This Row],[Implementing Partner]]="-"), tblSites[[#This Row],[Site Agency]], tblSites[[#This Row],[Implementing Partner]])</f>
        <v>No SMA</v>
      </c>
      <c r="M64" s="12" t="s">
        <v>55</v>
      </c>
      <c r="N64" s="12" t="str">
        <f>tblSites[[#This Row],[FinalImplementingPartner]]</f>
        <v>No SMA</v>
      </c>
    </row>
    <row r="65" spans="1:14" x14ac:dyDescent="0.25">
      <c r="A65" s="12" t="s">
        <v>1416</v>
      </c>
      <c r="B65" s="12" t="s">
        <v>1417</v>
      </c>
      <c r="C65" s="12" t="s">
        <v>1418</v>
      </c>
      <c r="D65" t="s">
        <v>5313</v>
      </c>
      <c r="E65" s="12" t="s">
        <v>3178</v>
      </c>
      <c r="F65" s="12" t="s">
        <v>985</v>
      </c>
      <c r="G65" s="12" t="s">
        <v>5345</v>
      </c>
      <c r="H65" s="12" t="s">
        <v>1417</v>
      </c>
      <c r="I65" s="84">
        <v>2650579</v>
      </c>
      <c r="J65" s="12" t="s">
        <v>5102</v>
      </c>
      <c r="L65" s="12" t="str">
        <f>IF(OR(ISBLANK(tblSites[[#This Row],[Implementing Partner]]), tblSites[[#This Row],[Implementing Partner]]="-"), tblSites[[#This Row],[Site Agency]], tblSites[[#This Row],[Implementing Partner]])</f>
        <v>No SMA</v>
      </c>
      <c r="M65" s="12" t="s">
        <v>55</v>
      </c>
      <c r="N65" s="12" t="str">
        <f>tblSites[[#This Row],[FinalImplementingPartner]]</f>
        <v>No SMA</v>
      </c>
    </row>
    <row r="66" spans="1:14" x14ac:dyDescent="0.25">
      <c r="A66" s="12" t="s">
        <v>2353</v>
      </c>
      <c r="B66" s="12" t="s">
        <v>2354</v>
      </c>
      <c r="C66" s="12" t="s">
        <v>2355</v>
      </c>
      <c r="D66" t="s">
        <v>5313</v>
      </c>
      <c r="E66" s="12" t="s">
        <v>3178</v>
      </c>
      <c r="F66" s="12" t="s">
        <v>1212</v>
      </c>
      <c r="G66" s="12" t="s">
        <v>5335</v>
      </c>
      <c r="H66" s="12" t="s">
        <v>2354</v>
      </c>
      <c r="I66" s="84">
        <v>2650597</v>
      </c>
      <c r="J66" s="12" t="s">
        <v>5102</v>
      </c>
      <c r="L66" s="12" t="str">
        <f>IF(OR(ISBLANK(tblSites[[#This Row],[Implementing Partner]]), tblSites[[#This Row],[Implementing Partner]]="-"), tblSites[[#This Row],[Site Agency]], tblSites[[#This Row],[Implementing Partner]])</f>
        <v>No SMA</v>
      </c>
      <c r="M66" s="12" t="s">
        <v>55</v>
      </c>
      <c r="N66" s="12" t="str">
        <f>tblSites[[#This Row],[FinalImplementingPartner]]</f>
        <v>No SMA</v>
      </c>
    </row>
    <row r="67" spans="1:14" x14ac:dyDescent="0.25">
      <c r="A67" s="12" t="s">
        <v>975</v>
      </c>
      <c r="B67" s="12" t="s">
        <v>976</v>
      </c>
      <c r="C67" s="12" t="s">
        <v>977</v>
      </c>
      <c r="D67" t="s">
        <v>5313</v>
      </c>
      <c r="E67" s="12" t="s">
        <v>3178</v>
      </c>
      <c r="F67" s="12" t="s">
        <v>510</v>
      </c>
      <c r="G67" s="12" t="s">
        <v>5346</v>
      </c>
      <c r="H67" s="12" t="s">
        <v>976</v>
      </c>
      <c r="I67" s="84">
        <v>2650578</v>
      </c>
      <c r="J67" s="12" t="s">
        <v>5102</v>
      </c>
      <c r="L67" s="12" t="str">
        <f>IF(OR(ISBLANK(tblSites[[#This Row],[Implementing Partner]]), tblSites[[#This Row],[Implementing Partner]]="-"), tblSites[[#This Row],[Site Agency]], tblSites[[#This Row],[Implementing Partner]])</f>
        <v>No SMA</v>
      </c>
      <c r="M67" s="12" t="s">
        <v>55</v>
      </c>
      <c r="N67" s="12" t="str">
        <f>tblSites[[#This Row],[FinalImplementingPartner]]</f>
        <v>No SMA</v>
      </c>
    </row>
    <row r="68" spans="1:14" x14ac:dyDescent="0.25">
      <c r="A68" s="12" t="s">
        <v>1540</v>
      </c>
      <c r="B68" s="12" t="s">
        <v>1541</v>
      </c>
      <c r="C68" s="12" t="s">
        <v>1542</v>
      </c>
      <c r="D68" t="s">
        <v>5313</v>
      </c>
      <c r="E68" s="12" t="s">
        <v>3178</v>
      </c>
      <c r="F68" s="12" t="s">
        <v>564</v>
      </c>
      <c r="G68" s="12" t="s">
        <v>5347</v>
      </c>
      <c r="H68" s="12" t="s">
        <v>1541</v>
      </c>
      <c r="I68" s="84">
        <v>2651090</v>
      </c>
      <c r="J68" s="12" t="s">
        <v>34</v>
      </c>
      <c r="K68" s="12" t="s">
        <v>662</v>
      </c>
      <c r="L68" s="12" t="str">
        <f>IF(OR(ISBLANK(tblSites[[#This Row],[Implementing Partner]]), tblSites[[#This Row],[Implementing Partner]]="-"), tblSites[[#This Row],[Site Agency]], tblSites[[#This Row],[Implementing Partner]])</f>
        <v>PARC</v>
      </c>
      <c r="M68" s="12" t="s">
        <v>55</v>
      </c>
      <c r="N68" s="12" t="str">
        <f>tblSites[[#This Row],[FinalImplementingPartner]]</f>
        <v>PARC</v>
      </c>
    </row>
    <row r="69" spans="1:14" x14ac:dyDescent="0.25">
      <c r="A69" s="12" t="s">
        <v>1854</v>
      </c>
      <c r="B69" s="12" t="s">
        <v>1855</v>
      </c>
      <c r="C69" s="12" t="s">
        <v>1856</v>
      </c>
      <c r="D69" t="s">
        <v>5313</v>
      </c>
      <c r="E69" s="12" t="s">
        <v>3178</v>
      </c>
      <c r="F69" s="12" t="s">
        <v>349</v>
      </c>
      <c r="G69" s="12" t="s">
        <v>5327</v>
      </c>
      <c r="H69" s="12" t="s">
        <v>1855</v>
      </c>
      <c r="I69" s="84">
        <v>26510152</v>
      </c>
      <c r="J69" s="12" t="s">
        <v>5102</v>
      </c>
      <c r="L69" s="12" t="str">
        <f>IF(OR(ISBLANK(tblSites[[#This Row],[Implementing Partner]]), tblSites[[#This Row],[Implementing Partner]]="-"), tblSites[[#This Row],[Site Agency]], tblSites[[#This Row],[Implementing Partner]])</f>
        <v>No SMA</v>
      </c>
      <c r="M69" s="12" t="s">
        <v>55</v>
      </c>
      <c r="N69" s="12" t="str">
        <f>tblSites[[#This Row],[FinalImplementingPartner]]</f>
        <v>No SMA</v>
      </c>
    </row>
    <row r="70" spans="1:14" x14ac:dyDescent="0.25">
      <c r="A70" s="12" t="s">
        <v>2535</v>
      </c>
      <c r="B70" s="12" t="s">
        <v>2536</v>
      </c>
      <c r="C70" s="12" t="s">
        <v>2537</v>
      </c>
      <c r="D70" t="s">
        <v>5313</v>
      </c>
      <c r="E70" s="12" t="s">
        <v>3178</v>
      </c>
      <c r="F70" s="12" t="s">
        <v>349</v>
      </c>
      <c r="G70" s="12" t="s">
        <v>5327</v>
      </c>
      <c r="H70" s="12" t="s">
        <v>2536</v>
      </c>
      <c r="I70" s="84">
        <v>26510152</v>
      </c>
      <c r="J70" s="12" t="s">
        <v>5102</v>
      </c>
      <c r="L70" s="12" t="str">
        <f>IF(OR(ISBLANK(tblSites[[#This Row],[Implementing Partner]]), tblSites[[#This Row],[Implementing Partner]]="-"), tblSites[[#This Row],[Site Agency]], tblSites[[#This Row],[Implementing Partner]])</f>
        <v>No SMA</v>
      </c>
      <c r="M70" s="12" t="s">
        <v>55</v>
      </c>
      <c r="N70" s="12" t="str">
        <f>tblSites[[#This Row],[FinalImplementingPartner]]</f>
        <v>No SMA</v>
      </c>
    </row>
    <row r="71" spans="1:14" x14ac:dyDescent="0.25">
      <c r="A71" s="12" t="s">
        <v>2576</v>
      </c>
      <c r="B71" s="12" t="s">
        <v>2577</v>
      </c>
      <c r="C71" s="12" t="s">
        <v>2578</v>
      </c>
      <c r="D71" t="s">
        <v>5313</v>
      </c>
      <c r="E71" s="12" t="s">
        <v>3178</v>
      </c>
      <c r="F71" s="12" t="s">
        <v>349</v>
      </c>
      <c r="G71" s="12" t="s">
        <v>5327</v>
      </c>
      <c r="H71" s="12" t="s">
        <v>2577</v>
      </c>
      <c r="I71" s="84">
        <v>26510152</v>
      </c>
      <c r="J71" s="12" t="s">
        <v>5102</v>
      </c>
      <c r="L71" s="12" t="str">
        <f>IF(OR(ISBLANK(tblSites[[#This Row],[Implementing Partner]]), tblSites[[#This Row],[Implementing Partner]]="-"), tblSites[[#This Row],[Site Agency]], tblSites[[#This Row],[Implementing Partner]])</f>
        <v>No SMA</v>
      </c>
      <c r="M71" s="12" t="s">
        <v>55</v>
      </c>
      <c r="N71" s="12" t="str">
        <f>tblSites[[#This Row],[FinalImplementingPartner]]</f>
        <v>No SMA</v>
      </c>
    </row>
    <row r="72" spans="1:14" x14ac:dyDescent="0.25">
      <c r="A72" s="12" t="s">
        <v>2579</v>
      </c>
      <c r="B72" s="12" t="s">
        <v>2580</v>
      </c>
      <c r="C72" s="12" t="s">
        <v>2581</v>
      </c>
      <c r="D72" t="s">
        <v>5313</v>
      </c>
      <c r="E72" s="12" t="s">
        <v>3178</v>
      </c>
      <c r="F72" s="12" t="s">
        <v>349</v>
      </c>
      <c r="G72" s="12" t="s">
        <v>5327</v>
      </c>
      <c r="H72" s="12" t="s">
        <v>2580</v>
      </c>
      <c r="I72" s="84">
        <v>26510152</v>
      </c>
      <c r="J72" s="12" t="s">
        <v>5102</v>
      </c>
      <c r="L72" s="12" t="str">
        <f>IF(OR(ISBLANK(tblSites[[#This Row],[Implementing Partner]]), tblSites[[#This Row],[Implementing Partner]]="-"), tblSites[[#This Row],[Site Agency]], tblSites[[#This Row],[Implementing Partner]])</f>
        <v>No SMA</v>
      </c>
      <c r="M72" s="12" t="s">
        <v>55</v>
      </c>
      <c r="N72" s="12" t="str">
        <f>tblSites[[#This Row],[FinalImplementingPartner]]</f>
        <v>No SMA</v>
      </c>
    </row>
    <row r="73" spans="1:14" x14ac:dyDescent="0.25">
      <c r="A73" s="12" t="s">
        <v>1814</v>
      </c>
      <c r="B73" s="12" t="s">
        <v>1815</v>
      </c>
      <c r="C73" s="12" t="s">
        <v>1816</v>
      </c>
      <c r="D73" t="s">
        <v>5313</v>
      </c>
      <c r="E73" s="12" t="s">
        <v>3178</v>
      </c>
      <c r="F73" s="12" t="s">
        <v>163</v>
      </c>
      <c r="G73" s="12" t="s">
        <v>5338</v>
      </c>
      <c r="H73" s="12" t="s">
        <v>1815</v>
      </c>
      <c r="I73" s="84">
        <v>2651093</v>
      </c>
      <c r="J73" s="12" t="s">
        <v>5102</v>
      </c>
      <c r="L73" s="12" t="str">
        <f>IF(OR(ISBLANK(tblSites[[#This Row],[Implementing Partner]]), tblSites[[#This Row],[Implementing Partner]]="-"), tblSites[[#This Row],[Site Agency]], tblSites[[#This Row],[Implementing Partner]])</f>
        <v>No SMA</v>
      </c>
      <c r="M73" s="12" t="s">
        <v>55</v>
      </c>
      <c r="N73" s="12" t="str">
        <f>tblSites[[#This Row],[FinalImplementingPartner]]</f>
        <v>No SMA</v>
      </c>
    </row>
    <row r="74" spans="1:14" x14ac:dyDescent="0.25">
      <c r="A74" s="12" t="s">
        <v>2582</v>
      </c>
      <c r="B74" s="12" t="s">
        <v>2583</v>
      </c>
      <c r="C74" s="12" t="s">
        <v>2584</v>
      </c>
      <c r="D74" t="s">
        <v>5313</v>
      </c>
      <c r="E74" s="12" t="s">
        <v>3178</v>
      </c>
      <c r="F74" s="12" t="s">
        <v>349</v>
      </c>
      <c r="G74" s="12" t="s">
        <v>5327</v>
      </c>
      <c r="H74" s="12" t="s">
        <v>2583</v>
      </c>
      <c r="I74" s="84">
        <v>26510152</v>
      </c>
      <c r="J74" s="12" t="s">
        <v>5102</v>
      </c>
      <c r="L74" s="12" t="str">
        <f>IF(OR(ISBLANK(tblSites[[#This Row],[Implementing Partner]]), tblSites[[#This Row],[Implementing Partner]]="-"), tblSites[[#This Row],[Site Agency]], tblSites[[#This Row],[Implementing Partner]])</f>
        <v>No SMA</v>
      </c>
      <c r="M74" s="12" t="s">
        <v>55</v>
      </c>
      <c r="N74" s="12" t="str">
        <f>tblSites[[#This Row],[FinalImplementingPartner]]</f>
        <v>No SMA</v>
      </c>
    </row>
    <row r="75" spans="1:14" x14ac:dyDescent="0.25">
      <c r="A75" s="12" t="s">
        <v>2585</v>
      </c>
      <c r="B75" s="12" t="s">
        <v>2586</v>
      </c>
      <c r="C75" s="12" t="s">
        <v>2587</v>
      </c>
      <c r="D75" t="s">
        <v>5313</v>
      </c>
      <c r="E75" s="12" t="s">
        <v>3178</v>
      </c>
      <c r="F75" s="12" t="s">
        <v>349</v>
      </c>
      <c r="G75" s="12" t="s">
        <v>5327</v>
      </c>
      <c r="H75" s="12" t="s">
        <v>2586</v>
      </c>
      <c r="I75" s="84">
        <v>26510152</v>
      </c>
      <c r="J75" s="12" t="s">
        <v>5102</v>
      </c>
      <c r="L75" s="12" t="str">
        <f>IF(OR(ISBLANK(tblSites[[#This Row],[Implementing Partner]]), tblSites[[#This Row],[Implementing Partner]]="-"), tblSites[[#This Row],[Site Agency]], tblSites[[#This Row],[Implementing Partner]])</f>
        <v>No SMA</v>
      </c>
      <c r="M75" s="12" t="s">
        <v>55</v>
      </c>
      <c r="N75" s="12" t="str">
        <f>tblSites[[#This Row],[FinalImplementingPartner]]</f>
        <v>No SMA</v>
      </c>
    </row>
    <row r="76" spans="1:14" x14ac:dyDescent="0.25">
      <c r="A76" s="12" t="s">
        <v>600</v>
      </c>
      <c r="B76" s="12" t="s">
        <v>601</v>
      </c>
      <c r="C76" s="12" t="s">
        <v>602</v>
      </c>
      <c r="D76" t="s">
        <v>5313</v>
      </c>
      <c r="E76" s="12" t="s">
        <v>3178</v>
      </c>
      <c r="F76" s="12" t="s">
        <v>349</v>
      </c>
      <c r="G76" s="12" t="s">
        <v>5327</v>
      </c>
      <c r="H76" s="12" t="s">
        <v>601</v>
      </c>
      <c r="I76" s="84">
        <v>26510152</v>
      </c>
      <c r="J76" s="12" t="s">
        <v>5102</v>
      </c>
      <c r="L76" s="12" t="str">
        <f>IF(OR(ISBLANK(tblSites[[#This Row],[Implementing Partner]]), tblSites[[#This Row],[Implementing Partner]]="-"), tblSites[[#This Row],[Site Agency]], tblSites[[#This Row],[Implementing Partner]])</f>
        <v>No SMA</v>
      </c>
      <c r="M76" s="12" t="s">
        <v>55</v>
      </c>
      <c r="N76" s="12" t="str">
        <f>tblSites[[#This Row],[FinalImplementingPartner]]</f>
        <v>No SMA</v>
      </c>
    </row>
    <row r="77" spans="1:14" x14ac:dyDescent="0.25">
      <c r="A77" s="12" t="s">
        <v>2075</v>
      </c>
      <c r="B77" s="12" t="s">
        <v>5266</v>
      </c>
      <c r="C77" s="12" t="s">
        <v>2076</v>
      </c>
      <c r="D77" t="s">
        <v>5313</v>
      </c>
      <c r="E77" s="12" t="s">
        <v>3178</v>
      </c>
      <c r="F77" s="12" t="s">
        <v>974</v>
      </c>
      <c r="G77" s="12" t="s">
        <v>5324</v>
      </c>
      <c r="H77" s="12" t="s">
        <v>5266</v>
      </c>
      <c r="I77" s="84">
        <v>2651089</v>
      </c>
      <c r="J77" s="12" t="s">
        <v>5</v>
      </c>
      <c r="K77" s="12" t="s">
        <v>119</v>
      </c>
      <c r="L77" s="12" t="str">
        <f>IF(OR(ISBLANK(tblSites[[#This Row],[Implementing Partner]]), tblSites[[#This Row],[Implementing Partner]]="-"), tblSites[[#This Row],[Site Agency]], tblSites[[#This Row],[Implementing Partner]])</f>
        <v>BLDA</v>
      </c>
      <c r="M77" s="12" t="s">
        <v>55</v>
      </c>
      <c r="N77" s="12" t="str">
        <f>tblSites[[#This Row],[FinalImplementingPartner]]</f>
        <v>BLDA</v>
      </c>
    </row>
    <row r="78" spans="1:14" x14ac:dyDescent="0.25">
      <c r="A78" s="12" t="s">
        <v>2079</v>
      </c>
      <c r="B78" s="12" t="s">
        <v>2080</v>
      </c>
      <c r="C78" s="12" t="s">
        <v>2080</v>
      </c>
      <c r="D78" t="s">
        <v>5313</v>
      </c>
      <c r="E78" s="12" t="s">
        <v>3178</v>
      </c>
      <c r="F78" s="12" t="s">
        <v>125</v>
      </c>
      <c r="G78" s="12" t="s">
        <v>5342</v>
      </c>
      <c r="H78" s="12" t="s">
        <v>2080</v>
      </c>
      <c r="I78" s="84">
        <v>2651094</v>
      </c>
      <c r="J78" s="12" t="s">
        <v>5102</v>
      </c>
      <c r="L78" s="12" t="str">
        <f>IF(OR(ISBLANK(tblSites[[#This Row],[Implementing Partner]]), tblSites[[#This Row],[Implementing Partner]]="-"), tblSites[[#This Row],[Site Agency]], tblSites[[#This Row],[Implementing Partner]])</f>
        <v>No SMA</v>
      </c>
      <c r="M78" s="12" t="s">
        <v>55</v>
      </c>
      <c r="N78" s="12" t="str">
        <f>tblSites[[#This Row],[FinalImplementingPartner]]</f>
        <v>No SMA</v>
      </c>
    </row>
    <row r="79" spans="1:14" x14ac:dyDescent="0.25">
      <c r="A79" s="12" t="s">
        <v>2588</v>
      </c>
      <c r="B79" s="12" t="s">
        <v>2589</v>
      </c>
      <c r="C79" s="12" t="s">
        <v>2590</v>
      </c>
      <c r="D79" t="s">
        <v>5313</v>
      </c>
      <c r="E79" s="12" t="s">
        <v>3178</v>
      </c>
      <c r="F79" s="12" t="s">
        <v>97</v>
      </c>
      <c r="G79" s="12" t="s">
        <v>5343</v>
      </c>
      <c r="H79" s="12" t="s">
        <v>2589</v>
      </c>
      <c r="I79" s="84">
        <v>2650595</v>
      </c>
      <c r="J79" s="12" t="s">
        <v>5102</v>
      </c>
      <c r="L79" s="12" t="str">
        <f>IF(OR(ISBLANK(tblSites[[#This Row],[Implementing Partner]]), tblSites[[#This Row],[Implementing Partner]]="-"), tblSites[[#This Row],[Site Agency]], tblSites[[#This Row],[Implementing Partner]])</f>
        <v>No SMA</v>
      </c>
      <c r="M79" s="12" t="s">
        <v>55</v>
      </c>
      <c r="N79" s="12" t="str">
        <f>tblSites[[#This Row],[FinalImplementingPartner]]</f>
        <v>No SMA</v>
      </c>
    </row>
    <row r="80" spans="1:14" x14ac:dyDescent="0.25">
      <c r="A80" s="12" t="s">
        <v>2591</v>
      </c>
      <c r="B80" s="12" t="s">
        <v>2592</v>
      </c>
      <c r="C80" s="12" t="s">
        <v>2593</v>
      </c>
      <c r="D80" t="s">
        <v>5313</v>
      </c>
      <c r="E80" s="12" t="s">
        <v>3178</v>
      </c>
      <c r="F80" s="12" t="s">
        <v>97</v>
      </c>
      <c r="G80" s="12" t="s">
        <v>5343</v>
      </c>
      <c r="H80" s="12" t="s">
        <v>2592</v>
      </c>
      <c r="I80" s="84">
        <v>2650595</v>
      </c>
      <c r="J80" s="12" t="s">
        <v>5102</v>
      </c>
      <c r="L80" s="12" t="str">
        <f>IF(OR(ISBLANK(tblSites[[#This Row],[Implementing Partner]]), tblSites[[#This Row],[Implementing Partner]]="-"), tblSites[[#This Row],[Site Agency]], tblSites[[#This Row],[Implementing Partner]])</f>
        <v>No SMA</v>
      </c>
      <c r="M80" s="12" t="s">
        <v>55</v>
      </c>
      <c r="N80" s="12" t="str">
        <f>tblSites[[#This Row],[FinalImplementingPartner]]</f>
        <v>No SMA</v>
      </c>
    </row>
    <row r="81" spans="1:14" x14ac:dyDescent="0.25">
      <c r="A81" s="12" t="s">
        <v>2594</v>
      </c>
      <c r="B81" s="12" t="s">
        <v>2595</v>
      </c>
      <c r="C81" s="12" t="s">
        <v>2596</v>
      </c>
      <c r="D81" t="s">
        <v>5313</v>
      </c>
      <c r="E81" s="12" t="s">
        <v>3178</v>
      </c>
      <c r="F81" s="12" t="s">
        <v>97</v>
      </c>
      <c r="G81" s="12" t="s">
        <v>5343</v>
      </c>
      <c r="H81" s="12" t="s">
        <v>2595</v>
      </c>
      <c r="I81" s="84">
        <v>2650595</v>
      </c>
      <c r="J81" s="12" t="s">
        <v>5102</v>
      </c>
      <c r="L81" s="12" t="str">
        <f>IF(OR(ISBLANK(tblSites[[#This Row],[Implementing Partner]]), tblSites[[#This Row],[Implementing Partner]]="-"), tblSites[[#This Row],[Site Agency]], tblSites[[#This Row],[Implementing Partner]])</f>
        <v>No SMA</v>
      </c>
      <c r="M81" s="12" t="s">
        <v>55</v>
      </c>
      <c r="N81" s="12" t="str">
        <f>tblSites[[#This Row],[FinalImplementingPartner]]</f>
        <v>No SMA</v>
      </c>
    </row>
    <row r="82" spans="1:14" x14ac:dyDescent="0.25">
      <c r="A82" s="12" t="s">
        <v>2552</v>
      </c>
      <c r="B82" s="12" t="s">
        <v>2553</v>
      </c>
      <c r="C82" s="12" t="s">
        <v>2554</v>
      </c>
      <c r="D82" t="s">
        <v>5313</v>
      </c>
      <c r="E82" s="12" t="s">
        <v>3178</v>
      </c>
      <c r="F82" s="12" t="s">
        <v>349</v>
      </c>
      <c r="G82" s="12" t="s">
        <v>5327</v>
      </c>
      <c r="H82" s="12" t="s">
        <v>2553</v>
      </c>
      <c r="I82" s="84">
        <v>26510152</v>
      </c>
      <c r="J82" s="12" t="s">
        <v>5102</v>
      </c>
      <c r="L82" s="12" t="str">
        <f>IF(OR(ISBLANK(tblSites[[#This Row],[Implementing Partner]]), tblSites[[#This Row],[Implementing Partner]]="-"), tblSites[[#This Row],[Site Agency]], tblSites[[#This Row],[Implementing Partner]])</f>
        <v>No SMA</v>
      </c>
      <c r="M82" s="12" t="s">
        <v>55</v>
      </c>
      <c r="N82" s="12" t="str">
        <f>tblSites[[#This Row],[FinalImplementingPartner]]</f>
        <v>No SMA</v>
      </c>
    </row>
    <row r="83" spans="1:14" x14ac:dyDescent="0.25">
      <c r="A83" s="12" t="s">
        <v>2178</v>
      </c>
      <c r="B83" s="12" t="s">
        <v>2179</v>
      </c>
      <c r="C83" s="12" t="s">
        <v>2180</v>
      </c>
      <c r="D83" t="s">
        <v>5313</v>
      </c>
      <c r="E83" s="12" t="s">
        <v>3178</v>
      </c>
      <c r="F83" s="12" t="s">
        <v>564</v>
      </c>
      <c r="G83" s="12" t="s">
        <v>5348</v>
      </c>
      <c r="H83" s="12" t="s">
        <v>2179</v>
      </c>
      <c r="I83" s="84">
        <v>2651090</v>
      </c>
      <c r="J83" s="12" t="s">
        <v>5102</v>
      </c>
      <c r="L83" s="12" t="str">
        <f>IF(OR(ISBLANK(tblSites[[#This Row],[Implementing Partner]]), tblSites[[#This Row],[Implementing Partner]]="-"), tblSites[[#This Row],[Site Agency]], tblSites[[#This Row],[Implementing Partner]])</f>
        <v>No SMA</v>
      </c>
      <c r="M83" s="12" t="s">
        <v>55</v>
      </c>
      <c r="N83" s="12" t="str">
        <f>tblSites[[#This Row],[FinalImplementingPartner]]</f>
        <v>No SMA</v>
      </c>
    </row>
    <row r="84" spans="1:14" x14ac:dyDescent="0.25">
      <c r="A84" s="12" t="s">
        <v>2288</v>
      </c>
      <c r="B84" s="12" t="s">
        <v>2289</v>
      </c>
      <c r="C84" s="12" t="s">
        <v>2290</v>
      </c>
      <c r="D84" t="s">
        <v>5313</v>
      </c>
      <c r="E84" s="12" t="s">
        <v>3178</v>
      </c>
      <c r="F84" s="12" t="s">
        <v>1212</v>
      </c>
      <c r="G84" s="12" t="s">
        <v>5335</v>
      </c>
      <c r="H84" s="12" t="s">
        <v>2289</v>
      </c>
      <c r="I84" s="84">
        <v>2650597</v>
      </c>
      <c r="J84" s="12" t="s">
        <v>5102</v>
      </c>
      <c r="L84" s="12" t="str">
        <f>IF(OR(ISBLANK(tblSites[[#This Row],[Implementing Partner]]), tblSites[[#This Row],[Implementing Partner]]="-"), tblSites[[#This Row],[Site Agency]], tblSites[[#This Row],[Implementing Partner]])</f>
        <v>No SMA</v>
      </c>
      <c r="M84" s="12" t="s">
        <v>55</v>
      </c>
      <c r="N84" s="12" t="str">
        <f>tblSites[[#This Row],[FinalImplementingPartner]]</f>
        <v>No SMA</v>
      </c>
    </row>
    <row r="85" spans="1:14" x14ac:dyDescent="0.25">
      <c r="A85" s="12" t="s">
        <v>145</v>
      </c>
      <c r="B85" s="12" t="s">
        <v>146</v>
      </c>
      <c r="C85" s="12" t="s">
        <v>147</v>
      </c>
      <c r="D85" t="s">
        <v>5313</v>
      </c>
      <c r="E85" s="12" t="s">
        <v>3178</v>
      </c>
      <c r="F85" s="12" t="s">
        <v>97</v>
      </c>
      <c r="G85" s="12" t="s">
        <v>5326</v>
      </c>
      <c r="H85" s="12" t="s">
        <v>146</v>
      </c>
      <c r="I85" s="84">
        <v>2650595</v>
      </c>
      <c r="J85" s="12" t="s">
        <v>7</v>
      </c>
      <c r="L85" s="12" t="str">
        <f>IF(OR(ISBLANK(tblSites[[#This Row],[Implementing Partner]]), tblSites[[#This Row],[Implementing Partner]]="-"), tblSites[[#This Row],[Site Agency]], tblSites[[#This Row],[Implementing Partner]])</f>
        <v>ACTED</v>
      </c>
      <c r="M85" s="12" t="s">
        <v>55</v>
      </c>
      <c r="N85" s="12" t="str">
        <f>tblSites[[#This Row],[FinalImplementingPartner]]</f>
        <v>ACTED</v>
      </c>
    </row>
    <row r="86" spans="1:14" x14ac:dyDescent="0.25">
      <c r="A86" s="12" t="s">
        <v>1764</v>
      </c>
      <c r="B86" s="12" t="s">
        <v>1765</v>
      </c>
      <c r="C86" s="12" t="s">
        <v>1766</v>
      </c>
      <c r="D86" t="s">
        <v>5313</v>
      </c>
      <c r="E86" s="12" t="s">
        <v>3178</v>
      </c>
      <c r="F86" s="12" t="s">
        <v>1698</v>
      </c>
      <c r="G86" s="12" t="s">
        <v>5349</v>
      </c>
      <c r="H86" s="12" t="s">
        <v>1765</v>
      </c>
      <c r="I86" s="84">
        <v>2650580</v>
      </c>
      <c r="J86" s="12" t="s">
        <v>5102</v>
      </c>
      <c r="L86" s="12" t="str">
        <f>IF(OR(ISBLANK(tblSites[[#This Row],[Implementing Partner]]), tblSites[[#This Row],[Implementing Partner]]="-"), tblSites[[#This Row],[Site Agency]], tblSites[[#This Row],[Implementing Partner]])</f>
        <v>No SMA</v>
      </c>
      <c r="M86" s="12" t="s">
        <v>55</v>
      </c>
      <c r="N86" s="12" t="str">
        <f>tblSites[[#This Row],[FinalImplementingPartner]]</f>
        <v>No SMA</v>
      </c>
    </row>
    <row r="87" spans="1:14" x14ac:dyDescent="0.25">
      <c r="A87" s="12" t="s">
        <v>1691</v>
      </c>
      <c r="B87" s="12" t="s">
        <v>1692</v>
      </c>
      <c r="D87" t="s">
        <v>5313</v>
      </c>
      <c r="E87" s="12" t="s">
        <v>3178</v>
      </c>
      <c r="F87" s="12" t="s">
        <v>97</v>
      </c>
      <c r="G87" s="12" t="s">
        <v>5343</v>
      </c>
      <c r="H87" s="12" t="s">
        <v>1692</v>
      </c>
      <c r="I87" s="84">
        <v>2650595</v>
      </c>
      <c r="J87" s="12" t="s">
        <v>5102</v>
      </c>
      <c r="L87" s="12" t="str">
        <f>IF(OR(ISBLANK(tblSites[[#This Row],[Implementing Partner]]), tblSites[[#This Row],[Implementing Partner]]="-"), tblSites[[#This Row],[Site Agency]], tblSites[[#This Row],[Implementing Partner]])</f>
        <v>No SMA</v>
      </c>
      <c r="M87" s="12" t="s">
        <v>55</v>
      </c>
      <c r="N87" s="12" t="str">
        <f>tblSites[[#This Row],[FinalImplementingPartner]]</f>
        <v>No SMA</v>
      </c>
    </row>
    <row r="88" spans="1:14" x14ac:dyDescent="0.25">
      <c r="A88" s="12" t="s">
        <v>2597</v>
      </c>
      <c r="B88" s="12" t="s">
        <v>2598</v>
      </c>
      <c r="C88" s="12" t="s">
        <v>2290</v>
      </c>
      <c r="D88" t="s">
        <v>5313</v>
      </c>
      <c r="E88" s="12" t="s">
        <v>3178</v>
      </c>
      <c r="F88" s="12" t="s">
        <v>1212</v>
      </c>
      <c r="G88" s="12" t="s">
        <v>5335</v>
      </c>
      <c r="H88" s="12" t="s">
        <v>2598</v>
      </c>
      <c r="I88" s="84">
        <v>2650597</v>
      </c>
      <c r="J88" s="12" t="s">
        <v>5102</v>
      </c>
      <c r="L88" s="12" t="str">
        <f>IF(OR(ISBLANK(tblSites[[#This Row],[Implementing Partner]]), tblSites[[#This Row],[Implementing Partner]]="-"), tblSites[[#This Row],[Site Agency]], tblSites[[#This Row],[Implementing Partner]])</f>
        <v>No SMA</v>
      </c>
      <c r="M88" s="12" t="s">
        <v>55</v>
      </c>
      <c r="N88" s="12" t="str">
        <f>tblSites[[#This Row],[FinalImplementingPartner]]</f>
        <v>No SMA</v>
      </c>
    </row>
    <row r="89" spans="1:14" x14ac:dyDescent="0.25">
      <c r="A89" s="12" t="s">
        <v>2599</v>
      </c>
      <c r="B89" s="12" t="s">
        <v>2600</v>
      </c>
      <c r="C89" s="12" t="s">
        <v>2601</v>
      </c>
      <c r="D89" t="s">
        <v>5313</v>
      </c>
      <c r="E89" s="12" t="s">
        <v>3178</v>
      </c>
      <c r="F89" s="12" t="s">
        <v>349</v>
      </c>
      <c r="G89" s="12" t="s">
        <v>5327</v>
      </c>
      <c r="H89" s="12" t="s">
        <v>2600</v>
      </c>
      <c r="I89" s="84">
        <v>26510152</v>
      </c>
      <c r="J89" s="12" t="s">
        <v>5102</v>
      </c>
      <c r="L89" s="12" t="str">
        <f>IF(OR(ISBLANK(tblSites[[#This Row],[Implementing Partner]]), tblSites[[#This Row],[Implementing Partner]]="-"), tblSites[[#This Row],[Site Agency]], tblSites[[#This Row],[Implementing Partner]])</f>
        <v>No SMA</v>
      </c>
      <c r="M89" s="12" t="s">
        <v>55</v>
      </c>
      <c r="N89" s="12" t="str">
        <f>tblSites[[#This Row],[FinalImplementingPartner]]</f>
        <v>No SMA</v>
      </c>
    </row>
    <row r="90" spans="1:14" x14ac:dyDescent="0.25">
      <c r="A90" s="12" t="s">
        <v>2319</v>
      </c>
      <c r="B90" s="12" t="s">
        <v>2320</v>
      </c>
      <c r="C90" s="12" t="s">
        <v>2321</v>
      </c>
      <c r="D90" t="s">
        <v>5313</v>
      </c>
      <c r="E90" s="12" t="s">
        <v>3178</v>
      </c>
      <c r="F90" s="12" t="s">
        <v>349</v>
      </c>
      <c r="G90" s="12" t="s">
        <v>5350</v>
      </c>
      <c r="H90" s="12" t="s">
        <v>2320</v>
      </c>
      <c r="I90" s="84">
        <v>26510152</v>
      </c>
      <c r="J90" s="12" t="s">
        <v>5</v>
      </c>
      <c r="K90" s="12" t="s">
        <v>119</v>
      </c>
      <c r="L90" s="12" t="str">
        <f>IF(OR(ISBLANK(tblSites[[#This Row],[Implementing Partner]]), tblSites[[#This Row],[Implementing Partner]]="-"), tblSites[[#This Row],[Site Agency]], tblSites[[#This Row],[Implementing Partner]])</f>
        <v>BLDA</v>
      </c>
      <c r="M90" s="12" t="s">
        <v>55</v>
      </c>
      <c r="N90" s="12" t="str">
        <f>tblSites[[#This Row],[FinalImplementingPartner]]</f>
        <v>BLDA</v>
      </c>
    </row>
    <row r="91" spans="1:14" x14ac:dyDescent="0.25">
      <c r="A91" s="12" t="s">
        <v>2455</v>
      </c>
      <c r="B91" s="12" t="s">
        <v>2456</v>
      </c>
      <c r="D91" t="s">
        <v>5313</v>
      </c>
      <c r="E91" s="12" t="s">
        <v>3178</v>
      </c>
      <c r="F91" s="12" t="s">
        <v>349</v>
      </c>
      <c r="G91" s="12" t="s">
        <v>5327</v>
      </c>
      <c r="H91" s="12" t="s">
        <v>2456</v>
      </c>
      <c r="I91" s="84">
        <v>26510152</v>
      </c>
      <c r="J91" s="12" t="s">
        <v>5102</v>
      </c>
      <c r="L91" s="12" t="str">
        <f>IF(OR(ISBLANK(tblSites[[#This Row],[Implementing Partner]]), tblSites[[#This Row],[Implementing Partner]]="-"), tblSites[[#This Row],[Site Agency]], tblSites[[#This Row],[Implementing Partner]])</f>
        <v>No SMA</v>
      </c>
      <c r="M91" s="12" t="s">
        <v>55</v>
      </c>
      <c r="N91" s="12" t="str">
        <f>tblSites[[#This Row],[FinalImplementingPartner]]</f>
        <v>No SMA</v>
      </c>
    </row>
    <row r="92" spans="1:14" x14ac:dyDescent="0.25">
      <c r="A92" s="12" t="s">
        <v>2494</v>
      </c>
      <c r="B92" s="12" t="s">
        <v>2495</v>
      </c>
      <c r="C92" s="12" t="s">
        <v>2496</v>
      </c>
      <c r="D92" t="s">
        <v>5313</v>
      </c>
      <c r="E92" s="12" t="s">
        <v>3178</v>
      </c>
      <c r="F92" s="12" t="s">
        <v>349</v>
      </c>
      <c r="G92" s="12" t="s">
        <v>5327</v>
      </c>
      <c r="H92" s="12" t="s">
        <v>2495</v>
      </c>
      <c r="I92" s="84">
        <v>26510152</v>
      </c>
      <c r="J92" s="12" t="s">
        <v>5102</v>
      </c>
      <c r="L92" s="12" t="str">
        <f>IF(OR(ISBLANK(tblSites[[#This Row],[Implementing Partner]]), tblSites[[#This Row],[Implementing Partner]]="-"), tblSites[[#This Row],[Site Agency]], tblSites[[#This Row],[Implementing Partner]])</f>
        <v>No SMA</v>
      </c>
      <c r="M92" s="12" t="s">
        <v>55</v>
      </c>
      <c r="N92" s="12" t="str">
        <f>tblSites[[#This Row],[FinalImplementingPartner]]</f>
        <v>No SMA</v>
      </c>
    </row>
    <row r="93" spans="1:14" x14ac:dyDescent="0.25">
      <c r="A93" s="12" t="s">
        <v>2529</v>
      </c>
      <c r="B93" s="12" t="s">
        <v>2530</v>
      </c>
      <c r="C93" s="12" t="s">
        <v>2531</v>
      </c>
      <c r="D93" t="s">
        <v>5313</v>
      </c>
      <c r="E93" s="12" t="s">
        <v>3178</v>
      </c>
      <c r="F93" s="12" t="s">
        <v>349</v>
      </c>
      <c r="G93" s="12" t="s">
        <v>5327</v>
      </c>
      <c r="H93" s="12" t="s">
        <v>2530</v>
      </c>
      <c r="I93" s="84">
        <v>26510152</v>
      </c>
      <c r="J93" s="12" t="s">
        <v>5102</v>
      </c>
      <c r="L93" s="12" t="str">
        <f>IF(OR(ISBLANK(tblSites[[#This Row],[Implementing Partner]]), tblSites[[#This Row],[Implementing Partner]]="-"), tblSites[[#This Row],[Site Agency]], tblSites[[#This Row],[Implementing Partner]])</f>
        <v>No SMA</v>
      </c>
      <c r="M93" s="12" t="s">
        <v>55</v>
      </c>
      <c r="N93" s="12" t="str">
        <f>tblSites[[#This Row],[FinalImplementingPartner]]</f>
        <v>No SMA</v>
      </c>
    </row>
    <row r="94" spans="1:14" x14ac:dyDescent="0.25">
      <c r="A94" s="12" t="s">
        <v>1780</v>
      </c>
      <c r="B94" s="12" t="s">
        <v>1781</v>
      </c>
      <c r="D94" t="s">
        <v>5313</v>
      </c>
      <c r="E94" s="12" t="s">
        <v>3178</v>
      </c>
      <c r="F94" s="12" t="s">
        <v>349</v>
      </c>
      <c r="G94" s="12" t="s">
        <v>5327</v>
      </c>
      <c r="H94" s="12" t="s">
        <v>1781</v>
      </c>
      <c r="I94" s="84">
        <v>26510152</v>
      </c>
      <c r="J94" s="12" t="s">
        <v>5102</v>
      </c>
      <c r="L94" s="12" t="str">
        <f>IF(OR(ISBLANK(tblSites[[#This Row],[Implementing Partner]]), tblSites[[#This Row],[Implementing Partner]]="-"), tblSites[[#This Row],[Site Agency]], tblSites[[#This Row],[Implementing Partner]])</f>
        <v>No SMA</v>
      </c>
      <c r="M94" s="12" t="s">
        <v>55</v>
      </c>
      <c r="N94" s="12" t="str">
        <f>tblSites[[#This Row],[FinalImplementingPartner]]</f>
        <v>No SMA</v>
      </c>
    </row>
    <row r="95" spans="1:14" x14ac:dyDescent="0.25">
      <c r="A95" s="12" t="s">
        <v>2602</v>
      </c>
      <c r="B95" s="12" t="s">
        <v>2603</v>
      </c>
      <c r="C95" s="12" t="s">
        <v>2604</v>
      </c>
      <c r="D95" t="s">
        <v>5313</v>
      </c>
      <c r="E95" s="12" t="s">
        <v>3178</v>
      </c>
      <c r="F95" s="12" t="s">
        <v>97</v>
      </c>
      <c r="G95" s="12" t="s">
        <v>5351</v>
      </c>
      <c r="H95" s="12" t="s">
        <v>2603</v>
      </c>
      <c r="I95" s="84">
        <v>2650575</v>
      </c>
      <c r="J95" s="12" t="s">
        <v>35</v>
      </c>
      <c r="L95" s="12" t="str">
        <f>IF(OR(ISBLANK(tblSites[[#This Row],[Implementing Partner]]), tblSites[[#This Row],[Implementing Partner]]="-"), tblSites[[#This Row],[Site Agency]], tblSites[[#This Row],[Implementing Partner]])</f>
        <v>NRC</v>
      </c>
      <c r="M95" s="12" t="s">
        <v>55</v>
      </c>
      <c r="N95" s="12" t="str">
        <f>tblSites[[#This Row],[FinalImplementingPartner]]</f>
        <v>NRC</v>
      </c>
    </row>
    <row r="96" spans="1:14" x14ac:dyDescent="0.25">
      <c r="A96" s="12" t="s">
        <v>2605</v>
      </c>
      <c r="B96" s="12" t="s">
        <v>2606</v>
      </c>
      <c r="C96" s="12" t="s">
        <v>2607</v>
      </c>
      <c r="D96" t="s">
        <v>5313</v>
      </c>
      <c r="E96" s="12" t="s">
        <v>3178</v>
      </c>
      <c r="F96" s="12" t="s">
        <v>1698</v>
      </c>
      <c r="G96" s="12" t="s">
        <v>5349</v>
      </c>
      <c r="H96" s="12" t="s">
        <v>2606</v>
      </c>
      <c r="I96" s="84">
        <v>2650580</v>
      </c>
      <c r="J96" s="12" t="s">
        <v>5102</v>
      </c>
      <c r="L96" s="12" t="str">
        <f>IF(OR(ISBLANK(tblSites[[#This Row],[Implementing Partner]]), tblSites[[#This Row],[Implementing Partner]]="-"), tblSites[[#This Row],[Site Agency]], tblSites[[#This Row],[Implementing Partner]])</f>
        <v>No SMA</v>
      </c>
      <c r="M96" s="12" t="s">
        <v>55</v>
      </c>
      <c r="N96" s="12" t="str">
        <f>tblSites[[#This Row],[FinalImplementingPartner]]</f>
        <v>No SMA</v>
      </c>
    </row>
    <row r="97" spans="1:14" x14ac:dyDescent="0.25">
      <c r="A97" s="12" t="s">
        <v>1829</v>
      </c>
      <c r="B97" s="12" t="s">
        <v>1830</v>
      </c>
      <c r="C97" s="12" t="s">
        <v>1831</v>
      </c>
      <c r="D97" t="s">
        <v>5313</v>
      </c>
      <c r="E97" s="12" t="s">
        <v>3178</v>
      </c>
      <c r="F97" s="12" t="s">
        <v>358</v>
      </c>
      <c r="G97" s="12" t="s">
        <v>5352</v>
      </c>
      <c r="H97" s="12" t="s">
        <v>1830</v>
      </c>
      <c r="I97" s="84">
        <v>2650577</v>
      </c>
      <c r="J97" s="12" t="s">
        <v>5102</v>
      </c>
      <c r="L97" s="12" t="str">
        <f>IF(OR(ISBLANK(tblSites[[#This Row],[Implementing Partner]]), tblSites[[#This Row],[Implementing Partner]]="-"), tblSites[[#This Row],[Site Agency]], tblSites[[#This Row],[Implementing Partner]])</f>
        <v>No SMA</v>
      </c>
      <c r="M97" s="12" t="s">
        <v>55</v>
      </c>
      <c r="N97" s="12" t="str">
        <f>tblSites[[#This Row],[FinalImplementingPartner]]</f>
        <v>No SMA</v>
      </c>
    </row>
    <row r="98" spans="1:14" x14ac:dyDescent="0.25">
      <c r="A98" s="12" t="s">
        <v>139</v>
      </c>
      <c r="B98" s="12" t="s">
        <v>140</v>
      </c>
      <c r="C98" s="12" t="s">
        <v>141</v>
      </c>
      <c r="D98" t="s">
        <v>5313</v>
      </c>
      <c r="E98" s="12" t="s">
        <v>3178</v>
      </c>
      <c r="F98" s="12" t="s">
        <v>97</v>
      </c>
      <c r="G98" s="12" t="s">
        <v>5326</v>
      </c>
      <c r="H98" s="12" t="s">
        <v>140</v>
      </c>
      <c r="I98" s="84">
        <v>2650595</v>
      </c>
      <c r="J98" s="12" t="s">
        <v>7</v>
      </c>
      <c r="L98" s="12" t="str">
        <f>IF(OR(ISBLANK(tblSites[[#This Row],[Implementing Partner]]), tblSites[[#This Row],[Implementing Partner]]="-"), tblSites[[#This Row],[Site Agency]], tblSites[[#This Row],[Implementing Partner]])</f>
        <v>ACTED</v>
      </c>
      <c r="M98" s="12" t="s">
        <v>55</v>
      </c>
      <c r="N98" s="12" t="str">
        <f>tblSites[[#This Row],[FinalImplementingPartner]]</f>
        <v>ACTED</v>
      </c>
    </row>
    <row r="99" spans="1:14" x14ac:dyDescent="0.25">
      <c r="A99" s="12" t="s">
        <v>2608</v>
      </c>
      <c r="B99" s="12" t="s">
        <v>2609</v>
      </c>
      <c r="C99" s="12" t="s">
        <v>2610</v>
      </c>
      <c r="D99" t="s">
        <v>5313</v>
      </c>
      <c r="E99" s="12" t="s">
        <v>3178</v>
      </c>
      <c r="F99" s="12" t="s">
        <v>510</v>
      </c>
      <c r="G99" s="12" t="s">
        <v>5346</v>
      </c>
      <c r="H99" s="12" t="s">
        <v>2609</v>
      </c>
      <c r="I99" s="84">
        <v>2650578</v>
      </c>
      <c r="J99" s="12" t="s">
        <v>5102</v>
      </c>
      <c r="L99" s="12" t="str">
        <f>IF(OR(ISBLANK(tblSites[[#This Row],[Implementing Partner]]), tblSites[[#This Row],[Implementing Partner]]="-"), tblSites[[#This Row],[Site Agency]], tblSites[[#This Row],[Implementing Partner]])</f>
        <v>No SMA</v>
      </c>
      <c r="M99" s="12" t="s">
        <v>55</v>
      </c>
      <c r="N99" s="12" t="str">
        <f>tblSites[[#This Row],[FinalImplementingPartner]]</f>
        <v>No SMA</v>
      </c>
    </row>
    <row r="100" spans="1:14" x14ac:dyDescent="0.25">
      <c r="A100" s="12" t="s">
        <v>3392</v>
      </c>
      <c r="B100" s="12" t="s">
        <v>3993</v>
      </c>
      <c r="C100" s="12" t="s">
        <v>4591</v>
      </c>
      <c r="D100" t="s">
        <v>5313</v>
      </c>
      <c r="E100" s="12" t="s">
        <v>3178</v>
      </c>
      <c r="F100" s="12" t="s">
        <v>1212</v>
      </c>
      <c r="G100" s="12" t="s">
        <v>5335</v>
      </c>
      <c r="H100" s="12" t="s">
        <v>3993</v>
      </c>
      <c r="I100" s="84">
        <v>2650597</v>
      </c>
      <c r="J100" s="12" t="s">
        <v>5102</v>
      </c>
      <c r="L100" s="12" t="str">
        <f>IF(OR(ISBLANK(tblSites[[#This Row],[Implementing Partner]]), tblSites[[#This Row],[Implementing Partner]]="-"), tblSites[[#This Row],[Site Agency]], tblSites[[#This Row],[Implementing Partner]])</f>
        <v>No SMA</v>
      </c>
      <c r="M100" s="12" t="s">
        <v>55</v>
      </c>
      <c r="N100" s="12" t="str">
        <f>tblSites[[#This Row],[FinalImplementingPartner]]</f>
        <v>No SMA</v>
      </c>
    </row>
    <row r="101" spans="1:14" x14ac:dyDescent="0.25">
      <c r="A101" s="12" t="s">
        <v>2611</v>
      </c>
      <c r="B101" s="12" t="s">
        <v>2612</v>
      </c>
      <c r="C101" s="12" t="s">
        <v>2613</v>
      </c>
      <c r="D101" t="s">
        <v>5313</v>
      </c>
      <c r="E101" s="12" t="s">
        <v>3178</v>
      </c>
      <c r="F101" s="12" t="s">
        <v>349</v>
      </c>
      <c r="G101" s="12" t="s">
        <v>5327</v>
      </c>
      <c r="H101" s="12" t="s">
        <v>2612</v>
      </c>
      <c r="I101" s="84">
        <v>26510152</v>
      </c>
      <c r="J101" s="12" t="s">
        <v>5102</v>
      </c>
      <c r="L101" s="12" t="str">
        <f>IF(OR(ISBLANK(tblSites[[#This Row],[Implementing Partner]]), tblSites[[#This Row],[Implementing Partner]]="-"), tblSites[[#This Row],[Site Agency]], tblSites[[#This Row],[Implementing Partner]])</f>
        <v>No SMA</v>
      </c>
      <c r="M101" s="12" t="s">
        <v>55</v>
      </c>
      <c r="N101" s="12" t="str">
        <f>tblSites[[#This Row],[FinalImplementingPartner]]</f>
        <v>No SMA</v>
      </c>
    </row>
    <row r="102" spans="1:14" x14ac:dyDescent="0.25">
      <c r="A102" s="12" t="s">
        <v>1744</v>
      </c>
      <c r="B102" s="12" t="s">
        <v>1745</v>
      </c>
      <c r="C102" s="12" t="s">
        <v>1746</v>
      </c>
      <c r="D102" t="s">
        <v>5313</v>
      </c>
      <c r="E102" s="12" t="s">
        <v>3178</v>
      </c>
      <c r="F102" s="12" t="s">
        <v>349</v>
      </c>
      <c r="G102" s="12" t="s">
        <v>5327</v>
      </c>
      <c r="H102" s="12" t="s">
        <v>1745</v>
      </c>
      <c r="I102" s="84">
        <v>26510152</v>
      </c>
      <c r="J102" s="12" t="s">
        <v>5102</v>
      </c>
      <c r="L102" s="12" t="str">
        <f>IF(OR(ISBLANK(tblSites[[#This Row],[Implementing Partner]]), tblSites[[#This Row],[Implementing Partner]]="-"), tblSites[[#This Row],[Site Agency]], tblSites[[#This Row],[Implementing Partner]])</f>
        <v>No SMA</v>
      </c>
      <c r="M102" s="12" t="s">
        <v>55</v>
      </c>
      <c r="N102" s="12" t="str">
        <f>tblSites[[#This Row],[FinalImplementingPartner]]</f>
        <v>No SMA</v>
      </c>
    </row>
    <row r="103" spans="1:14" x14ac:dyDescent="0.25">
      <c r="A103" s="12" t="s">
        <v>1727</v>
      </c>
      <c r="B103" s="12" t="s">
        <v>1728</v>
      </c>
      <c r="D103" t="s">
        <v>5313</v>
      </c>
      <c r="E103" s="12" t="s">
        <v>3178</v>
      </c>
      <c r="F103" s="12" t="s">
        <v>349</v>
      </c>
      <c r="G103" s="12" t="s">
        <v>5327</v>
      </c>
      <c r="H103" s="12" t="s">
        <v>1728</v>
      </c>
      <c r="I103" s="84">
        <v>26510152</v>
      </c>
      <c r="J103" s="12" t="s">
        <v>5102</v>
      </c>
      <c r="L103" s="12" t="str">
        <f>IF(OR(ISBLANK(tblSites[[#This Row],[Implementing Partner]]), tblSites[[#This Row],[Implementing Partner]]="-"), tblSites[[#This Row],[Site Agency]], tblSites[[#This Row],[Implementing Partner]])</f>
        <v>No SMA</v>
      </c>
      <c r="M103" s="12" t="s">
        <v>55</v>
      </c>
      <c r="N103" s="12" t="str">
        <f>tblSites[[#This Row],[FinalImplementingPartner]]</f>
        <v>No SMA</v>
      </c>
    </row>
    <row r="104" spans="1:14" x14ac:dyDescent="0.25">
      <c r="A104" s="12" t="s">
        <v>1719</v>
      </c>
      <c r="B104" s="12" t="s">
        <v>1720</v>
      </c>
      <c r="C104" s="12" t="s">
        <v>749</v>
      </c>
      <c r="D104" t="s">
        <v>5313</v>
      </c>
      <c r="E104" s="12" t="s">
        <v>3178</v>
      </c>
      <c r="F104" s="12" t="s">
        <v>349</v>
      </c>
      <c r="G104" s="12" t="s">
        <v>5327</v>
      </c>
      <c r="H104" s="12" t="s">
        <v>1720</v>
      </c>
      <c r="I104" s="84">
        <v>26510152</v>
      </c>
      <c r="J104" s="12" t="s">
        <v>5102</v>
      </c>
      <c r="L104" s="12" t="str">
        <f>IF(OR(ISBLANK(tblSites[[#This Row],[Implementing Partner]]), tblSites[[#This Row],[Implementing Partner]]="-"), tblSites[[#This Row],[Site Agency]], tblSites[[#This Row],[Implementing Partner]])</f>
        <v>No SMA</v>
      </c>
      <c r="M104" s="12" t="s">
        <v>55</v>
      </c>
      <c r="N104" s="12" t="str">
        <f>tblSites[[#This Row],[FinalImplementingPartner]]</f>
        <v>No SMA</v>
      </c>
    </row>
    <row r="105" spans="1:14" x14ac:dyDescent="0.25">
      <c r="A105" s="12" t="s">
        <v>1790</v>
      </c>
      <c r="B105" s="12" t="s">
        <v>1791</v>
      </c>
      <c r="C105" s="12" t="s">
        <v>1792</v>
      </c>
      <c r="D105" t="s">
        <v>5313</v>
      </c>
      <c r="E105" s="12" t="s">
        <v>3178</v>
      </c>
      <c r="F105" s="12" t="s">
        <v>361</v>
      </c>
      <c r="G105" s="12" t="s">
        <v>5333</v>
      </c>
      <c r="H105" s="12" t="s">
        <v>1791</v>
      </c>
      <c r="I105" s="84">
        <v>2651099</v>
      </c>
      <c r="J105" s="12" t="s">
        <v>5102</v>
      </c>
      <c r="L105" s="12" t="str">
        <f>IF(OR(ISBLANK(tblSites[[#This Row],[Implementing Partner]]), tblSites[[#This Row],[Implementing Partner]]="-"), tblSites[[#This Row],[Site Agency]], tblSites[[#This Row],[Implementing Partner]])</f>
        <v>No SMA</v>
      </c>
      <c r="M105" s="12" t="s">
        <v>55</v>
      </c>
      <c r="N105" s="12" t="str">
        <f>tblSites[[#This Row],[FinalImplementingPartner]]</f>
        <v>No SMA</v>
      </c>
    </row>
    <row r="106" spans="1:14" x14ac:dyDescent="0.25">
      <c r="A106" s="12" t="s">
        <v>2411</v>
      </c>
      <c r="B106" s="12" t="s">
        <v>2412</v>
      </c>
      <c r="C106" s="12" t="s">
        <v>2413</v>
      </c>
      <c r="D106" t="s">
        <v>5313</v>
      </c>
      <c r="E106" s="12" t="s">
        <v>3178</v>
      </c>
      <c r="F106" s="12" t="s">
        <v>361</v>
      </c>
      <c r="G106" s="12" t="s">
        <v>5333</v>
      </c>
      <c r="H106" s="12" t="s">
        <v>2412</v>
      </c>
      <c r="I106" s="84">
        <v>2651099</v>
      </c>
      <c r="J106" s="12" t="s">
        <v>5102</v>
      </c>
      <c r="L106" s="12" t="str">
        <f>IF(OR(ISBLANK(tblSites[[#This Row],[Implementing Partner]]), tblSites[[#This Row],[Implementing Partner]]="-"), tblSites[[#This Row],[Site Agency]], tblSites[[#This Row],[Implementing Partner]])</f>
        <v>No SMA</v>
      </c>
      <c r="M106" s="12" t="s">
        <v>55</v>
      </c>
      <c r="N106" s="12" t="str">
        <f>tblSites[[#This Row],[FinalImplementingPartner]]</f>
        <v>No SMA</v>
      </c>
    </row>
    <row r="107" spans="1:14" x14ac:dyDescent="0.25">
      <c r="A107" s="12" t="s">
        <v>978</v>
      </c>
      <c r="B107" s="12" t="s">
        <v>979</v>
      </c>
      <c r="C107" s="12" t="s">
        <v>980</v>
      </c>
      <c r="D107" t="s">
        <v>5313</v>
      </c>
      <c r="E107" s="12" t="s">
        <v>3178</v>
      </c>
      <c r="F107" s="12" t="s">
        <v>361</v>
      </c>
      <c r="G107" s="12" t="s">
        <v>5333</v>
      </c>
      <c r="H107" s="12" t="s">
        <v>979</v>
      </c>
      <c r="I107" s="84">
        <v>2651099</v>
      </c>
      <c r="J107" s="12" t="s">
        <v>5102</v>
      </c>
      <c r="L107" s="12" t="str">
        <f>IF(OR(ISBLANK(tblSites[[#This Row],[Implementing Partner]]), tblSites[[#This Row],[Implementing Partner]]="-"), tblSites[[#This Row],[Site Agency]], tblSites[[#This Row],[Implementing Partner]])</f>
        <v>No SMA</v>
      </c>
      <c r="M107" s="12" t="s">
        <v>55</v>
      </c>
      <c r="N107" s="12" t="str">
        <f>tblSites[[#This Row],[FinalImplementingPartner]]</f>
        <v>No SMA</v>
      </c>
    </row>
    <row r="108" spans="1:14" x14ac:dyDescent="0.25">
      <c r="A108" s="12" t="s">
        <v>1741</v>
      </c>
      <c r="B108" s="12" t="s">
        <v>1742</v>
      </c>
      <c r="C108" s="12" t="s">
        <v>1743</v>
      </c>
      <c r="D108" t="s">
        <v>5313</v>
      </c>
      <c r="E108" s="12" t="s">
        <v>3178</v>
      </c>
      <c r="F108" s="12" t="s">
        <v>1724</v>
      </c>
      <c r="G108" s="12" t="s">
        <v>5334</v>
      </c>
      <c r="H108" s="12" t="s">
        <v>1742</v>
      </c>
      <c r="I108" s="84">
        <v>26510151</v>
      </c>
      <c r="J108" s="12" t="s">
        <v>5102</v>
      </c>
      <c r="L108" s="12" t="str">
        <f>IF(OR(ISBLANK(tblSites[[#This Row],[Implementing Partner]]), tblSites[[#This Row],[Implementing Partner]]="-"), tblSites[[#This Row],[Site Agency]], tblSites[[#This Row],[Implementing Partner]])</f>
        <v>No SMA</v>
      </c>
      <c r="M108" s="12" t="s">
        <v>55</v>
      </c>
      <c r="N108" s="12" t="str">
        <f>tblSites[[#This Row],[FinalImplementingPartner]]</f>
        <v>No SMA</v>
      </c>
    </row>
    <row r="109" spans="1:14" x14ac:dyDescent="0.25">
      <c r="A109" s="12" t="s">
        <v>1796</v>
      </c>
      <c r="B109" s="12" t="s">
        <v>1797</v>
      </c>
      <c r="C109" s="12" t="s">
        <v>1798</v>
      </c>
      <c r="D109" t="s">
        <v>5313</v>
      </c>
      <c r="E109" s="12" t="s">
        <v>3178</v>
      </c>
      <c r="F109" s="12" t="s">
        <v>1724</v>
      </c>
      <c r="G109" s="12" t="s">
        <v>5334</v>
      </c>
      <c r="H109" s="12" t="s">
        <v>1797</v>
      </c>
      <c r="I109" s="84">
        <v>26510151</v>
      </c>
      <c r="J109" s="12" t="s">
        <v>5102</v>
      </c>
      <c r="L109" s="12" t="str">
        <f>IF(OR(ISBLANK(tblSites[[#This Row],[Implementing Partner]]), tblSites[[#This Row],[Implementing Partner]]="-"), tblSites[[#This Row],[Site Agency]], tblSites[[#This Row],[Implementing Partner]])</f>
        <v>No SMA</v>
      </c>
      <c r="M109" s="12" t="s">
        <v>55</v>
      </c>
      <c r="N109" s="12" t="str">
        <f>tblSites[[#This Row],[FinalImplementingPartner]]</f>
        <v>No SMA</v>
      </c>
    </row>
    <row r="110" spans="1:14" x14ac:dyDescent="0.25">
      <c r="A110" s="12" t="s">
        <v>1721</v>
      </c>
      <c r="B110" s="12" t="s">
        <v>5267</v>
      </c>
      <c r="C110" s="12" t="s">
        <v>5272</v>
      </c>
      <c r="D110" t="s">
        <v>5313</v>
      </c>
      <c r="E110" s="12" t="s">
        <v>3178</v>
      </c>
      <c r="F110" s="12" t="s">
        <v>349</v>
      </c>
      <c r="G110" s="12" t="s">
        <v>5327</v>
      </c>
      <c r="H110" s="12" t="s">
        <v>5267</v>
      </c>
      <c r="I110" s="84">
        <v>26510152</v>
      </c>
      <c r="J110" s="12" t="s">
        <v>5102</v>
      </c>
      <c r="L110" s="12" t="str">
        <f>IF(OR(ISBLANK(tblSites[[#This Row],[Implementing Partner]]), tblSites[[#This Row],[Implementing Partner]]="-"), tblSites[[#This Row],[Site Agency]], tblSites[[#This Row],[Implementing Partner]])</f>
        <v>No SMA</v>
      </c>
      <c r="M110" s="12" t="s">
        <v>55</v>
      </c>
      <c r="N110" s="12" t="str">
        <f>tblSites[[#This Row],[FinalImplementingPartner]]</f>
        <v>No SMA</v>
      </c>
    </row>
    <row r="111" spans="1:14" x14ac:dyDescent="0.25">
      <c r="A111" s="12" t="s">
        <v>2424</v>
      </c>
      <c r="B111" s="12" t="s">
        <v>2425</v>
      </c>
      <c r="C111" s="12" t="s">
        <v>2426</v>
      </c>
      <c r="D111" t="s">
        <v>5313</v>
      </c>
      <c r="E111" s="12" t="s">
        <v>3178</v>
      </c>
      <c r="F111" s="12" t="s">
        <v>125</v>
      </c>
      <c r="G111" s="12" t="s">
        <v>5342</v>
      </c>
      <c r="H111" s="12" t="s">
        <v>2425</v>
      </c>
      <c r="I111" s="84">
        <v>2651094</v>
      </c>
      <c r="J111" s="12" t="s">
        <v>5102</v>
      </c>
      <c r="L111" s="12" t="str">
        <f>IF(OR(ISBLANK(tblSites[[#This Row],[Implementing Partner]]), tblSites[[#This Row],[Implementing Partner]]="-"), tblSites[[#This Row],[Site Agency]], tblSites[[#This Row],[Implementing Partner]])</f>
        <v>No SMA</v>
      </c>
      <c r="M111" s="12" t="s">
        <v>55</v>
      </c>
      <c r="N111" s="12" t="str">
        <f>tblSites[[#This Row],[FinalImplementingPartner]]</f>
        <v>No SMA</v>
      </c>
    </row>
    <row r="112" spans="1:14" x14ac:dyDescent="0.25">
      <c r="A112" s="12" t="s">
        <v>101</v>
      </c>
      <c r="B112" s="12" t="s">
        <v>102</v>
      </c>
      <c r="C112" s="12" t="s">
        <v>103</v>
      </c>
      <c r="D112" t="s">
        <v>5313</v>
      </c>
      <c r="E112" s="12" t="s">
        <v>3178</v>
      </c>
      <c r="F112" s="12" t="s">
        <v>104</v>
      </c>
      <c r="G112" s="12" t="s">
        <v>5344</v>
      </c>
      <c r="H112" s="12" t="s">
        <v>102</v>
      </c>
      <c r="I112" s="84">
        <v>2651091</v>
      </c>
      <c r="J112" s="12" t="s">
        <v>7</v>
      </c>
      <c r="L112" s="12" t="str">
        <f>IF(OR(ISBLANK(tblSites[[#This Row],[Implementing Partner]]), tblSites[[#This Row],[Implementing Partner]]="-"), tblSites[[#This Row],[Site Agency]], tblSites[[#This Row],[Implementing Partner]])</f>
        <v>ACTED</v>
      </c>
      <c r="M112" s="12" t="s">
        <v>55</v>
      </c>
      <c r="N112" s="12" t="str">
        <f>tblSites[[#This Row],[FinalImplementingPartner]]</f>
        <v>ACTED</v>
      </c>
    </row>
    <row r="113" spans="1:14" x14ac:dyDescent="0.25">
      <c r="A113" s="12" t="s">
        <v>2328</v>
      </c>
      <c r="B113" s="12" t="s">
        <v>2329</v>
      </c>
      <c r="C113" s="12" t="s">
        <v>2330</v>
      </c>
      <c r="D113" t="s">
        <v>5313</v>
      </c>
      <c r="E113" s="12" t="s">
        <v>3178</v>
      </c>
      <c r="F113" s="12" t="s">
        <v>1698</v>
      </c>
      <c r="G113" s="12" t="s">
        <v>5349</v>
      </c>
      <c r="H113" s="12" t="s">
        <v>2329</v>
      </c>
      <c r="I113" s="84">
        <v>2650580</v>
      </c>
      <c r="J113" s="12" t="s">
        <v>5102</v>
      </c>
      <c r="L113" s="12" t="str">
        <f>IF(OR(ISBLANK(tblSites[[#This Row],[Implementing Partner]]), tblSites[[#This Row],[Implementing Partner]]="-"), tblSites[[#This Row],[Site Agency]], tblSites[[#This Row],[Implementing Partner]])</f>
        <v>No SMA</v>
      </c>
      <c r="M113" s="12" t="s">
        <v>55</v>
      </c>
      <c r="N113" s="12" t="str">
        <f>tblSites[[#This Row],[FinalImplementingPartner]]</f>
        <v>No SMA</v>
      </c>
    </row>
    <row r="114" spans="1:14" x14ac:dyDescent="0.25">
      <c r="A114" s="12" t="s">
        <v>1820</v>
      </c>
      <c r="B114" s="12" t="s">
        <v>1821</v>
      </c>
      <c r="C114" s="12" t="s">
        <v>1822</v>
      </c>
      <c r="D114" t="s">
        <v>5313</v>
      </c>
      <c r="E114" s="12" t="s">
        <v>3178</v>
      </c>
      <c r="F114" s="12" t="s">
        <v>1698</v>
      </c>
      <c r="G114" s="12" t="s">
        <v>5349</v>
      </c>
      <c r="H114" s="12" t="s">
        <v>1821</v>
      </c>
      <c r="I114" s="84">
        <v>2650580</v>
      </c>
      <c r="J114" s="12" t="s">
        <v>5102</v>
      </c>
      <c r="L114" s="12" t="str">
        <f>IF(OR(ISBLANK(tblSites[[#This Row],[Implementing Partner]]), tblSites[[#This Row],[Implementing Partner]]="-"), tblSites[[#This Row],[Site Agency]], tblSites[[#This Row],[Implementing Partner]])</f>
        <v>No SMA</v>
      </c>
      <c r="M114" s="12" t="s">
        <v>55</v>
      </c>
      <c r="N114" s="12" t="str">
        <f>tblSites[[#This Row],[FinalImplementingPartner]]</f>
        <v>No SMA</v>
      </c>
    </row>
    <row r="115" spans="1:14" x14ac:dyDescent="0.25">
      <c r="A115" s="12" t="s">
        <v>2614</v>
      </c>
      <c r="B115" s="12" t="s">
        <v>2615</v>
      </c>
      <c r="C115" s="12" t="s">
        <v>2616</v>
      </c>
      <c r="D115" t="s">
        <v>5313</v>
      </c>
      <c r="E115" s="12" t="s">
        <v>3178</v>
      </c>
      <c r="F115" s="12" t="s">
        <v>985</v>
      </c>
      <c r="G115" s="12" t="s">
        <v>5345</v>
      </c>
      <c r="H115" s="12" t="s">
        <v>2615</v>
      </c>
      <c r="I115" s="84">
        <v>2650579</v>
      </c>
      <c r="J115" s="12" t="s">
        <v>5102</v>
      </c>
      <c r="L115" s="12" t="str">
        <f>IF(OR(ISBLANK(tblSites[[#This Row],[Implementing Partner]]), tblSites[[#This Row],[Implementing Partner]]="-"), tblSites[[#This Row],[Site Agency]], tblSites[[#This Row],[Implementing Partner]])</f>
        <v>No SMA</v>
      </c>
      <c r="M115" s="12" t="s">
        <v>55</v>
      </c>
      <c r="N115" s="12" t="str">
        <f>tblSites[[#This Row],[FinalImplementingPartner]]</f>
        <v>No SMA</v>
      </c>
    </row>
    <row r="116" spans="1:14" x14ac:dyDescent="0.25">
      <c r="A116" s="12" t="s">
        <v>2617</v>
      </c>
      <c r="B116" s="12" t="s">
        <v>2618</v>
      </c>
      <c r="D116" t="s">
        <v>5313</v>
      </c>
      <c r="E116" s="12" t="s">
        <v>3178</v>
      </c>
      <c r="F116" s="12" t="s">
        <v>358</v>
      </c>
      <c r="G116" s="12" t="s">
        <v>5352</v>
      </c>
      <c r="H116" s="12" t="s">
        <v>2618</v>
      </c>
      <c r="I116" s="84">
        <v>2650577</v>
      </c>
      <c r="J116" s="12" t="s">
        <v>5102</v>
      </c>
      <c r="L116" s="12" t="str">
        <f>IF(OR(ISBLANK(tblSites[[#This Row],[Implementing Partner]]), tblSites[[#This Row],[Implementing Partner]]="-"), tblSites[[#This Row],[Site Agency]], tblSites[[#This Row],[Implementing Partner]])</f>
        <v>No SMA</v>
      </c>
      <c r="M116" s="12" t="s">
        <v>55</v>
      </c>
      <c r="N116" s="12" t="str">
        <f>tblSites[[#This Row],[FinalImplementingPartner]]</f>
        <v>No SMA</v>
      </c>
    </row>
    <row r="117" spans="1:14" x14ac:dyDescent="0.25">
      <c r="A117" s="12" t="s">
        <v>2378</v>
      </c>
      <c r="B117" s="12" t="s">
        <v>2379</v>
      </c>
      <c r="C117" s="12" t="s">
        <v>2380</v>
      </c>
      <c r="D117" t="s">
        <v>5313</v>
      </c>
      <c r="E117" s="12" t="s">
        <v>3178</v>
      </c>
      <c r="F117" s="12" t="s">
        <v>154</v>
      </c>
      <c r="G117" s="12" t="s">
        <v>5336</v>
      </c>
      <c r="H117" s="12" t="s">
        <v>2379</v>
      </c>
      <c r="I117" s="84">
        <v>26501147</v>
      </c>
      <c r="J117" s="12" t="s">
        <v>5102</v>
      </c>
      <c r="L117" s="12" t="str">
        <f>IF(OR(ISBLANK(tblSites[[#This Row],[Implementing Partner]]), tblSites[[#This Row],[Implementing Partner]]="-"), tblSites[[#This Row],[Site Agency]], tblSites[[#This Row],[Implementing Partner]])</f>
        <v>No SMA</v>
      </c>
      <c r="M117" s="12" t="s">
        <v>55</v>
      </c>
      <c r="N117" s="12" t="str">
        <f>tblSites[[#This Row],[FinalImplementingPartner]]</f>
        <v>No SMA</v>
      </c>
    </row>
    <row r="118" spans="1:14" x14ac:dyDescent="0.25">
      <c r="A118" s="12" t="s">
        <v>2402</v>
      </c>
      <c r="B118" s="12" t="s">
        <v>523</v>
      </c>
      <c r="D118" t="s">
        <v>5313</v>
      </c>
      <c r="E118" s="12" t="s">
        <v>3178</v>
      </c>
      <c r="F118" s="12" t="s">
        <v>154</v>
      </c>
      <c r="G118" s="12" t="s">
        <v>5336</v>
      </c>
      <c r="H118" s="12" t="s">
        <v>523</v>
      </c>
      <c r="I118" s="84">
        <v>26501147</v>
      </c>
      <c r="J118" s="12" t="s">
        <v>5102</v>
      </c>
      <c r="L118" s="12" t="str">
        <f>IF(OR(ISBLANK(tblSites[[#This Row],[Implementing Partner]]), tblSites[[#This Row],[Implementing Partner]]="-"), tblSites[[#This Row],[Site Agency]], tblSites[[#This Row],[Implementing Partner]])</f>
        <v>No SMA</v>
      </c>
      <c r="M118" s="12" t="s">
        <v>55</v>
      </c>
      <c r="N118" s="12" t="str">
        <f>tblSites[[#This Row],[FinalImplementingPartner]]</f>
        <v>No SMA</v>
      </c>
    </row>
    <row r="119" spans="1:14" x14ac:dyDescent="0.25">
      <c r="A119" s="12" t="s">
        <v>2388</v>
      </c>
      <c r="B119" s="12" t="s">
        <v>2389</v>
      </c>
      <c r="C119" s="12" t="s">
        <v>2390</v>
      </c>
      <c r="D119" t="s">
        <v>5313</v>
      </c>
      <c r="E119" s="12" t="s">
        <v>3178</v>
      </c>
      <c r="F119" s="12" t="s">
        <v>154</v>
      </c>
      <c r="G119" s="12" t="s">
        <v>5336</v>
      </c>
      <c r="H119" s="12" t="s">
        <v>2389</v>
      </c>
      <c r="I119" s="84">
        <v>26501147</v>
      </c>
      <c r="J119" s="12" t="s">
        <v>5102</v>
      </c>
      <c r="L119" s="12" t="str">
        <f>IF(OR(ISBLANK(tblSites[[#This Row],[Implementing Partner]]), tblSites[[#This Row],[Implementing Partner]]="-"), tblSites[[#This Row],[Site Agency]], tblSites[[#This Row],[Implementing Partner]])</f>
        <v>No SMA</v>
      </c>
      <c r="M119" s="12" t="s">
        <v>55</v>
      </c>
      <c r="N119" s="12" t="str">
        <f>tblSites[[#This Row],[FinalImplementingPartner]]</f>
        <v>No SMA</v>
      </c>
    </row>
    <row r="120" spans="1:14" x14ac:dyDescent="0.25">
      <c r="A120" s="12" t="s">
        <v>2045</v>
      </c>
      <c r="B120" s="12" t="s">
        <v>2046</v>
      </c>
      <c r="C120" s="12" t="s">
        <v>2047</v>
      </c>
      <c r="D120" t="s">
        <v>5313</v>
      </c>
      <c r="E120" s="12" t="s">
        <v>3178</v>
      </c>
      <c r="F120" s="12" t="s">
        <v>154</v>
      </c>
      <c r="G120" s="12" t="s">
        <v>5336</v>
      </c>
      <c r="H120" s="12" t="s">
        <v>2046</v>
      </c>
      <c r="I120" s="84">
        <v>26501147</v>
      </c>
      <c r="J120" s="12" t="s">
        <v>5102</v>
      </c>
      <c r="L120" s="12" t="str">
        <f>IF(OR(ISBLANK(tblSites[[#This Row],[Implementing Partner]]), tblSites[[#This Row],[Implementing Partner]]="-"), tblSites[[#This Row],[Site Agency]], tblSites[[#This Row],[Implementing Partner]])</f>
        <v>No SMA</v>
      </c>
      <c r="M120" s="12" t="s">
        <v>55</v>
      </c>
      <c r="N120" s="12" t="str">
        <f>tblSites[[#This Row],[FinalImplementingPartner]]</f>
        <v>No SMA</v>
      </c>
    </row>
    <row r="121" spans="1:14" x14ac:dyDescent="0.25">
      <c r="A121" s="12" t="s">
        <v>2356</v>
      </c>
      <c r="B121" s="12" t="s">
        <v>2357</v>
      </c>
      <c r="C121" s="12" t="s">
        <v>377</v>
      </c>
      <c r="D121" t="s">
        <v>5313</v>
      </c>
      <c r="E121" s="12" t="s">
        <v>3178</v>
      </c>
      <c r="F121" s="12" t="s">
        <v>154</v>
      </c>
      <c r="G121" s="12" t="s">
        <v>5336</v>
      </c>
      <c r="H121" s="12" t="s">
        <v>2357</v>
      </c>
      <c r="I121" s="84">
        <v>26501147</v>
      </c>
      <c r="J121" s="12" t="s">
        <v>5102</v>
      </c>
      <c r="L121" s="12" t="str">
        <f>IF(OR(ISBLANK(tblSites[[#This Row],[Implementing Partner]]), tblSites[[#This Row],[Implementing Partner]]="-"), tblSites[[#This Row],[Site Agency]], tblSites[[#This Row],[Implementing Partner]])</f>
        <v>No SMA</v>
      </c>
      <c r="M121" s="12" t="s">
        <v>55</v>
      </c>
      <c r="N121" s="12" t="str">
        <f>tblSites[[#This Row],[FinalImplementingPartner]]</f>
        <v>No SMA</v>
      </c>
    </row>
    <row r="122" spans="1:14" x14ac:dyDescent="0.25">
      <c r="A122" s="12" t="s">
        <v>1733</v>
      </c>
      <c r="B122" s="12" t="s">
        <v>1734</v>
      </c>
      <c r="C122" s="12" t="s">
        <v>1735</v>
      </c>
      <c r="D122" t="s">
        <v>5313</v>
      </c>
      <c r="E122" s="12" t="s">
        <v>3178</v>
      </c>
      <c r="F122" s="12" t="s">
        <v>349</v>
      </c>
      <c r="G122" s="12" t="s">
        <v>5327</v>
      </c>
      <c r="H122" s="12" t="s">
        <v>1734</v>
      </c>
      <c r="I122" s="84">
        <v>26510152</v>
      </c>
      <c r="J122" s="12" t="s">
        <v>5102</v>
      </c>
      <c r="L122" s="12" t="str">
        <f>IF(OR(ISBLANK(tblSites[[#This Row],[Implementing Partner]]), tblSites[[#This Row],[Implementing Partner]]="-"), tblSites[[#This Row],[Site Agency]], tblSites[[#This Row],[Implementing Partner]])</f>
        <v>No SMA</v>
      </c>
      <c r="M122" s="12" t="s">
        <v>55</v>
      </c>
      <c r="N122" s="12" t="str">
        <f>tblSites[[#This Row],[FinalImplementingPartner]]</f>
        <v>No SMA</v>
      </c>
    </row>
    <row r="123" spans="1:14" x14ac:dyDescent="0.25">
      <c r="A123" s="12" t="s">
        <v>723</v>
      </c>
      <c r="B123" s="12" t="s">
        <v>724</v>
      </c>
      <c r="C123" s="12" t="s">
        <v>725</v>
      </c>
      <c r="D123" t="s">
        <v>5313</v>
      </c>
      <c r="E123" s="12" t="s">
        <v>3178</v>
      </c>
      <c r="F123" s="12" t="s">
        <v>154</v>
      </c>
      <c r="G123" s="12" t="s">
        <v>5353</v>
      </c>
      <c r="H123" s="12" t="s">
        <v>724</v>
      </c>
      <c r="I123" s="84">
        <v>26501147</v>
      </c>
      <c r="J123" s="12" t="s">
        <v>34</v>
      </c>
      <c r="K123" s="12" t="s">
        <v>359</v>
      </c>
      <c r="L123" s="12" t="str">
        <f>IF(OR(ISBLANK(tblSites[[#This Row],[Implementing Partner]]), tblSites[[#This Row],[Implementing Partner]]="-"), tblSites[[#This Row],[Site Agency]], tblSites[[#This Row],[Implementing Partner]])</f>
        <v>FAFD</v>
      </c>
      <c r="M123" s="12" t="s">
        <v>55</v>
      </c>
      <c r="N123" s="12" t="str">
        <f>tblSites[[#This Row],[FinalImplementingPartner]]</f>
        <v>FAFD</v>
      </c>
    </row>
    <row r="124" spans="1:14" x14ac:dyDescent="0.25">
      <c r="A124" s="12" t="s">
        <v>2346</v>
      </c>
      <c r="B124" s="12" t="s">
        <v>2347</v>
      </c>
      <c r="C124" s="12" t="s">
        <v>2348</v>
      </c>
      <c r="D124" t="s">
        <v>5313</v>
      </c>
      <c r="E124" s="12" t="s">
        <v>3178</v>
      </c>
      <c r="F124" s="12" t="s">
        <v>154</v>
      </c>
      <c r="G124" s="12" t="s">
        <v>5336</v>
      </c>
      <c r="H124" s="12" t="s">
        <v>2347</v>
      </c>
      <c r="I124" s="84">
        <v>26501147</v>
      </c>
      <c r="J124" s="12" t="s">
        <v>5102</v>
      </c>
      <c r="L124" s="12" t="str">
        <f>IF(OR(ISBLANK(tblSites[[#This Row],[Implementing Partner]]), tblSites[[#This Row],[Implementing Partner]]="-"), tblSites[[#This Row],[Site Agency]], tblSites[[#This Row],[Implementing Partner]])</f>
        <v>No SMA</v>
      </c>
      <c r="M124" s="12" t="s">
        <v>55</v>
      </c>
      <c r="N124" s="12" t="str">
        <f>tblSites[[#This Row],[FinalImplementingPartner]]</f>
        <v>No SMA</v>
      </c>
    </row>
    <row r="125" spans="1:14" x14ac:dyDescent="0.25">
      <c r="A125" s="12" t="s">
        <v>2399</v>
      </c>
      <c r="B125" s="12" t="s">
        <v>2400</v>
      </c>
      <c r="C125" s="12" t="s">
        <v>2401</v>
      </c>
      <c r="D125" t="s">
        <v>5313</v>
      </c>
      <c r="E125" s="12" t="s">
        <v>3178</v>
      </c>
      <c r="F125" s="12" t="s">
        <v>154</v>
      </c>
      <c r="G125" s="12" t="s">
        <v>5336</v>
      </c>
      <c r="H125" s="12" t="s">
        <v>2400</v>
      </c>
      <c r="I125" s="84">
        <v>26501147</v>
      </c>
      <c r="J125" s="12" t="s">
        <v>5102</v>
      </c>
      <c r="L125" s="12" t="str">
        <f>IF(OR(ISBLANK(tblSites[[#This Row],[Implementing Partner]]), tblSites[[#This Row],[Implementing Partner]]="-"), tblSites[[#This Row],[Site Agency]], tblSites[[#This Row],[Implementing Partner]])</f>
        <v>No SMA</v>
      </c>
      <c r="M125" s="12" t="s">
        <v>55</v>
      </c>
      <c r="N125" s="12" t="str">
        <f>tblSites[[#This Row],[FinalImplementingPartner]]</f>
        <v>No SMA</v>
      </c>
    </row>
    <row r="126" spans="1:14" x14ac:dyDescent="0.25">
      <c r="A126" s="12" t="s">
        <v>2396</v>
      </c>
      <c r="B126" s="12" t="s">
        <v>2397</v>
      </c>
      <c r="C126" s="12" t="s">
        <v>331</v>
      </c>
      <c r="D126" t="s">
        <v>5313</v>
      </c>
      <c r="E126" s="12" t="s">
        <v>3178</v>
      </c>
      <c r="F126" s="12" t="s">
        <v>154</v>
      </c>
      <c r="G126" s="12" t="s">
        <v>5336</v>
      </c>
      <c r="H126" s="12" t="s">
        <v>2397</v>
      </c>
      <c r="I126" s="84">
        <v>26501147</v>
      </c>
      <c r="J126" s="12" t="s">
        <v>5102</v>
      </c>
      <c r="L126" s="12" t="str">
        <f>IF(OR(ISBLANK(tblSites[[#This Row],[Implementing Partner]]), tblSites[[#This Row],[Implementing Partner]]="-"), tblSites[[#This Row],[Site Agency]], tblSites[[#This Row],[Implementing Partner]])</f>
        <v>No SMA</v>
      </c>
      <c r="M126" s="12" t="s">
        <v>55</v>
      </c>
      <c r="N126" s="12" t="str">
        <f>tblSites[[#This Row],[FinalImplementingPartner]]</f>
        <v>No SMA</v>
      </c>
    </row>
    <row r="127" spans="1:14" x14ac:dyDescent="0.25">
      <c r="A127" s="12" t="s">
        <v>2374</v>
      </c>
      <c r="B127" s="12" t="s">
        <v>432</v>
      </c>
      <c r="C127" s="12" t="s">
        <v>433</v>
      </c>
      <c r="D127" t="s">
        <v>5313</v>
      </c>
      <c r="E127" s="12" t="s">
        <v>3178</v>
      </c>
      <c r="F127" s="12" t="s">
        <v>154</v>
      </c>
      <c r="G127" s="12" t="s">
        <v>5336</v>
      </c>
      <c r="H127" s="12" t="s">
        <v>432</v>
      </c>
      <c r="I127" s="84">
        <v>26501147</v>
      </c>
      <c r="J127" s="12" t="s">
        <v>5102</v>
      </c>
      <c r="L127" s="12" t="str">
        <f>IF(OR(ISBLANK(tblSites[[#This Row],[Implementing Partner]]), tblSites[[#This Row],[Implementing Partner]]="-"), tblSites[[#This Row],[Site Agency]], tblSites[[#This Row],[Implementing Partner]])</f>
        <v>No SMA</v>
      </c>
      <c r="M127" s="12" t="s">
        <v>55</v>
      </c>
      <c r="N127" s="12" t="str">
        <f>tblSites[[#This Row],[FinalImplementingPartner]]</f>
        <v>No SMA</v>
      </c>
    </row>
    <row r="128" spans="1:14" x14ac:dyDescent="0.25">
      <c r="A128" s="12" t="s">
        <v>2619</v>
      </c>
      <c r="B128" s="12" t="s">
        <v>2620</v>
      </c>
      <c r="C128" s="12" t="s">
        <v>2572</v>
      </c>
      <c r="D128" t="s">
        <v>5313</v>
      </c>
      <c r="E128" s="12" t="s">
        <v>3178</v>
      </c>
      <c r="F128" s="12" t="s">
        <v>154</v>
      </c>
      <c r="G128" s="12" t="s">
        <v>5336</v>
      </c>
      <c r="H128" s="12" t="s">
        <v>2620</v>
      </c>
      <c r="I128" s="84">
        <v>26501147</v>
      </c>
      <c r="J128" s="12" t="s">
        <v>5102</v>
      </c>
      <c r="L128" s="12" t="str">
        <f>IF(OR(ISBLANK(tblSites[[#This Row],[Implementing Partner]]), tblSites[[#This Row],[Implementing Partner]]="-"), tblSites[[#This Row],[Site Agency]], tblSites[[#This Row],[Implementing Partner]])</f>
        <v>No SMA</v>
      </c>
      <c r="M128" s="12" t="s">
        <v>55</v>
      </c>
      <c r="N128" s="12" t="str">
        <f>tblSites[[#This Row],[FinalImplementingPartner]]</f>
        <v>No SMA</v>
      </c>
    </row>
    <row r="129" spans="1:14" x14ac:dyDescent="0.25">
      <c r="A129" s="12" t="s">
        <v>2338</v>
      </c>
      <c r="B129" s="12" t="s">
        <v>2339</v>
      </c>
      <c r="C129" s="12" t="s">
        <v>430</v>
      </c>
      <c r="D129" t="s">
        <v>5313</v>
      </c>
      <c r="E129" s="12" t="s">
        <v>3178</v>
      </c>
      <c r="F129" s="12" t="s">
        <v>154</v>
      </c>
      <c r="G129" s="12" t="s">
        <v>5336</v>
      </c>
      <c r="H129" s="12" t="s">
        <v>2339</v>
      </c>
      <c r="I129" s="84">
        <v>26501147</v>
      </c>
      <c r="J129" s="12" t="s">
        <v>5102</v>
      </c>
      <c r="L129" s="12" t="str">
        <f>IF(OR(ISBLANK(tblSites[[#This Row],[Implementing Partner]]), tblSites[[#This Row],[Implementing Partner]]="-"), tblSites[[#This Row],[Site Agency]], tblSites[[#This Row],[Implementing Partner]])</f>
        <v>No SMA</v>
      </c>
      <c r="M129" s="12" t="s">
        <v>55</v>
      </c>
      <c r="N129" s="12" t="str">
        <f>tblSites[[#This Row],[FinalImplementingPartner]]</f>
        <v>No SMA</v>
      </c>
    </row>
    <row r="130" spans="1:14" x14ac:dyDescent="0.25">
      <c r="A130" s="12" t="s">
        <v>1848</v>
      </c>
      <c r="B130" s="12" t="s">
        <v>1849</v>
      </c>
      <c r="C130" s="12" t="s">
        <v>1850</v>
      </c>
      <c r="D130" t="s">
        <v>5313</v>
      </c>
      <c r="E130" s="12" t="s">
        <v>3178</v>
      </c>
      <c r="F130" s="12" t="s">
        <v>1698</v>
      </c>
      <c r="G130" s="12" t="s">
        <v>5349</v>
      </c>
      <c r="H130" s="12" t="s">
        <v>1849</v>
      </c>
      <c r="I130" s="84">
        <v>2650580</v>
      </c>
      <c r="J130" s="12" t="s">
        <v>5102</v>
      </c>
      <c r="L130" s="12" t="str">
        <f>IF(OR(ISBLANK(tblSites[[#This Row],[Implementing Partner]]), tblSites[[#This Row],[Implementing Partner]]="-"), tblSites[[#This Row],[Site Agency]], tblSites[[#This Row],[Implementing Partner]])</f>
        <v>No SMA</v>
      </c>
      <c r="M130" s="12" t="s">
        <v>55</v>
      </c>
      <c r="N130" s="12" t="str">
        <f>tblSites[[#This Row],[FinalImplementingPartner]]</f>
        <v>No SMA</v>
      </c>
    </row>
    <row r="131" spans="1:14" x14ac:dyDescent="0.25">
      <c r="A131" s="12" t="s">
        <v>2621</v>
      </c>
      <c r="B131" s="12" t="s">
        <v>2622</v>
      </c>
      <c r="C131" s="12" t="s">
        <v>2623</v>
      </c>
      <c r="D131" t="s">
        <v>5313</v>
      </c>
      <c r="E131" s="12" t="s">
        <v>3178</v>
      </c>
      <c r="F131" s="12" t="s">
        <v>504</v>
      </c>
      <c r="G131" s="12" t="s">
        <v>5354</v>
      </c>
      <c r="H131" s="12" t="s">
        <v>2622</v>
      </c>
      <c r="I131" s="84">
        <v>2650576</v>
      </c>
      <c r="J131" s="12" t="s">
        <v>5102</v>
      </c>
      <c r="L131" s="12" t="str">
        <f>IF(OR(ISBLANK(tblSites[[#This Row],[Implementing Partner]]), tblSites[[#This Row],[Implementing Partner]]="-"), tblSites[[#This Row],[Site Agency]], tblSites[[#This Row],[Implementing Partner]])</f>
        <v>No SMA</v>
      </c>
      <c r="M131" s="12" t="s">
        <v>55</v>
      </c>
      <c r="N131" s="12" t="str">
        <f>tblSites[[#This Row],[FinalImplementingPartner]]</f>
        <v>No SMA</v>
      </c>
    </row>
    <row r="132" spans="1:14" x14ac:dyDescent="0.25">
      <c r="A132" s="12" t="s">
        <v>2624</v>
      </c>
      <c r="B132" s="12" t="s">
        <v>2625</v>
      </c>
      <c r="C132" s="12" t="s">
        <v>2626</v>
      </c>
      <c r="D132" t="s">
        <v>5313</v>
      </c>
      <c r="E132" s="12" t="s">
        <v>3178</v>
      </c>
      <c r="F132" s="12" t="s">
        <v>1983</v>
      </c>
      <c r="G132" s="12" t="s">
        <v>5340</v>
      </c>
      <c r="H132" s="12" t="s">
        <v>2625</v>
      </c>
      <c r="I132" s="84">
        <v>2650582</v>
      </c>
      <c r="J132" s="12" t="s">
        <v>5102</v>
      </c>
      <c r="L132" s="12" t="str">
        <f>IF(OR(ISBLANK(tblSites[[#This Row],[Implementing Partner]]), tblSites[[#This Row],[Implementing Partner]]="-"), tblSites[[#This Row],[Site Agency]], tblSites[[#This Row],[Implementing Partner]])</f>
        <v>No SMA</v>
      </c>
      <c r="M132" s="12" t="s">
        <v>55</v>
      </c>
      <c r="N132" s="12" t="str">
        <f>tblSites[[#This Row],[FinalImplementingPartner]]</f>
        <v>No SMA</v>
      </c>
    </row>
    <row r="133" spans="1:14" x14ac:dyDescent="0.25">
      <c r="A133" s="12" t="s">
        <v>2627</v>
      </c>
      <c r="B133" s="12" t="s">
        <v>2628</v>
      </c>
      <c r="C133" s="12" t="s">
        <v>2629</v>
      </c>
      <c r="D133" t="s">
        <v>5313</v>
      </c>
      <c r="E133" s="12" t="s">
        <v>3178</v>
      </c>
      <c r="F133" s="12" t="s">
        <v>1983</v>
      </c>
      <c r="G133" s="12" t="s">
        <v>5340</v>
      </c>
      <c r="H133" s="12" t="s">
        <v>2628</v>
      </c>
      <c r="I133" s="84">
        <v>2650582</v>
      </c>
      <c r="J133" s="12" t="s">
        <v>5102</v>
      </c>
      <c r="L133" s="12" t="str">
        <f>IF(OR(ISBLANK(tblSites[[#This Row],[Implementing Partner]]), tblSites[[#This Row],[Implementing Partner]]="-"), tblSites[[#This Row],[Site Agency]], tblSites[[#This Row],[Implementing Partner]])</f>
        <v>No SMA</v>
      </c>
      <c r="M133" s="12" t="s">
        <v>55</v>
      </c>
      <c r="N133" s="12" t="str">
        <f>tblSites[[#This Row],[FinalImplementingPartner]]</f>
        <v>No SMA</v>
      </c>
    </row>
    <row r="134" spans="1:14" x14ac:dyDescent="0.25">
      <c r="A134" s="12" t="s">
        <v>2630</v>
      </c>
      <c r="B134" s="12" t="s">
        <v>5268</v>
      </c>
      <c r="C134" s="12" t="s">
        <v>5273</v>
      </c>
      <c r="D134" t="s">
        <v>5313</v>
      </c>
      <c r="E134" s="12" t="s">
        <v>3178</v>
      </c>
      <c r="F134" s="12" t="s">
        <v>97</v>
      </c>
      <c r="G134" s="12" t="s">
        <v>5343</v>
      </c>
      <c r="H134" s="12" t="s">
        <v>5268</v>
      </c>
      <c r="I134" s="84">
        <v>2650595</v>
      </c>
      <c r="J134" s="12" t="s">
        <v>5102</v>
      </c>
      <c r="L134" s="12" t="str">
        <f>IF(OR(ISBLANK(tblSites[[#This Row],[Implementing Partner]]), tblSites[[#This Row],[Implementing Partner]]="-"), tblSites[[#This Row],[Site Agency]], tblSites[[#This Row],[Implementing Partner]])</f>
        <v>No SMA</v>
      </c>
      <c r="M134" s="12" t="s">
        <v>55</v>
      </c>
      <c r="N134" s="12" t="str">
        <f>tblSites[[#This Row],[FinalImplementingPartner]]</f>
        <v>No SMA</v>
      </c>
    </row>
    <row r="135" spans="1:14" x14ac:dyDescent="0.25">
      <c r="A135" s="12" t="s">
        <v>2631</v>
      </c>
      <c r="B135" s="12" t="s">
        <v>2632</v>
      </c>
      <c r="C135" s="12" t="s">
        <v>1539</v>
      </c>
      <c r="D135" t="s">
        <v>5313</v>
      </c>
      <c r="E135" s="12" t="s">
        <v>3178</v>
      </c>
      <c r="F135" s="12" t="s">
        <v>510</v>
      </c>
      <c r="G135" s="12" t="s">
        <v>5346</v>
      </c>
      <c r="H135" s="12" t="s">
        <v>2632</v>
      </c>
      <c r="I135" s="84">
        <v>2650578</v>
      </c>
      <c r="J135" s="12" t="s">
        <v>5102</v>
      </c>
      <c r="L135" s="12" t="str">
        <f>IF(OR(ISBLANK(tblSites[[#This Row],[Implementing Partner]]), tblSites[[#This Row],[Implementing Partner]]="-"), tblSites[[#This Row],[Site Agency]], tblSites[[#This Row],[Implementing Partner]])</f>
        <v>No SMA</v>
      </c>
      <c r="M135" s="12" t="s">
        <v>55</v>
      </c>
      <c r="N135" s="12" t="str">
        <f>tblSites[[#This Row],[FinalImplementingPartner]]</f>
        <v>No SMA</v>
      </c>
    </row>
    <row r="136" spans="1:14" x14ac:dyDescent="0.25">
      <c r="A136" s="12" t="s">
        <v>2633</v>
      </c>
      <c r="B136" s="12" t="s">
        <v>2634</v>
      </c>
      <c r="D136" t="s">
        <v>5313</v>
      </c>
      <c r="E136" s="12" t="s">
        <v>3178</v>
      </c>
      <c r="F136" s="12" t="s">
        <v>97</v>
      </c>
      <c r="G136" s="12" t="s">
        <v>5343</v>
      </c>
      <c r="H136" s="12" t="s">
        <v>2634</v>
      </c>
      <c r="I136" s="84">
        <v>2650595</v>
      </c>
      <c r="J136" s="12" t="s">
        <v>5102</v>
      </c>
      <c r="L136" s="12" t="str">
        <f>IF(OR(ISBLANK(tblSites[[#This Row],[Implementing Partner]]), tblSites[[#This Row],[Implementing Partner]]="-"), tblSites[[#This Row],[Site Agency]], tblSites[[#This Row],[Implementing Partner]])</f>
        <v>No SMA</v>
      </c>
      <c r="M136" s="12" t="s">
        <v>55</v>
      </c>
      <c r="N136" s="12" t="str">
        <f>tblSites[[#This Row],[FinalImplementingPartner]]</f>
        <v>No SMA</v>
      </c>
    </row>
    <row r="137" spans="1:14" x14ac:dyDescent="0.25">
      <c r="A137" s="12" t="s">
        <v>1170</v>
      </c>
      <c r="B137" s="12" t="s">
        <v>1171</v>
      </c>
      <c r="C137" s="12" t="s">
        <v>1172</v>
      </c>
      <c r="D137" t="s">
        <v>5313</v>
      </c>
      <c r="E137" s="12" t="s">
        <v>3178</v>
      </c>
      <c r="F137" s="12" t="s">
        <v>104</v>
      </c>
      <c r="G137" s="12" t="s">
        <v>5339</v>
      </c>
      <c r="H137" s="12" t="s">
        <v>1171</v>
      </c>
      <c r="I137" s="84">
        <v>2651091</v>
      </c>
      <c r="J137" s="12" t="s">
        <v>5102</v>
      </c>
      <c r="L137" s="12" t="str">
        <f>IF(OR(ISBLANK(tblSites[[#This Row],[Implementing Partner]]), tblSites[[#This Row],[Implementing Partner]]="-"), tblSites[[#This Row],[Site Agency]], tblSites[[#This Row],[Implementing Partner]])</f>
        <v>No SMA</v>
      </c>
      <c r="M137" s="12" t="s">
        <v>55</v>
      </c>
      <c r="N137" s="12" t="str">
        <f>tblSites[[#This Row],[FinalImplementingPartner]]</f>
        <v>No SMA</v>
      </c>
    </row>
    <row r="138" spans="1:14" x14ac:dyDescent="0.25">
      <c r="A138" s="12" t="s">
        <v>1929</v>
      </c>
      <c r="B138" s="12" t="s">
        <v>1930</v>
      </c>
      <c r="C138" s="12" t="s">
        <v>1931</v>
      </c>
      <c r="D138" t="s">
        <v>5313</v>
      </c>
      <c r="E138" s="12" t="s">
        <v>3178</v>
      </c>
      <c r="F138" s="12" t="s">
        <v>1273</v>
      </c>
      <c r="G138" s="12" t="s">
        <v>5355</v>
      </c>
      <c r="H138" s="12" t="s">
        <v>1930</v>
      </c>
      <c r="I138" s="84">
        <v>26509185</v>
      </c>
      <c r="J138" s="12" t="s">
        <v>5102</v>
      </c>
      <c r="L138" s="12" t="str">
        <f>IF(OR(ISBLANK(tblSites[[#This Row],[Implementing Partner]]), tblSites[[#This Row],[Implementing Partner]]="-"), tblSites[[#This Row],[Site Agency]], tblSites[[#This Row],[Implementing Partner]])</f>
        <v>No SMA</v>
      </c>
      <c r="M138" s="12" t="s">
        <v>55</v>
      </c>
      <c r="N138" s="12" t="str">
        <f>tblSites[[#This Row],[FinalImplementingPartner]]</f>
        <v>No SMA</v>
      </c>
    </row>
    <row r="139" spans="1:14" x14ac:dyDescent="0.25">
      <c r="A139" s="12" t="s">
        <v>1722</v>
      </c>
      <c r="B139" s="12" t="s">
        <v>1723</v>
      </c>
      <c r="D139" t="s">
        <v>5313</v>
      </c>
      <c r="E139" s="12" t="s">
        <v>3178</v>
      </c>
      <c r="F139" s="12" t="s">
        <v>1724</v>
      </c>
      <c r="G139" s="12" t="s">
        <v>5334</v>
      </c>
      <c r="H139" s="12" t="s">
        <v>1723</v>
      </c>
      <c r="I139" s="84">
        <v>26510151</v>
      </c>
      <c r="J139" s="12" t="s">
        <v>5102</v>
      </c>
      <c r="L139" s="12" t="str">
        <f>IF(OR(ISBLANK(tblSites[[#This Row],[Implementing Partner]]), tblSites[[#This Row],[Implementing Partner]]="-"), tblSites[[#This Row],[Site Agency]], tblSites[[#This Row],[Implementing Partner]])</f>
        <v>No SMA</v>
      </c>
      <c r="M139" s="12" t="s">
        <v>55</v>
      </c>
      <c r="N139" s="12" t="str">
        <f>tblSites[[#This Row],[FinalImplementingPartner]]</f>
        <v>No SMA</v>
      </c>
    </row>
    <row r="140" spans="1:14" x14ac:dyDescent="0.25">
      <c r="A140" s="12" t="s">
        <v>2526</v>
      </c>
      <c r="B140" s="12" t="s">
        <v>2527</v>
      </c>
      <c r="C140" s="12" t="s">
        <v>2528</v>
      </c>
      <c r="D140" t="s">
        <v>5313</v>
      </c>
      <c r="E140" s="12" t="s">
        <v>3178</v>
      </c>
      <c r="F140" s="12" t="s">
        <v>1724</v>
      </c>
      <c r="G140" s="12" t="s">
        <v>5334</v>
      </c>
      <c r="H140" s="12" t="s">
        <v>2527</v>
      </c>
      <c r="I140" s="84">
        <v>26510151</v>
      </c>
      <c r="J140" s="12" t="s">
        <v>5102</v>
      </c>
      <c r="L140" s="12" t="str">
        <f>IF(OR(ISBLANK(tblSites[[#This Row],[Implementing Partner]]), tblSites[[#This Row],[Implementing Partner]]="-"), tblSites[[#This Row],[Site Agency]], tblSites[[#This Row],[Implementing Partner]])</f>
        <v>No SMA</v>
      </c>
      <c r="M140" s="12" t="s">
        <v>55</v>
      </c>
      <c r="N140" s="12" t="str">
        <f>tblSites[[#This Row],[FinalImplementingPartner]]</f>
        <v>No SMA</v>
      </c>
    </row>
    <row r="141" spans="1:14" x14ac:dyDescent="0.25">
      <c r="A141" s="12" t="s">
        <v>2514</v>
      </c>
      <c r="B141" s="12" t="s">
        <v>2515</v>
      </c>
      <c r="C141" s="12" t="s">
        <v>2516</v>
      </c>
      <c r="D141" t="s">
        <v>5313</v>
      </c>
      <c r="E141" s="12" t="s">
        <v>3178</v>
      </c>
      <c r="F141" s="12" t="s">
        <v>1724</v>
      </c>
      <c r="G141" s="12" t="s">
        <v>5334</v>
      </c>
      <c r="H141" s="12" t="s">
        <v>2515</v>
      </c>
      <c r="I141" s="84">
        <v>26510151</v>
      </c>
      <c r="J141" s="12" t="s">
        <v>5102</v>
      </c>
      <c r="L141" s="12" t="str">
        <f>IF(OR(ISBLANK(tblSites[[#This Row],[Implementing Partner]]), tblSites[[#This Row],[Implementing Partner]]="-"), tblSites[[#This Row],[Site Agency]], tblSites[[#This Row],[Implementing Partner]])</f>
        <v>No SMA</v>
      </c>
      <c r="M141" s="12" t="s">
        <v>55</v>
      </c>
      <c r="N141" s="12" t="str">
        <f>tblSites[[#This Row],[FinalImplementingPartner]]</f>
        <v>No SMA</v>
      </c>
    </row>
    <row r="142" spans="1:14" x14ac:dyDescent="0.25">
      <c r="A142" s="12" t="s">
        <v>720</v>
      </c>
      <c r="B142" s="12" t="s">
        <v>721</v>
      </c>
      <c r="C142" s="12" t="s">
        <v>722</v>
      </c>
      <c r="D142" t="s">
        <v>5313</v>
      </c>
      <c r="E142" s="12" t="s">
        <v>3178</v>
      </c>
      <c r="F142" s="12" t="s">
        <v>349</v>
      </c>
      <c r="G142" s="12" t="s">
        <v>5350</v>
      </c>
      <c r="H142" s="12" t="s">
        <v>721</v>
      </c>
      <c r="I142" s="84">
        <v>26510152</v>
      </c>
      <c r="J142" s="12" t="s">
        <v>5</v>
      </c>
      <c r="K142" s="12" t="s">
        <v>119</v>
      </c>
      <c r="L142" s="12" t="str">
        <f>IF(OR(ISBLANK(tblSites[[#This Row],[Implementing Partner]]), tblSites[[#This Row],[Implementing Partner]]="-"), tblSites[[#This Row],[Site Agency]], tblSites[[#This Row],[Implementing Partner]])</f>
        <v>BLDA</v>
      </c>
      <c r="M142" s="12" t="s">
        <v>55</v>
      </c>
      <c r="N142" s="12" t="str">
        <f>tblSites[[#This Row],[FinalImplementingPartner]]</f>
        <v>BLDA</v>
      </c>
    </row>
    <row r="143" spans="1:14" x14ac:dyDescent="0.25">
      <c r="A143" s="12" t="s">
        <v>1516</v>
      </c>
      <c r="B143" s="12" t="s">
        <v>1517</v>
      </c>
      <c r="C143" s="12" t="s">
        <v>1518</v>
      </c>
      <c r="D143" t="s">
        <v>5313</v>
      </c>
      <c r="E143" s="12" t="s">
        <v>3178</v>
      </c>
      <c r="F143" s="12" t="s">
        <v>349</v>
      </c>
      <c r="G143" s="12" t="s">
        <v>5327</v>
      </c>
      <c r="H143" s="12" t="s">
        <v>1517</v>
      </c>
      <c r="I143" s="84">
        <v>26510152</v>
      </c>
      <c r="J143" s="12" t="s">
        <v>5102</v>
      </c>
      <c r="L143" s="12" t="str">
        <f>IF(OR(ISBLANK(tblSites[[#This Row],[Implementing Partner]]), tblSites[[#This Row],[Implementing Partner]]="-"), tblSites[[#This Row],[Site Agency]], tblSites[[#This Row],[Implementing Partner]])</f>
        <v>No SMA</v>
      </c>
      <c r="M143" s="12" t="s">
        <v>55</v>
      </c>
      <c r="N143" s="12" t="str">
        <f>tblSites[[#This Row],[FinalImplementingPartner]]</f>
        <v>No SMA</v>
      </c>
    </row>
    <row r="144" spans="1:14" x14ac:dyDescent="0.25">
      <c r="A144" s="12" t="s">
        <v>1716</v>
      </c>
      <c r="B144" s="12" t="s">
        <v>1717</v>
      </c>
      <c r="C144" s="12" t="s">
        <v>1718</v>
      </c>
      <c r="D144" t="s">
        <v>5313</v>
      </c>
      <c r="E144" s="12" t="s">
        <v>3178</v>
      </c>
      <c r="F144" s="12" t="s">
        <v>349</v>
      </c>
      <c r="G144" s="12" t="s">
        <v>5327</v>
      </c>
      <c r="H144" s="12" t="s">
        <v>1717</v>
      </c>
      <c r="I144" s="84">
        <v>26510152</v>
      </c>
      <c r="J144" s="12" t="s">
        <v>5102</v>
      </c>
      <c r="L144" s="12" t="str">
        <f>IF(OR(ISBLANK(tblSites[[#This Row],[Implementing Partner]]), tblSites[[#This Row],[Implementing Partner]]="-"), tblSites[[#This Row],[Site Agency]], tblSites[[#This Row],[Implementing Partner]])</f>
        <v>No SMA</v>
      </c>
      <c r="M144" s="12" t="s">
        <v>55</v>
      </c>
      <c r="N144" s="12" t="str">
        <f>tblSites[[#This Row],[FinalImplementingPartner]]</f>
        <v>No SMA</v>
      </c>
    </row>
    <row r="145" spans="1:14" x14ac:dyDescent="0.25">
      <c r="A145" s="12" t="s">
        <v>2548</v>
      </c>
      <c r="B145" s="12" t="s">
        <v>2549</v>
      </c>
      <c r="C145" s="12" t="s">
        <v>2550</v>
      </c>
      <c r="D145" t="s">
        <v>5313</v>
      </c>
      <c r="E145" s="12" t="s">
        <v>3178</v>
      </c>
      <c r="F145" s="12" t="s">
        <v>349</v>
      </c>
      <c r="G145" s="12" t="s">
        <v>5327</v>
      </c>
      <c r="H145" s="12" t="s">
        <v>2549</v>
      </c>
      <c r="I145" s="84">
        <v>26510152</v>
      </c>
      <c r="J145" s="12" t="s">
        <v>5102</v>
      </c>
      <c r="L145" s="12" t="str">
        <f>IF(OR(ISBLANK(tblSites[[#This Row],[Implementing Partner]]), tblSites[[#This Row],[Implementing Partner]]="-"), tblSites[[#This Row],[Site Agency]], tblSites[[#This Row],[Implementing Partner]])</f>
        <v>No SMA</v>
      </c>
      <c r="M145" s="12" t="s">
        <v>55</v>
      </c>
      <c r="N145" s="12" t="str">
        <f>tblSites[[#This Row],[FinalImplementingPartner]]</f>
        <v>No SMA</v>
      </c>
    </row>
    <row r="146" spans="1:14" x14ac:dyDescent="0.25">
      <c r="A146" s="12" t="s">
        <v>1770</v>
      </c>
      <c r="B146" s="12" t="s">
        <v>1771</v>
      </c>
      <c r="C146" s="12" t="s">
        <v>1772</v>
      </c>
      <c r="D146" t="s">
        <v>5313</v>
      </c>
      <c r="E146" s="12" t="s">
        <v>3178</v>
      </c>
      <c r="F146" s="12" t="s">
        <v>349</v>
      </c>
      <c r="G146" s="12" t="s">
        <v>5356</v>
      </c>
      <c r="H146" s="12" t="s">
        <v>1771</v>
      </c>
      <c r="I146" s="84">
        <v>26510152</v>
      </c>
      <c r="L146" s="12">
        <f>IF(OR(ISBLANK(tblSites[[#This Row],[Implementing Partner]]), tblSites[[#This Row],[Implementing Partner]]="-"), tblSites[[#This Row],[Site Agency]], tblSites[[#This Row],[Implementing Partner]])</f>
        <v>0</v>
      </c>
      <c r="M146" s="12" t="s">
        <v>55</v>
      </c>
      <c r="N146" s="12">
        <f>tblSites[[#This Row],[FinalImplementingPartner]]</f>
        <v>0</v>
      </c>
    </row>
    <row r="147" spans="1:14" x14ac:dyDescent="0.25">
      <c r="A147" s="12" t="s">
        <v>1683</v>
      </c>
      <c r="B147" s="12" t="s">
        <v>1684</v>
      </c>
      <c r="C147" s="12" t="s">
        <v>1685</v>
      </c>
      <c r="D147" t="s">
        <v>5313</v>
      </c>
      <c r="E147" s="12" t="s">
        <v>3178</v>
      </c>
      <c r="F147" s="12" t="s">
        <v>349</v>
      </c>
      <c r="G147" s="12" t="s">
        <v>5327</v>
      </c>
      <c r="H147" s="12" t="s">
        <v>1684</v>
      </c>
      <c r="I147" s="84">
        <v>26510152</v>
      </c>
      <c r="J147" s="12" t="s">
        <v>5102</v>
      </c>
      <c r="L147" s="12" t="str">
        <f>IF(OR(ISBLANK(tblSites[[#This Row],[Implementing Partner]]), tblSites[[#This Row],[Implementing Partner]]="-"), tblSites[[#This Row],[Site Agency]], tblSites[[#This Row],[Implementing Partner]])</f>
        <v>No SMA</v>
      </c>
      <c r="M147" s="12" t="s">
        <v>55</v>
      </c>
      <c r="N147" s="12" t="str">
        <f>tblSites[[#This Row],[FinalImplementingPartner]]</f>
        <v>No SMA</v>
      </c>
    </row>
    <row r="148" spans="1:14" x14ac:dyDescent="0.25">
      <c r="A148" s="12" t="s">
        <v>597</v>
      </c>
      <c r="B148" s="12" t="s">
        <v>598</v>
      </c>
      <c r="C148" s="12" t="s">
        <v>599</v>
      </c>
      <c r="D148" t="s">
        <v>5313</v>
      </c>
      <c r="E148" s="12" t="s">
        <v>3178</v>
      </c>
      <c r="F148" s="12" t="s">
        <v>349</v>
      </c>
      <c r="G148" s="12" t="s">
        <v>5357</v>
      </c>
      <c r="H148" s="12" t="s">
        <v>598</v>
      </c>
      <c r="I148" s="84">
        <v>26510152</v>
      </c>
      <c r="J148" s="12" t="s">
        <v>35</v>
      </c>
      <c r="L148" s="12" t="str">
        <f>IF(OR(ISBLANK(tblSites[[#This Row],[Implementing Partner]]), tblSites[[#This Row],[Implementing Partner]]="-"), tblSites[[#This Row],[Site Agency]], tblSites[[#This Row],[Implementing Partner]])</f>
        <v>NRC</v>
      </c>
      <c r="M148" s="12" t="s">
        <v>55</v>
      </c>
      <c r="N148" s="12" t="str">
        <f>tblSites[[#This Row],[FinalImplementingPartner]]</f>
        <v>NRC</v>
      </c>
    </row>
    <row r="149" spans="1:14" x14ac:dyDescent="0.25">
      <c r="A149" s="12" t="s">
        <v>1519</v>
      </c>
      <c r="B149" s="12" t="s">
        <v>1520</v>
      </c>
      <c r="C149" s="12" t="s">
        <v>1521</v>
      </c>
      <c r="D149" t="s">
        <v>5313</v>
      </c>
      <c r="E149" s="12" t="s">
        <v>3178</v>
      </c>
      <c r="F149" s="12" t="s">
        <v>349</v>
      </c>
      <c r="G149" s="12" t="s">
        <v>5358</v>
      </c>
      <c r="H149" s="12" t="s">
        <v>1520</v>
      </c>
      <c r="I149" s="84">
        <v>26510152</v>
      </c>
      <c r="J149" s="12" t="s">
        <v>662</v>
      </c>
      <c r="L149" s="12" t="str">
        <f>IF(OR(ISBLANK(tblSites[[#This Row],[Implementing Partner]]), tblSites[[#This Row],[Implementing Partner]]="-"), tblSites[[#This Row],[Site Agency]], tblSites[[#This Row],[Implementing Partner]])</f>
        <v>PARC</v>
      </c>
      <c r="M149" s="12" t="s">
        <v>55</v>
      </c>
      <c r="N149" s="12" t="str">
        <f>tblSites[[#This Row],[FinalImplementingPartner]]</f>
        <v>PARC</v>
      </c>
    </row>
    <row r="150" spans="1:14" x14ac:dyDescent="0.25">
      <c r="A150" s="12" t="s">
        <v>1537</v>
      </c>
      <c r="B150" s="12" t="s">
        <v>1538</v>
      </c>
      <c r="C150" s="12" t="s">
        <v>1539</v>
      </c>
      <c r="D150" t="s">
        <v>5313</v>
      </c>
      <c r="E150" s="12" t="s">
        <v>3178</v>
      </c>
      <c r="F150" s="12" t="s">
        <v>349</v>
      </c>
      <c r="G150" s="12" t="s">
        <v>5358</v>
      </c>
      <c r="H150" s="12" t="s">
        <v>1538</v>
      </c>
      <c r="I150" s="84">
        <v>26510152</v>
      </c>
      <c r="J150" s="12" t="s">
        <v>34</v>
      </c>
      <c r="K150" s="12" t="s">
        <v>662</v>
      </c>
      <c r="L150" s="12" t="str">
        <f>IF(OR(ISBLANK(tblSites[[#This Row],[Implementing Partner]]), tblSites[[#This Row],[Implementing Partner]]="-"), tblSites[[#This Row],[Site Agency]], tblSites[[#This Row],[Implementing Partner]])</f>
        <v>PARC</v>
      </c>
      <c r="M150" s="12" t="s">
        <v>55</v>
      </c>
      <c r="N150" s="12" t="str">
        <f>tblSites[[#This Row],[FinalImplementingPartner]]</f>
        <v>PARC</v>
      </c>
    </row>
    <row r="151" spans="1:14" x14ac:dyDescent="0.25">
      <c r="A151" s="12" t="s">
        <v>1725</v>
      </c>
      <c r="B151" s="12" t="s">
        <v>1726</v>
      </c>
      <c r="C151" s="12" t="s">
        <v>743</v>
      </c>
      <c r="D151" t="s">
        <v>5313</v>
      </c>
      <c r="E151" s="12" t="s">
        <v>3178</v>
      </c>
      <c r="F151" s="12" t="s">
        <v>349</v>
      </c>
      <c r="G151" s="12" t="s">
        <v>5327</v>
      </c>
      <c r="H151" s="12" t="s">
        <v>1726</v>
      </c>
      <c r="I151" s="84">
        <v>26510152</v>
      </c>
      <c r="J151" s="12" t="s">
        <v>5102</v>
      </c>
      <c r="L151" s="12" t="str">
        <f>IF(OR(ISBLANK(tblSites[[#This Row],[Implementing Partner]]), tblSites[[#This Row],[Implementing Partner]]="-"), tblSites[[#This Row],[Site Agency]], tblSites[[#This Row],[Implementing Partner]])</f>
        <v>No SMA</v>
      </c>
      <c r="M151" s="12" t="s">
        <v>55</v>
      </c>
      <c r="N151" s="12" t="str">
        <f>tblSites[[#This Row],[FinalImplementingPartner]]</f>
        <v>No SMA</v>
      </c>
    </row>
    <row r="152" spans="1:14" x14ac:dyDescent="0.25">
      <c r="A152" s="12" t="s">
        <v>1079</v>
      </c>
      <c r="B152" s="12" t="s">
        <v>1080</v>
      </c>
      <c r="C152" s="12" t="s">
        <v>1081</v>
      </c>
      <c r="D152" t="s">
        <v>5313</v>
      </c>
      <c r="E152" s="12" t="s">
        <v>3178</v>
      </c>
      <c r="F152" s="12" t="s">
        <v>349</v>
      </c>
      <c r="G152" s="12" t="s">
        <v>5358</v>
      </c>
      <c r="H152" s="12" t="s">
        <v>1080</v>
      </c>
      <c r="I152" s="84">
        <v>26510152</v>
      </c>
      <c r="J152" s="12" t="s">
        <v>34</v>
      </c>
      <c r="K152" s="12" t="s">
        <v>662</v>
      </c>
      <c r="L152" s="12" t="str">
        <f>IF(OR(ISBLANK(tblSites[[#This Row],[Implementing Partner]]), tblSites[[#This Row],[Implementing Partner]]="-"), tblSites[[#This Row],[Site Agency]], tblSites[[#This Row],[Implementing Partner]])</f>
        <v>PARC</v>
      </c>
      <c r="M152" s="12" t="s">
        <v>55</v>
      </c>
      <c r="N152" s="12" t="str">
        <f>tblSites[[#This Row],[FinalImplementingPartner]]</f>
        <v>PARC</v>
      </c>
    </row>
    <row r="153" spans="1:14" x14ac:dyDescent="0.25">
      <c r="A153" s="12" t="s">
        <v>1699</v>
      </c>
      <c r="B153" s="12" t="s">
        <v>1700</v>
      </c>
      <c r="C153" s="12" t="s">
        <v>1701</v>
      </c>
      <c r="D153" t="s">
        <v>5313</v>
      </c>
      <c r="E153" s="12" t="s">
        <v>3178</v>
      </c>
      <c r="F153" s="12" t="s">
        <v>1702</v>
      </c>
      <c r="G153" s="12" t="s">
        <v>5359</v>
      </c>
      <c r="H153" s="12" t="s">
        <v>1700</v>
      </c>
      <c r="I153" s="84">
        <v>2651041</v>
      </c>
      <c r="J153" s="12" t="s">
        <v>5102</v>
      </c>
      <c r="L153" s="12" t="str">
        <f>IF(OR(ISBLANK(tblSites[[#This Row],[Implementing Partner]]), tblSites[[#This Row],[Implementing Partner]]="-"), tblSites[[#This Row],[Site Agency]], tblSites[[#This Row],[Implementing Partner]])</f>
        <v>No SMA</v>
      </c>
      <c r="M153" s="12" t="s">
        <v>55</v>
      </c>
      <c r="N153" s="12" t="str">
        <f>tblSites[[#This Row],[FinalImplementingPartner]]</f>
        <v>No SMA</v>
      </c>
    </row>
    <row r="154" spans="1:14" x14ac:dyDescent="0.25">
      <c r="A154" s="12" t="s">
        <v>1686</v>
      </c>
      <c r="B154" s="12" t="s">
        <v>1687</v>
      </c>
      <c r="C154" s="12" t="s">
        <v>1688</v>
      </c>
      <c r="D154" t="s">
        <v>5313</v>
      </c>
      <c r="E154" s="12" t="s">
        <v>3178</v>
      </c>
      <c r="F154" s="12" t="s">
        <v>349</v>
      </c>
      <c r="G154" s="12" t="s">
        <v>5327</v>
      </c>
      <c r="H154" s="12" t="s">
        <v>1687</v>
      </c>
      <c r="I154" s="84">
        <v>26510152</v>
      </c>
      <c r="J154" s="12" t="s">
        <v>5102</v>
      </c>
      <c r="L154" s="12" t="str">
        <f>IF(OR(ISBLANK(tblSites[[#This Row],[Implementing Partner]]), tblSites[[#This Row],[Implementing Partner]]="-"), tblSites[[#This Row],[Site Agency]], tblSites[[#This Row],[Implementing Partner]])</f>
        <v>No SMA</v>
      </c>
      <c r="M154" s="12" t="s">
        <v>55</v>
      </c>
      <c r="N154" s="12" t="str">
        <f>tblSites[[#This Row],[FinalImplementingPartner]]</f>
        <v>No SMA</v>
      </c>
    </row>
    <row r="155" spans="1:14" x14ac:dyDescent="0.25">
      <c r="A155" s="12" t="s">
        <v>2635</v>
      </c>
      <c r="B155" s="12" t="s">
        <v>2636</v>
      </c>
      <c r="C155" s="12" t="s">
        <v>2637</v>
      </c>
      <c r="D155" t="s">
        <v>5313</v>
      </c>
      <c r="E155" s="12" t="s">
        <v>3178</v>
      </c>
      <c r="F155" s="12" t="s">
        <v>358</v>
      </c>
      <c r="G155" s="12" t="s">
        <v>5352</v>
      </c>
      <c r="H155" s="12" t="s">
        <v>2636</v>
      </c>
      <c r="I155" s="84">
        <v>2650577</v>
      </c>
      <c r="J155" s="12" t="s">
        <v>5102</v>
      </c>
      <c r="L155" s="12" t="str">
        <f>IF(OR(ISBLANK(tblSites[[#This Row],[Implementing Partner]]), tblSites[[#This Row],[Implementing Partner]]="-"), tblSites[[#This Row],[Site Agency]], tblSites[[#This Row],[Implementing Partner]])</f>
        <v>No SMA</v>
      </c>
      <c r="M155" s="12" t="s">
        <v>55</v>
      </c>
      <c r="N155" s="12" t="str">
        <f>tblSites[[#This Row],[FinalImplementingPartner]]</f>
        <v>No SMA</v>
      </c>
    </row>
    <row r="156" spans="1:14" x14ac:dyDescent="0.25">
      <c r="A156" s="12" t="s">
        <v>1775</v>
      </c>
      <c r="B156" s="12" t="s">
        <v>1776</v>
      </c>
      <c r="C156" s="12" t="s">
        <v>1777</v>
      </c>
      <c r="D156" t="s">
        <v>5313</v>
      </c>
      <c r="E156" s="12" t="s">
        <v>3178</v>
      </c>
      <c r="F156" s="12" t="s">
        <v>349</v>
      </c>
      <c r="G156" s="12" t="s">
        <v>5350</v>
      </c>
      <c r="H156" s="12" t="s">
        <v>1776</v>
      </c>
      <c r="I156" s="84">
        <v>26510152</v>
      </c>
      <c r="J156" s="12" t="s">
        <v>5</v>
      </c>
      <c r="K156" s="12" t="s">
        <v>119</v>
      </c>
      <c r="L156" s="12" t="str">
        <f>IF(OR(ISBLANK(tblSites[[#This Row],[Implementing Partner]]), tblSites[[#This Row],[Implementing Partner]]="-"), tblSites[[#This Row],[Site Agency]], tblSites[[#This Row],[Implementing Partner]])</f>
        <v>BLDA</v>
      </c>
      <c r="M156" s="12" t="s">
        <v>55</v>
      </c>
      <c r="N156" s="12" t="str">
        <f>tblSites[[#This Row],[FinalImplementingPartner]]</f>
        <v>BLDA</v>
      </c>
    </row>
    <row r="157" spans="1:14" x14ac:dyDescent="0.25">
      <c r="A157" s="12" t="s">
        <v>2539</v>
      </c>
      <c r="B157" s="12" t="s">
        <v>1427</v>
      </c>
      <c r="C157" s="12" t="s">
        <v>1053</v>
      </c>
      <c r="D157" t="s">
        <v>5313</v>
      </c>
      <c r="E157" s="12" t="s">
        <v>3178</v>
      </c>
      <c r="F157" s="12" t="s">
        <v>1724</v>
      </c>
      <c r="G157" s="12" t="s">
        <v>5334</v>
      </c>
      <c r="H157" s="12" t="s">
        <v>1427</v>
      </c>
      <c r="I157" s="84">
        <v>26510151</v>
      </c>
      <c r="J157" s="12" t="s">
        <v>5102</v>
      </c>
      <c r="L157" s="12" t="str">
        <f>IF(OR(ISBLANK(tblSites[[#This Row],[Implementing Partner]]), tblSites[[#This Row],[Implementing Partner]]="-"), tblSites[[#This Row],[Site Agency]], tblSites[[#This Row],[Implementing Partner]])</f>
        <v>No SMA</v>
      </c>
      <c r="M157" s="12" t="s">
        <v>55</v>
      </c>
      <c r="N157" s="12" t="str">
        <f>tblSites[[#This Row],[FinalImplementingPartner]]</f>
        <v>No SMA</v>
      </c>
    </row>
    <row r="158" spans="1:14" x14ac:dyDescent="0.25">
      <c r="A158" s="12" t="s">
        <v>2497</v>
      </c>
      <c r="B158" s="12" t="s">
        <v>2498</v>
      </c>
      <c r="C158" s="12" t="s">
        <v>2499</v>
      </c>
      <c r="D158" t="s">
        <v>5313</v>
      </c>
      <c r="E158" s="12" t="s">
        <v>3178</v>
      </c>
      <c r="F158" s="12" t="s">
        <v>163</v>
      </c>
      <c r="G158" s="12" t="s">
        <v>5338</v>
      </c>
      <c r="H158" s="12" t="s">
        <v>2498</v>
      </c>
      <c r="I158" s="84">
        <v>2651093</v>
      </c>
      <c r="J158" s="12" t="s">
        <v>5102</v>
      </c>
      <c r="L158" s="12" t="str">
        <f>IF(OR(ISBLANK(tblSites[[#This Row],[Implementing Partner]]), tblSites[[#This Row],[Implementing Partner]]="-"), tblSites[[#This Row],[Site Agency]], tblSites[[#This Row],[Implementing Partner]])</f>
        <v>No SMA</v>
      </c>
      <c r="M158" s="12" t="s">
        <v>55</v>
      </c>
      <c r="N158" s="12" t="str">
        <f>tblSites[[#This Row],[FinalImplementingPartner]]</f>
        <v>No SMA</v>
      </c>
    </row>
    <row r="159" spans="1:14" x14ac:dyDescent="0.25">
      <c r="A159" s="12" t="s">
        <v>2638</v>
      </c>
      <c r="B159" s="12" t="s">
        <v>2639</v>
      </c>
      <c r="C159" s="12" t="s">
        <v>2640</v>
      </c>
      <c r="D159" t="s">
        <v>5313</v>
      </c>
      <c r="E159" s="12" t="s">
        <v>3178</v>
      </c>
      <c r="F159" s="12" t="s">
        <v>1983</v>
      </c>
      <c r="G159" s="12" t="s">
        <v>5340</v>
      </c>
      <c r="H159" s="12" t="s">
        <v>2639</v>
      </c>
      <c r="I159" s="84">
        <v>2650582</v>
      </c>
      <c r="J159" s="12" t="s">
        <v>5102</v>
      </c>
      <c r="L159" s="12" t="str">
        <f>IF(OR(ISBLANK(tblSites[[#This Row],[Implementing Partner]]), tblSites[[#This Row],[Implementing Partner]]="-"), tblSites[[#This Row],[Site Agency]], tblSites[[#This Row],[Implementing Partner]])</f>
        <v>No SMA</v>
      </c>
      <c r="M159" s="12" t="s">
        <v>55</v>
      </c>
      <c r="N159" s="12" t="str">
        <f>tblSites[[#This Row],[FinalImplementingPartner]]</f>
        <v>No SMA</v>
      </c>
    </row>
    <row r="160" spans="1:14" x14ac:dyDescent="0.25">
      <c r="A160" s="12" t="s">
        <v>2641</v>
      </c>
      <c r="B160" s="12" t="s">
        <v>2642</v>
      </c>
      <c r="C160" s="12" t="s">
        <v>2643</v>
      </c>
      <c r="D160" t="s">
        <v>5313</v>
      </c>
      <c r="E160" s="12" t="s">
        <v>3178</v>
      </c>
      <c r="F160" s="12" t="s">
        <v>1698</v>
      </c>
      <c r="G160" s="12" t="s">
        <v>5349</v>
      </c>
      <c r="H160" s="12" t="s">
        <v>2642</v>
      </c>
      <c r="I160" s="84">
        <v>2650580</v>
      </c>
      <c r="J160" s="12" t="s">
        <v>5102</v>
      </c>
      <c r="L160" s="12" t="str">
        <f>IF(OR(ISBLANK(tblSites[[#This Row],[Implementing Partner]]), tblSites[[#This Row],[Implementing Partner]]="-"), tblSites[[#This Row],[Site Agency]], tblSites[[#This Row],[Implementing Partner]])</f>
        <v>No SMA</v>
      </c>
      <c r="M160" s="12" t="s">
        <v>55</v>
      </c>
      <c r="N160" s="12" t="str">
        <f>tblSites[[#This Row],[FinalImplementingPartner]]</f>
        <v>No SMA</v>
      </c>
    </row>
    <row r="161" spans="1:14" x14ac:dyDescent="0.25">
      <c r="A161" s="12" t="s">
        <v>1491</v>
      </c>
      <c r="B161" s="12" t="s">
        <v>1492</v>
      </c>
      <c r="C161" s="12" t="s">
        <v>1493</v>
      </c>
      <c r="D161" t="s">
        <v>5313</v>
      </c>
      <c r="E161" s="12" t="s">
        <v>3178</v>
      </c>
      <c r="F161" s="12" t="s">
        <v>985</v>
      </c>
      <c r="G161" s="12" t="s">
        <v>5345</v>
      </c>
      <c r="H161" s="12" t="s">
        <v>1492</v>
      </c>
      <c r="I161" s="84">
        <v>2650579</v>
      </c>
      <c r="J161" s="12" t="s">
        <v>5102</v>
      </c>
      <c r="L161" s="12" t="str">
        <f>IF(OR(ISBLANK(tblSites[[#This Row],[Implementing Partner]]), tblSites[[#This Row],[Implementing Partner]]="-"), tblSites[[#This Row],[Site Agency]], tblSites[[#This Row],[Implementing Partner]])</f>
        <v>No SMA</v>
      </c>
      <c r="M161" s="12" t="s">
        <v>55</v>
      </c>
      <c r="N161" s="12" t="str">
        <f>tblSites[[#This Row],[FinalImplementingPartner]]</f>
        <v>No SMA</v>
      </c>
    </row>
    <row r="162" spans="1:14" x14ac:dyDescent="0.25">
      <c r="A162" s="12" t="s">
        <v>2358</v>
      </c>
      <c r="B162" s="12" t="s">
        <v>2359</v>
      </c>
      <c r="C162" s="12" t="s">
        <v>2360</v>
      </c>
      <c r="D162" t="s">
        <v>5313</v>
      </c>
      <c r="E162" s="12" t="s">
        <v>3178</v>
      </c>
      <c r="F162" s="12" t="s">
        <v>154</v>
      </c>
      <c r="G162" s="12" t="s">
        <v>5336</v>
      </c>
      <c r="H162" s="12" t="s">
        <v>2359</v>
      </c>
      <c r="I162" s="84">
        <v>26501147</v>
      </c>
      <c r="J162" s="12" t="s">
        <v>5102</v>
      </c>
      <c r="L162" s="12" t="str">
        <f>IF(OR(ISBLANK(tblSites[[#This Row],[Implementing Partner]]), tblSites[[#This Row],[Implementing Partner]]="-"), tblSites[[#This Row],[Site Agency]], tblSites[[#This Row],[Implementing Partner]])</f>
        <v>No SMA</v>
      </c>
      <c r="M162" s="12" t="s">
        <v>55</v>
      </c>
      <c r="N162" s="12" t="str">
        <f>tblSites[[#This Row],[FinalImplementingPartner]]</f>
        <v>No SMA</v>
      </c>
    </row>
    <row r="163" spans="1:14" x14ac:dyDescent="0.25">
      <c r="A163" s="12" t="s">
        <v>2644</v>
      </c>
      <c r="B163" s="12" t="s">
        <v>2645</v>
      </c>
      <c r="C163" s="12" t="s">
        <v>2572</v>
      </c>
      <c r="D163" t="s">
        <v>5313</v>
      </c>
      <c r="E163" s="12" t="s">
        <v>3178</v>
      </c>
      <c r="F163" s="12" t="s">
        <v>154</v>
      </c>
      <c r="G163" s="12" t="s">
        <v>5336</v>
      </c>
      <c r="H163" s="12" t="s">
        <v>2645</v>
      </c>
      <c r="I163" s="84">
        <v>26501147</v>
      </c>
      <c r="J163" s="12" t="s">
        <v>5102</v>
      </c>
      <c r="L163" s="12" t="str">
        <f>IF(OR(ISBLANK(tblSites[[#This Row],[Implementing Partner]]), tblSites[[#This Row],[Implementing Partner]]="-"), tblSites[[#This Row],[Site Agency]], tblSites[[#This Row],[Implementing Partner]])</f>
        <v>No SMA</v>
      </c>
      <c r="M163" s="12" t="s">
        <v>55</v>
      </c>
      <c r="N163" s="12" t="str">
        <f>tblSites[[#This Row],[FinalImplementingPartner]]</f>
        <v>No SMA</v>
      </c>
    </row>
    <row r="164" spans="1:14" x14ac:dyDescent="0.25">
      <c r="A164" s="12" t="s">
        <v>356</v>
      </c>
      <c r="B164" s="12" t="s">
        <v>357</v>
      </c>
      <c r="D164" t="s">
        <v>5313</v>
      </c>
      <c r="E164" s="12" t="s">
        <v>3178</v>
      </c>
      <c r="F164" s="12" t="s">
        <v>358</v>
      </c>
      <c r="G164" s="12" t="s">
        <v>5352</v>
      </c>
      <c r="H164" s="12" t="s">
        <v>357</v>
      </c>
      <c r="I164" s="84">
        <v>2650577</v>
      </c>
      <c r="J164" s="12" t="s">
        <v>5102</v>
      </c>
      <c r="L164" s="12" t="str">
        <f>IF(OR(ISBLANK(tblSites[[#This Row],[Implementing Partner]]), tblSites[[#This Row],[Implementing Partner]]="-"), tblSites[[#This Row],[Site Agency]], tblSites[[#This Row],[Implementing Partner]])</f>
        <v>No SMA</v>
      </c>
      <c r="M164" s="12" t="s">
        <v>55</v>
      </c>
      <c r="N164" s="12" t="str">
        <f>tblSites[[#This Row],[FinalImplementingPartner]]</f>
        <v>No SMA</v>
      </c>
    </row>
    <row r="165" spans="1:14" x14ac:dyDescent="0.25">
      <c r="A165" s="12" t="s">
        <v>2646</v>
      </c>
      <c r="B165" s="12" t="s">
        <v>2647</v>
      </c>
      <c r="C165" s="12" t="s">
        <v>2648</v>
      </c>
      <c r="D165" t="s">
        <v>5313</v>
      </c>
      <c r="E165" s="12" t="s">
        <v>3178</v>
      </c>
      <c r="F165" s="12" t="s">
        <v>358</v>
      </c>
      <c r="G165" s="12" t="s">
        <v>5352</v>
      </c>
      <c r="H165" s="12" t="s">
        <v>2647</v>
      </c>
      <c r="I165" s="84">
        <v>2650577</v>
      </c>
      <c r="J165" s="12" t="s">
        <v>5102</v>
      </c>
      <c r="L165" s="12" t="str">
        <f>IF(OR(ISBLANK(tblSites[[#This Row],[Implementing Partner]]), tblSites[[#This Row],[Implementing Partner]]="-"), tblSites[[#This Row],[Site Agency]], tblSites[[#This Row],[Implementing Partner]])</f>
        <v>No SMA</v>
      </c>
      <c r="M165" s="12" t="s">
        <v>55</v>
      </c>
      <c r="N165" s="12" t="str">
        <f>tblSites[[#This Row],[FinalImplementingPartner]]</f>
        <v>No SMA</v>
      </c>
    </row>
    <row r="166" spans="1:14" x14ac:dyDescent="0.25">
      <c r="A166" s="12" t="s">
        <v>2649</v>
      </c>
      <c r="B166" s="12" t="s">
        <v>2650</v>
      </c>
      <c r="C166" s="12" t="s">
        <v>2651</v>
      </c>
      <c r="D166" t="s">
        <v>5313</v>
      </c>
      <c r="E166" s="12" t="s">
        <v>3178</v>
      </c>
      <c r="F166" s="12" t="s">
        <v>358</v>
      </c>
      <c r="G166" s="12" t="s">
        <v>5352</v>
      </c>
      <c r="H166" s="12" t="s">
        <v>2650</v>
      </c>
      <c r="I166" s="84">
        <v>2650577</v>
      </c>
      <c r="J166" s="12" t="s">
        <v>5102</v>
      </c>
      <c r="L166" s="12" t="str">
        <f>IF(OR(ISBLANK(tblSites[[#This Row],[Implementing Partner]]), tblSites[[#This Row],[Implementing Partner]]="-"), tblSites[[#This Row],[Site Agency]], tblSites[[#This Row],[Implementing Partner]])</f>
        <v>No SMA</v>
      </c>
      <c r="M166" s="12" t="s">
        <v>55</v>
      </c>
      <c r="N166" s="12" t="str">
        <f>tblSites[[#This Row],[FinalImplementingPartner]]</f>
        <v>No SMA</v>
      </c>
    </row>
    <row r="167" spans="1:14" x14ac:dyDescent="0.25">
      <c r="A167" s="12" t="s">
        <v>2652</v>
      </c>
      <c r="B167" s="12" t="s">
        <v>2653</v>
      </c>
      <c r="D167" t="s">
        <v>5313</v>
      </c>
      <c r="E167" s="12" t="s">
        <v>3178</v>
      </c>
      <c r="F167" s="12" t="s">
        <v>97</v>
      </c>
      <c r="G167" s="12" t="s">
        <v>5343</v>
      </c>
      <c r="H167" s="12" t="s">
        <v>2653</v>
      </c>
      <c r="I167" s="84">
        <v>2650595</v>
      </c>
      <c r="J167" s="12" t="s">
        <v>5102</v>
      </c>
      <c r="L167" s="12" t="str">
        <f>IF(OR(ISBLANK(tblSites[[#This Row],[Implementing Partner]]), tblSites[[#This Row],[Implementing Partner]]="-"), tblSites[[#This Row],[Site Agency]], tblSites[[#This Row],[Implementing Partner]])</f>
        <v>No SMA</v>
      </c>
      <c r="M167" s="12" t="s">
        <v>55</v>
      </c>
      <c r="N167" s="12" t="str">
        <f>tblSites[[#This Row],[FinalImplementingPartner]]</f>
        <v>No SMA</v>
      </c>
    </row>
    <row r="168" spans="1:14" x14ac:dyDescent="0.25">
      <c r="A168" s="12" t="s">
        <v>508</v>
      </c>
      <c r="B168" s="12" t="s">
        <v>509</v>
      </c>
      <c r="D168" t="s">
        <v>5313</v>
      </c>
      <c r="E168" s="12" t="s">
        <v>3178</v>
      </c>
      <c r="F168" s="12" t="s">
        <v>510</v>
      </c>
      <c r="G168" s="12" t="s">
        <v>5346</v>
      </c>
      <c r="H168" s="12" t="s">
        <v>509</v>
      </c>
      <c r="I168" s="84">
        <v>2650578</v>
      </c>
      <c r="J168" s="12" t="s">
        <v>5102</v>
      </c>
      <c r="L168" s="12" t="str">
        <f>IF(OR(ISBLANK(tblSites[[#This Row],[Implementing Partner]]), tblSites[[#This Row],[Implementing Partner]]="-"), tblSites[[#This Row],[Site Agency]], tblSites[[#This Row],[Implementing Partner]])</f>
        <v>No SMA</v>
      </c>
      <c r="M168" s="12" t="s">
        <v>55</v>
      </c>
      <c r="N168" s="12" t="str">
        <f>tblSites[[#This Row],[FinalImplementingPartner]]</f>
        <v>No SMA</v>
      </c>
    </row>
    <row r="169" spans="1:14" x14ac:dyDescent="0.25">
      <c r="A169" s="12" t="s">
        <v>1596</v>
      </c>
      <c r="B169" s="12" t="s">
        <v>1597</v>
      </c>
      <c r="C169" s="12" t="s">
        <v>1598</v>
      </c>
      <c r="D169" t="s">
        <v>5313</v>
      </c>
      <c r="E169" s="12" t="s">
        <v>3178</v>
      </c>
      <c r="F169" s="12" t="s">
        <v>1212</v>
      </c>
      <c r="G169" s="12" t="s">
        <v>5335</v>
      </c>
      <c r="H169" s="12" t="s">
        <v>1597</v>
      </c>
      <c r="I169" s="84">
        <v>2650597</v>
      </c>
      <c r="J169" s="12" t="s">
        <v>5102</v>
      </c>
      <c r="L169" s="12" t="str">
        <f>IF(OR(ISBLANK(tblSites[[#This Row],[Implementing Partner]]), tblSites[[#This Row],[Implementing Partner]]="-"), tblSites[[#This Row],[Site Agency]], tblSites[[#This Row],[Implementing Partner]])</f>
        <v>No SMA</v>
      </c>
      <c r="M169" s="12" t="s">
        <v>55</v>
      </c>
      <c r="N169" s="12" t="str">
        <f>tblSites[[#This Row],[FinalImplementingPartner]]</f>
        <v>No SMA</v>
      </c>
    </row>
    <row r="170" spans="1:14" x14ac:dyDescent="0.25">
      <c r="A170" s="12" t="s">
        <v>2154</v>
      </c>
      <c r="B170" s="12" t="s">
        <v>2155</v>
      </c>
      <c r="D170" t="s">
        <v>5313</v>
      </c>
      <c r="E170" s="12" t="s">
        <v>3178</v>
      </c>
      <c r="F170" s="12" t="s">
        <v>125</v>
      </c>
      <c r="G170" s="12" t="s">
        <v>5342</v>
      </c>
      <c r="H170" s="12" t="s">
        <v>2155</v>
      </c>
      <c r="I170" s="84">
        <v>2651094</v>
      </c>
      <c r="J170" s="12" t="s">
        <v>5102</v>
      </c>
      <c r="L170" s="12" t="str">
        <f>IF(OR(ISBLANK(tblSites[[#This Row],[Implementing Partner]]), tblSites[[#This Row],[Implementing Partner]]="-"), tblSites[[#This Row],[Site Agency]], tblSites[[#This Row],[Implementing Partner]])</f>
        <v>No SMA</v>
      </c>
      <c r="M170" s="12" t="s">
        <v>55</v>
      </c>
      <c r="N170" s="12" t="str">
        <f>tblSites[[#This Row],[FinalImplementingPartner]]</f>
        <v>No SMA</v>
      </c>
    </row>
    <row r="171" spans="1:14" x14ac:dyDescent="0.25">
      <c r="A171" s="12" t="s">
        <v>2156</v>
      </c>
      <c r="B171" s="12" t="s">
        <v>2157</v>
      </c>
      <c r="D171" t="s">
        <v>5313</v>
      </c>
      <c r="E171" s="12" t="s">
        <v>3178</v>
      </c>
      <c r="F171" s="12" t="s">
        <v>125</v>
      </c>
      <c r="G171" s="12" t="s">
        <v>5342</v>
      </c>
      <c r="H171" s="12" t="s">
        <v>2157</v>
      </c>
      <c r="I171" s="84">
        <v>2651094</v>
      </c>
      <c r="J171" s="12" t="s">
        <v>5102</v>
      </c>
      <c r="L171" s="12" t="str">
        <f>IF(OR(ISBLANK(tblSites[[#This Row],[Implementing Partner]]), tblSites[[#This Row],[Implementing Partner]]="-"), tblSites[[#This Row],[Site Agency]], tblSites[[#This Row],[Implementing Partner]])</f>
        <v>No SMA</v>
      </c>
      <c r="M171" s="12" t="s">
        <v>55</v>
      </c>
      <c r="N171" s="12" t="str">
        <f>tblSites[[#This Row],[FinalImplementingPartner]]</f>
        <v>No SMA</v>
      </c>
    </row>
    <row r="172" spans="1:14" x14ac:dyDescent="0.25">
      <c r="A172" s="12" t="s">
        <v>2449</v>
      </c>
      <c r="B172" s="12" t="s">
        <v>2450</v>
      </c>
      <c r="C172" s="12" t="s">
        <v>2451</v>
      </c>
      <c r="D172" t="s">
        <v>5313</v>
      </c>
      <c r="E172" s="12" t="s">
        <v>3178</v>
      </c>
      <c r="F172" s="12" t="s">
        <v>125</v>
      </c>
      <c r="G172" s="12" t="s">
        <v>5342</v>
      </c>
      <c r="H172" s="12" t="s">
        <v>2450</v>
      </c>
      <c r="I172" s="84">
        <v>2651094</v>
      </c>
      <c r="J172" s="12" t="s">
        <v>5102</v>
      </c>
      <c r="L172" s="12" t="str">
        <f>IF(OR(ISBLANK(tblSites[[#This Row],[Implementing Partner]]), tblSites[[#This Row],[Implementing Partner]]="-"), tblSites[[#This Row],[Site Agency]], tblSites[[#This Row],[Implementing Partner]])</f>
        <v>No SMA</v>
      </c>
      <c r="M172" s="12" t="s">
        <v>55</v>
      </c>
      <c r="N172" s="12" t="str">
        <f>tblSites[[#This Row],[FinalImplementingPartner]]</f>
        <v>No SMA</v>
      </c>
    </row>
    <row r="173" spans="1:14" x14ac:dyDescent="0.25">
      <c r="A173" s="12" t="s">
        <v>155</v>
      </c>
      <c r="B173" s="12" t="s">
        <v>156</v>
      </c>
      <c r="C173" s="12" t="s">
        <v>157</v>
      </c>
      <c r="D173" t="s">
        <v>5313</v>
      </c>
      <c r="E173" s="12" t="s">
        <v>3178</v>
      </c>
      <c r="F173" s="12" t="s">
        <v>104</v>
      </c>
      <c r="G173" s="12" t="s">
        <v>5344</v>
      </c>
      <c r="H173" s="12" t="s">
        <v>156</v>
      </c>
      <c r="I173" s="84">
        <v>2651091</v>
      </c>
      <c r="J173" s="12" t="s">
        <v>7</v>
      </c>
      <c r="L173" s="12" t="str">
        <f>IF(OR(ISBLANK(tblSites[[#This Row],[Implementing Partner]]), tblSites[[#This Row],[Implementing Partner]]="-"), tblSites[[#This Row],[Site Agency]], tblSites[[#This Row],[Implementing Partner]])</f>
        <v>ACTED</v>
      </c>
      <c r="M173" s="12" t="s">
        <v>55</v>
      </c>
      <c r="N173" s="12" t="str">
        <f>tblSites[[#This Row],[FinalImplementingPartner]]</f>
        <v>ACTED</v>
      </c>
    </row>
    <row r="174" spans="1:14" x14ac:dyDescent="0.25">
      <c r="A174" s="12" t="s">
        <v>915</v>
      </c>
      <c r="B174" s="12" t="s">
        <v>3994</v>
      </c>
      <c r="C174" s="12" t="s">
        <v>916</v>
      </c>
      <c r="D174" t="s">
        <v>5313</v>
      </c>
      <c r="E174" s="12" t="s">
        <v>3178</v>
      </c>
      <c r="F174" s="12" t="s">
        <v>125</v>
      </c>
      <c r="G174" s="12" t="s">
        <v>5342</v>
      </c>
      <c r="H174" s="12" t="s">
        <v>3994</v>
      </c>
      <c r="I174" s="84">
        <v>2651094</v>
      </c>
      <c r="J174" s="12" t="s">
        <v>5102</v>
      </c>
      <c r="L174" s="12" t="str">
        <f>IF(OR(ISBLANK(tblSites[[#This Row],[Implementing Partner]]), tblSites[[#This Row],[Implementing Partner]]="-"), tblSites[[#This Row],[Site Agency]], tblSites[[#This Row],[Implementing Partner]])</f>
        <v>No SMA</v>
      </c>
      <c r="M174" s="12" t="s">
        <v>55</v>
      </c>
      <c r="N174" s="12" t="str">
        <f>tblSites[[#This Row],[FinalImplementingPartner]]</f>
        <v>No SMA</v>
      </c>
    </row>
    <row r="175" spans="1:14" x14ac:dyDescent="0.25">
      <c r="A175" s="12" t="s">
        <v>726</v>
      </c>
      <c r="B175" s="12" t="s">
        <v>727</v>
      </c>
      <c r="C175" s="12" t="s">
        <v>4592</v>
      </c>
      <c r="D175" t="s">
        <v>5313</v>
      </c>
      <c r="E175" s="12" t="s">
        <v>3178</v>
      </c>
      <c r="F175" s="12" t="s">
        <v>564</v>
      </c>
      <c r="G175" s="12" t="s">
        <v>5360</v>
      </c>
      <c r="H175" s="12" t="s">
        <v>727</v>
      </c>
      <c r="I175" s="84">
        <v>2651090</v>
      </c>
      <c r="J175" s="12" t="s">
        <v>34</v>
      </c>
      <c r="K175" s="12" t="s">
        <v>359</v>
      </c>
      <c r="L175" s="12" t="str">
        <f>IF(OR(ISBLANK(tblSites[[#This Row],[Implementing Partner]]), tblSites[[#This Row],[Implementing Partner]]="-"), tblSites[[#This Row],[Site Agency]], tblSites[[#This Row],[Implementing Partner]])</f>
        <v>FAFD</v>
      </c>
      <c r="M175" s="12" t="s">
        <v>55</v>
      </c>
      <c r="N175" s="12" t="str">
        <f>tblSites[[#This Row],[FinalImplementingPartner]]</f>
        <v>FAFD</v>
      </c>
    </row>
    <row r="176" spans="1:14" x14ac:dyDescent="0.25">
      <c r="A176" s="12" t="s">
        <v>1793</v>
      </c>
      <c r="B176" s="12" t="s">
        <v>1794</v>
      </c>
      <c r="C176" s="12" t="s">
        <v>1795</v>
      </c>
      <c r="D176" t="s">
        <v>5313</v>
      </c>
      <c r="E176" s="12" t="s">
        <v>3178</v>
      </c>
      <c r="F176" s="12" t="s">
        <v>361</v>
      </c>
      <c r="G176" s="12" t="s">
        <v>5333</v>
      </c>
      <c r="H176" s="12" t="s">
        <v>1794</v>
      </c>
      <c r="I176" s="84">
        <v>2651099</v>
      </c>
      <c r="J176" s="12" t="s">
        <v>5102</v>
      </c>
      <c r="L176" s="12" t="str">
        <f>IF(OR(ISBLANK(tblSites[[#This Row],[Implementing Partner]]), tblSites[[#This Row],[Implementing Partner]]="-"), tblSites[[#This Row],[Site Agency]], tblSites[[#This Row],[Implementing Partner]])</f>
        <v>No SMA</v>
      </c>
      <c r="M176" s="12" t="s">
        <v>55</v>
      </c>
      <c r="N176" s="12" t="str">
        <f>tblSites[[#This Row],[FinalImplementingPartner]]</f>
        <v>No SMA</v>
      </c>
    </row>
    <row r="177" spans="1:14" x14ac:dyDescent="0.25">
      <c r="A177" s="12" t="s">
        <v>1195</v>
      </c>
      <c r="B177" s="12" t="s">
        <v>1196</v>
      </c>
      <c r="C177" s="12" t="s">
        <v>1197</v>
      </c>
      <c r="D177" t="s">
        <v>5313</v>
      </c>
      <c r="E177" s="12" t="s">
        <v>3178</v>
      </c>
      <c r="F177" s="12" t="s">
        <v>349</v>
      </c>
      <c r="G177" s="12" t="s">
        <v>5327</v>
      </c>
      <c r="H177" s="12" t="s">
        <v>1196</v>
      </c>
      <c r="I177" s="84">
        <v>26510152</v>
      </c>
      <c r="J177" s="12" t="s">
        <v>5102</v>
      </c>
      <c r="L177" s="12" t="str">
        <f>IF(OR(ISBLANK(tblSites[[#This Row],[Implementing Partner]]), tblSites[[#This Row],[Implementing Partner]]="-"), tblSites[[#This Row],[Site Agency]], tblSites[[#This Row],[Implementing Partner]])</f>
        <v>No SMA</v>
      </c>
      <c r="M177" s="12" t="s">
        <v>55</v>
      </c>
      <c r="N177" s="12" t="str">
        <f>tblSites[[#This Row],[FinalImplementingPartner]]</f>
        <v>No SMA</v>
      </c>
    </row>
    <row r="178" spans="1:14" x14ac:dyDescent="0.25">
      <c r="A178" s="12" t="s">
        <v>1817</v>
      </c>
      <c r="B178" s="12" t="s">
        <v>1818</v>
      </c>
      <c r="C178" s="12" t="s">
        <v>1819</v>
      </c>
      <c r="D178" t="s">
        <v>5313</v>
      </c>
      <c r="E178" s="12" t="s">
        <v>3178</v>
      </c>
      <c r="F178" s="12" t="s">
        <v>349</v>
      </c>
      <c r="G178" s="12" t="s">
        <v>5327</v>
      </c>
      <c r="H178" s="12" t="s">
        <v>1818</v>
      </c>
      <c r="I178" s="84">
        <v>26510152</v>
      </c>
      <c r="J178" s="12" t="s">
        <v>5102</v>
      </c>
      <c r="L178" s="12" t="str">
        <f>IF(OR(ISBLANK(tblSites[[#This Row],[Implementing Partner]]), tblSites[[#This Row],[Implementing Partner]]="-"), tblSites[[#This Row],[Site Agency]], tblSites[[#This Row],[Implementing Partner]])</f>
        <v>No SMA</v>
      </c>
      <c r="M178" s="12" t="s">
        <v>55</v>
      </c>
      <c r="N178" s="12" t="str">
        <f>tblSites[[#This Row],[FinalImplementingPartner]]</f>
        <v>No SMA</v>
      </c>
    </row>
    <row r="179" spans="1:14" x14ac:dyDescent="0.25">
      <c r="A179" s="12" t="s">
        <v>2523</v>
      </c>
      <c r="B179" s="12" t="s">
        <v>2524</v>
      </c>
      <c r="C179" s="12" t="s">
        <v>2525</v>
      </c>
      <c r="D179" t="s">
        <v>5313</v>
      </c>
      <c r="E179" s="12" t="s">
        <v>3178</v>
      </c>
      <c r="F179" s="12" t="s">
        <v>349</v>
      </c>
      <c r="G179" s="12" t="s">
        <v>5327</v>
      </c>
      <c r="H179" s="12" t="s">
        <v>2524</v>
      </c>
      <c r="I179" s="84">
        <v>26510152</v>
      </c>
      <c r="J179" s="12" t="s">
        <v>5102</v>
      </c>
      <c r="L179" s="12" t="str">
        <f>IF(OR(ISBLANK(tblSites[[#This Row],[Implementing Partner]]), tblSites[[#This Row],[Implementing Partner]]="-"), tblSites[[#This Row],[Site Agency]], tblSites[[#This Row],[Implementing Partner]])</f>
        <v>No SMA</v>
      </c>
      <c r="M179" s="12" t="s">
        <v>55</v>
      </c>
      <c r="N179" s="12" t="str">
        <f>tblSites[[#This Row],[FinalImplementingPartner]]</f>
        <v>No SMA</v>
      </c>
    </row>
    <row r="180" spans="1:14" x14ac:dyDescent="0.25">
      <c r="A180" s="12" t="s">
        <v>2460</v>
      </c>
      <c r="B180" s="12" t="s">
        <v>1365</v>
      </c>
      <c r="C180" s="12" t="s">
        <v>1366</v>
      </c>
      <c r="D180" t="s">
        <v>5313</v>
      </c>
      <c r="E180" s="12" t="s">
        <v>3178</v>
      </c>
      <c r="F180" s="12" t="s">
        <v>349</v>
      </c>
      <c r="G180" s="12" t="s">
        <v>5327</v>
      </c>
      <c r="H180" s="12" t="s">
        <v>1365</v>
      </c>
      <c r="I180" s="84">
        <v>26510152</v>
      </c>
      <c r="J180" s="12" t="s">
        <v>5102</v>
      </c>
      <c r="L180" s="12" t="str">
        <f>IF(OR(ISBLANK(tblSites[[#This Row],[Implementing Partner]]), tblSites[[#This Row],[Implementing Partner]]="-"), tblSites[[#This Row],[Site Agency]], tblSites[[#This Row],[Implementing Partner]])</f>
        <v>No SMA</v>
      </c>
      <c r="M180" s="12" t="s">
        <v>55</v>
      </c>
      <c r="N180" s="12" t="str">
        <f>tblSites[[#This Row],[FinalImplementingPartner]]</f>
        <v>No SMA</v>
      </c>
    </row>
    <row r="181" spans="1:14" x14ac:dyDescent="0.25">
      <c r="A181" s="12" t="s">
        <v>2370</v>
      </c>
      <c r="B181" s="12" t="s">
        <v>1256</v>
      </c>
      <c r="C181" s="12" t="s">
        <v>1257</v>
      </c>
      <c r="D181" t="s">
        <v>5313</v>
      </c>
      <c r="E181" s="12" t="s">
        <v>3178</v>
      </c>
      <c r="F181" s="12" t="s">
        <v>154</v>
      </c>
      <c r="G181" s="12" t="s">
        <v>5361</v>
      </c>
      <c r="H181" s="12" t="s">
        <v>1256</v>
      </c>
      <c r="I181" s="84">
        <v>26501147</v>
      </c>
      <c r="J181" s="12" t="s">
        <v>35</v>
      </c>
      <c r="L181" s="12" t="str">
        <f>IF(OR(ISBLANK(tblSites[[#This Row],[Implementing Partner]]), tblSites[[#This Row],[Implementing Partner]]="-"), tblSites[[#This Row],[Site Agency]], tblSites[[#This Row],[Implementing Partner]])</f>
        <v>NRC</v>
      </c>
      <c r="M181" s="12" t="s">
        <v>55</v>
      </c>
      <c r="N181" s="12" t="str">
        <f>tblSites[[#This Row],[FinalImplementingPartner]]</f>
        <v>NRC</v>
      </c>
    </row>
    <row r="182" spans="1:14" x14ac:dyDescent="0.25">
      <c r="A182" s="12" t="s">
        <v>1121</v>
      </c>
      <c r="B182" s="12" t="s">
        <v>1122</v>
      </c>
      <c r="C182" s="12" t="s">
        <v>389</v>
      </c>
      <c r="D182" t="s">
        <v>5313</v>
      </c>
      <c r="E182" s="12" t="s">
        <v>3178</v>
      </c>
      <c r="F182" s="12" t="s">
        <v>104</v>
      </c>
      <c r="G182" s="12" t="s">
        <v>5339</v>
      </c>
      <c r="H182" s="12" t="s">
        <v>1122</v>
      </c>
      <c r="I182" s="84">
        <v>2651091</v>
      </c>
      <c r="J182" s="12" t="s">
        <v>5102</v>
      </c>
      <c r="L182" s="12" t="str">
        <f>IF(OR(ISBLANK(tblSites[[#This Row],[Implementing Partner]]), tblSites[[#This Row],[Implementing Partner]]="-"), tblSites[[#This Row],[Site Agency]], tblSites[[#This Row],[Implementing Partner]])</f>
        <v>No SMA</v>
      </c>
      <c r="M182" s="12" t="s">
        <v>55</v>
      </c>
      <c r="N182" s="12" t="str">
        <f>tblSites[[#This Row],[FinalImplementingPartner]]</f>
        <v>No SMA</v>
      </c>
    </row>
    <row r="183" spans="1:14" x14ac:dyDescent="0.25">
      <c r="A183" s="12" t="s">
        <v>1150</v>
      </c>
      <c r="B183" s="12" t="s">
        <v>1151</v>
      </c>
      <c r="C183" s="12" t="s">
        <v>1152</v>
      </c>
      <c r="D183" t="s">
        <v>5313</v>
      </c>
      <c r="E183" s="12" t="s">
        <v>3178</v>
      </c>
      <c r="F183" s="12" t="s">
        <v>104</v>
      </c>
      <c r="G183" s="12" t="s">
        <v>5339</v>
      </c>
      <c r="H183" s="12" t="s">
        <v>1151</v>
      </c>
      <c r="I183" s="84">
        <v>2651091</v>
      </c>
      <c r="J183" s="12" t="s">
        <v>5102</v>
      </c>
      <c r="L183" s="12" t="str">
        <f>IF(OR(ISBLANK(tblSites[[#This Row],[Implementing Partner]]), tblSites[[#This Row],[Implementing Partner]]="-"), tblSites[[#This Row],[Site Agency]], tblSites[[#This Row],[Implementing Partner]])</f>
        <v>No SMA</v>
      </c>
      <c r="M183" s="12" t="s">
        <v>55</v>
      </c>
      <c r="N183" s="12" t="str">
        <f>tblSites[[#This Row],[FinalImplementingPartner]]</f>
        <v>No SMA</v>
      </c>
    </row>
    <row r="184" spans="1:14" x14ac:dyDescent="0.25">
      <c r="A184" s="12" t="s">
        <v>1752</v>
      </c>
      <c r="B184" s="12" t="s">
        <v>1753</v>
      </c>
      <c r="C184" s="12" t="s">
        <v>1754</v>
      </c>
      <c r="D184" t="s">
        <v>5313</v>
      </c>
      <c r="E184" s="12" t="s">
        <v>3178</v>
      </c>
      <c r="F184" s="12" t="s">
        <v>1724</v>
      </c>
      <c r="G184" s="12" t="s">
        <v>5334</v>
      </c>
      <c r="H184" s="12" t="s">
        <v>1753</v>
      </c>
      <c r="I184" s="84">
        <v>26510151</v>
      </c>
      <c r="J184" s="12" t="s">
        <v>5102</v>
      </c>
      <c r="L184" s="12" t="str">
        <f>IF(OR(ISBLANK(tblSites[[#This Row],[Implementing Partner]]), tblSites[[#This Row],[Implementing Partner]]="-"), tblSites[[#This Row],[Site Agency]], tblSites[[#This Row],[Implementing Partner]])</f>
        <v>No SMA</v>
      </c>
      <c r="M184" s="12" t="s">
        <v>55</v>
      </c>
      <c r="N184" s="12" t="str">
        <f>tblSites[[#This Row],[FinalImplementingPartner]]</f>
        <v>No SMA</v>
      </c>
    </row>
    <row r="185" spans="1:14" x14ac:dyDescent="0.25">
      <c r="A185" s="12" t="s">
        <v>2470</v>
      </c>
      <c r="B185" s="12" t="s">
        <v>2471</v>
      </c>
      <c r="C185" s="12" t="s">
        <v>2472</v>
      </c>
      <c r="D185" t="s">
        <v>5313</v>
      </c>
      <c r="E185" s="12" t="s">
        <v>3178</v>
      </c>
      <c r="F185" s="12" t="s">
        <v>974</v>
      </c>
      <c r="G185" s="12" t="s">
        <v>5362</v>
      </c>
      <c r="H185" s="12" t="s">
        <v>2471</v>
      </c>
      <c r="I185" s="84">
        <v>2651089</v>
      </c>
      <c r="J185" s="12" t="s">
        <v>5102</v>
      </c>
      <c r="L185" s="12" t="str">
        <f>IF(OR(ISBLANK(tblSites[[#This Row],[Implementing Partner]]), tblSites[[#This Row],[Implementing Partner]]="-"), tblSites[[#This Row],[Site Agency]], tblSites[[#This Row],[Implementing Partner]])</f>
        <v>No SMA</v>
      </c>
      <c r="M185" s="12" t="s">
        <v>55</v>
      </c>
      <c r="N185" s="12" t="str">
        <f>tblSites[[#This Row],[FinalImplementingPartner]]</f>
        <v>No SMA</v>
      </c>
    </row>
    <row r="186" spans="1:14" x14ac:dyDescent="0.25">
      <c r="A186" s="12" t="s">
        <v>2654</v>
      </c>
      <c r="B186" s="12" t="s">
        <v>2655</v>
      </c>
      <c r="C186" s="12" t="s">
        <v>2656</v>
      </c>
      <c r="D186" t="s">
        <v>5313</v>
      </c>
      <c r="E186" s="12" t="s">
        <v>3178</v>
      </c>
      <c r="F186" s="12" t="s">
        <v>1724</v>
      </c>
      <c r="G186" s="12" t="s">
        <v>5334</v>
      </c>
      <c r="H186" s="12" t="s">
        <v>2655</v>
      </c>
      <c r="I186" s="84">
        <v>26510151</v>
      </c>
      <c r="J186" s="12" t="s">
        <v>5102</v>
      </c>
      <c r="L186" s="12" t="str">
        <f>IF(OR(ISBLANK(tblSites[[#This Row],[Implementing Partner]]), tblSites[[#This Row],[Implementing Partner]]="-"), tblSites[[#This Row],[Site Agency]], tblSites[[#This Row],[Implementing Partner]])</f>
        <v>No SMA</v>
      </c>
      <c r="M186" s="12" t="s">
        <v>55</v>
      </c>
      <c r="N186" s="12" t="str">
        <f>tblSites[[#This Row],[FinalImplementingPartner]]</f>
        <v>No SMA</v>
      </c>
    </row>
    <row r="187" spans="1:14" x14ac:dyDescent="0.25">
      <c r="A187" s="12" t="s">
        <v>699</v>
      </c>
      <c r="B187" s="12" t="s">
        <v>700</v>
      </c>
      <c r="C187" s="12" t="s">
        <v>701</v>
      </c>
      <c r="D187" t="s">
        <v>5313</v>
      </c>
      <c r="E187" s="12" t="s">
        <v>3178</v>
      </c>
      <c r="F187" s="12" t="s">
        <v>349</v>
      </c>
      <c r="G187" s="12" t="s">
        <v>5350</v>
      </c>
      <c r="H187" s="12" t="s">
        <v>700</v>
      </c>
      <c r="I187" s="84">
        <v>26510152</v>
      </c>
      <c r="J187" s="12" t="s">
        <v>5</v>
      </c>
      <c r="K187" s="12" t="s">
        <v>119</v>
      </c>
      <c r="L187" s="12" t="str">
        <f>IF(OR(ISBLANK(tblSites[[#This Row],[Implementing Partner]]), tblSites[[#This Row],[Implementing Partner]]="-"), tblSites[[#This Row],[Site Agency]], tblSites[[#This Row],[Implementing Partner]])</f>
        <v>BLDA</v>
      </c>
      <c r="M187" s="12" t="s">
        <v>55</v>
      </c>
      <c r="N187" s="12" t="str">
        <f>tblSites[[#This Row],[FinalImplementingPartner]]</f>
        <v>BLDA</v>
      </c>
    </row>
    <row r="188" spans="1:14" x14ac:dyDescent="0.25">
      <c r="A188" s="12" t="s">
        <v>2657</v>
      </c>
      <c r="B188" s="12" t="s">
        <v>2658</v>
      </c>
      <c r="C188" s="12" t="s">
        <v>2659</v>
      </c>
      <c r="D188" t="s">
        <v>5313</v>
      </c>
      <c r="E188" s="12" t="s">
        <v>3178</v>
      </c>
      <c r="F188" s="12" t="s">
        <v>97</v>
      </c>
      <c r="G188" s="12" t="s">
        <v>5351</v>
      </c>
      <c r="H188" s="12" t="s">
        <v>2658</v>
      </c>
      <c r="I188" s="84">
        <v>2650575</v>
      </c>
      <c r="J188" s="12" t="s">
        <v>35</v>
      </c>
      <c r="L188" s="12" t="str">
        <f>IF(OR(ISBLANK(tblSites[[#This Row],[Implementing Partner]]), tblSites[[#This Row],[Implementing Partner]]="-"), tblSites[[#This Row],[Site Agency]], tblSites[[#This Row],[Implementing Partner]])</f>
        <v>NRC</v>
      </c>
      <c r="M188" s="12" t="s">
        <v>55</v>
      </c>
      <c r="N188" s="12" t="str">
        <f>tblSites[[#This Row],[FinalImplementingPartner]]</f>
        <v>NRC</v>
      </c>
    </row>
    <row r="189" spans="1:14" x14ac:dyDescent="0.25">
      <c r="A189" s="12" t="s">
        <v>2660</v>
      </c>
      <c r="B189" s="12" t="s">
        <v>2661</v>
      </c>
      <c r="D189" t="s">
        <v>5313</v>
      </c>
      <c r="E189" s="12" t="s">
        <v>3178</v>
      </c>
      <c r="F189" s="12" t="s">
        <v>510</v>
      </c>
      <c r="G189" s="12" t="s">
        <v>5346</v>
      </c>
      <c r="H189" s="12" t="s">
        <v>2661</v>
      </c>
      <c r="I189" s="84">
        <v>2650578</v>
      </c>
      <c r="J189" s="12" t="s">
        <v>5102</v>
      </c>
      <c r="L189" s="12" t="str">
        <f>IF(OR(ISBLANK(tblSites[[#This Row],[Implementing Partner]]), tblSites[[#This Row],[Implementing Partner]]="-"), tblSites[[#This Row],[Site Agency]], tblSites[[#This Row],[Implementing Partner]])</f>
        <v>No SMA</v>
      </c>
      <c r="M189" s="12" t="s">
        <v>55</v>
      </c>
      <c r="N189" s="12" t="str">
        <f>tblSites[[#This Row],[FinalImplementingPartner]]</f>
        <v>No SMA</v>
      </c>
    </row>
    <row r="190" spans="1:14" x14ac:dyDescent="0.25">
      <c r="A190" s="12" t="s">
        <v>2662</v>
      </c>
      <c r="B190" s="12" t="s">
        <v>2663</v>
      </c>
      <c r="C190" s="12" t="s">
        <v>2664</v>
      </c>
      <c r="D190" t="s">
        <v>5313</v>
      </c>
      <c r="E190" s="12" t="s">
        <v>3178</v>
      </c>
      <c r="F190" s="12" t="s">
        <v>2665</v>
      </c>
      <c r="G190" s="12" t="s">
        <v>5363</v>
      </c>
      <c r="H190" s="12" t="s">
        <v>2663</v>
      </c>
      <c r="I190" s="84">
        <v>2650581</v>
      </c>
      <c r="J190" s="12" t="s">
        <v>5102</v>
      </c>
      <c r="L190" s="12" t="str">
        <f>IF(OR(ISBLANK(tblSites[[#This Row],[Implementing Partner]]), tblSites[[#This Row],[Implementing Partner]]="-"), tblSites[[#This Row],[Site Agency]], tblSites[[#This Row],[Implementing Partner]])</f>
        <v>No SMA</v>
      </c>
      <c r="M190" s="12" t="s">
        <v>55</v>
      </c>
      <c r="N190" s="12" t="str">
        <f>tblSites[[#This Row],[FinalImplementingPartner]]</f>
        <v>No SMA</v>
      </c>
    </row>
    <row r="191" spans="1:14" x14ac:dyDescent="0.25">
      <c r="A191" s="12" t="s">
        <v>2077</v>
      </c>
      <c r="B191" s="12" t="s">
        <v>2078</v>
      </c>
      <c r="D191" t="s">
        <v>5313</v>
      </c>
      <c r="E191" s="12" t="s">
        <v>3178</v>
      </c>
      <c r="F191" s="12" t="s">
        <v>974</v>
      </c>
      <c r="G191" s="12" t="s">
        <v>5362</v>
      </c>
      <c r="H191" s="12" t="s">
        <v>2078</v>
      </c>
      <c r="I191" s="84">
        <v>2651089</v>
      </c>
      <c r="J191" s="12" t="s">
        <v>5102</v>
      </c>
      <c r="L191" s="12" t="str">
        <f>IF(OR(ISBLANK(tblSites[[#This Row],[Implementing Partner]]), tblSites[[#This Row],[Implementing Partner]]="-"), tblSites[[#This Row],[Site Agency]], tblSites[[#This Row],[Implementing Partner]])</f>
        <v>No SMA</v>
      </c>
      <c r="M191" s="12" t="s">
        <v>55</v>
      </c>
      <c r="N191" s="12" t="str">
        <f>tblSites[[#This Row],[FinalImplementingPartner]]</f>
        <v>No SMA</v>
      </c>
    </row>
    <row r="192" spans="1:14" x14ac:dyDescent="0.25">
      <c r="A192" s="12" t="s">
        <v>1534</v>
      </c>
      <c r="B192" s="12" t="s">
        <v>1535</v>
      </c>
      <c r="C192" s="12" t="s">
        <v>1536</v>
      </c>
      <c r="D192" t="s">
        <v>5313</v>
      </c>
      <c r="E192" s="12" t="s">
        <v>3178</v>
      </c>
      <c r="F192" s="12" t="s">
        <v>349</v>
      </c>
      <c r="G192" s="12" t="s">
        <v>5358</v>
      </c>
      <c r="H192" s="12" t="s">
        <v>1535</v>
      </c>
      <c r="I192" s="84">
        <v>26510152</v>
      </c>
      <c r="J192" s="12" t="s">
        <v>34</v>
      </c>
      <c r="K192" s="12" t="s">
        <v>662</v>
      </c>
      <c r="L192" s="12" t="str">
        <f>IF(OR(ISBLANK(tblSites[[#This Row],[Implementing Partner]]), tblSites[[#This Row],[Implementing Partner]]="-"), tblSites[[#This Row],[Site Agency]], tblSites[[#This Row],[Implementing Partner]])</f>
        <v>PARC</v>
      </c>
      <c r="M192" s="12" t="s">
        <v>55</v>
      </c>
      <c r="N192" s="12" t="str">
        <f>tblSites[[#This Row],[FinalImplementingPartner]]</f>
        <v>PARC</v>
      </c>
    </row>
    <row r="193" spans="1:14" x14ac:dyDescent="0.25">
      <c r="A193" s="12" t="s">
        <v>1787</v>
      </c>
      <c r="B193" s="12" t="s">
        <v>1788</v>
      </c>
      <c r="D193" t="s">
        <v>5313</v>
      </c>
      <c r="E193" s="12" t="s">
        <v>3178</v>
      </c>
      <c r="F193" s="12" t="s">
        <v>1789</v>
      </c>
      <c r="G193" s="12" t="s">
        <v>5364</v>
      </c>
      <c r="H193" s="12" t="s">
        <v>1788</v>
      </c>
      <c r="I193" s="84">
        <v>2651037</v>
      </c>
      <c r="J193" s="12" t="s">
        <v>5102</v>
      </c>
      <c r="L193" s="12" t="str">
        <f>IF(OR(ISBLANK(tblSites[[#This Row],[Implementing Partner]]), tblSites[[#This Row],[Implementing Partner]]="-"), tblSites[[#This Row],[Site Agency]], tblSites[[#This Row],[Implementing Partner]])</f>
        <v>No SMA</v>
      </c>
      <c r="M193" s="12" t="s">
        <v>55</v>
      </c>
      <c r="N193" s="12" t="str">
        <f>tblSites[[#This Row],[FinalImplementingPartner]]</f>
        <v>No SMA</v>
      </c>
    </row>
    <row r="194" spans="1:14" x14ac:dyDescent="0.25">
      <c r="A194" s="12" t="s">
        <v>1736</v>
      </c>
      <c r="B194" s="12" t="s">
        <v>1737</v>
      </c>
      <c r="D194" t="s">
        <v>5313</v>
      </c>
      <c r="E194" s="12" t="s">
        <v>3178</v>
      </c>
      <c r="F194" s="12" t="s">
        <v>1724</v>
      </c>
      <c r="G194" s="12" t="s">
        <v>5334</v>
      </c>
      <c r="H194" s="12" t="s">
        <v>1737</v>
      </c>
      <c r="I194" s="84">
        <v>26510151</v>
      </c>
      <c r="J194" s="12" t="s">
        <v>5102</v>
      </c>
      <c r="L194" s="12" t="str">
        <f>IF(OR(ISBLANK(tblSites[[#This Row],[Implementing Partner]]), tblSites[[#This Row],[Implementing Partner]]="-"), tblSites[[#This Row],[Site Agency]], tblSites[[#This Row],[Implementing Partner]])</f>
        <v>No SMA</v>
      </c>
      <c r="M194" s="12" t="s">
        <v>55</v>
      </c>
      <c r="N194" s="12" t="str">
        <f>tblSites[[#This Row],[FinalImplementingPartner]]</f>
        <v>No SMA</v>
      </c>
    </row>
    <row r="195" spans="1:14" x14ac:dyDescent="0.25">
      <c r="A195" s="12" t="s">
        <v>2433</v>
      </c>
      <c r="B195" s="12" t="s">
        <v>2434</v>
      </c>
      <c r="C195" s="12" t="s">
        <v>1421</v>
      </c>
      <c r="D195" t="s">
        <v>5313</v>
      </c>
      <c r="E195" s="12" t="s">
        <v>3178</v>
      </c>
      <c r="F195" s="12" t="s">
        <v>349</v>
      </c>
      <c r="G195" s="12" t="s">
        <v>5327</v>
      </c>
      <c r="H195" s="12" t="s">
        <v>2434</v>
      </c>
      <c r="I195" s="84">
        <v>26510152</v>
      </c>
      <c r="J195" s="12" t="s">
        <v>5102</v>
      </c>
      <c r="L195" s="12" t="str">
        <f>IF(OR(ISBLANK(tblSites[[#This Row],[Implementing Partner]]), tblSites[[#This Row],[Implementing Partner]]="-"), tblSites[[#This Row],[Site Agency]], tblSites[[#This Row],[Implementing Partner]])</f>
        <v>No SMA</v>
      </c>
      <c r="M195" s="12" t="s">
        <v>55</v>
      </c>
      <c r="N195" s="12" t="str">
        <f>tblSites[[#This Row],[FinalImplementingPartner]]</f>
        <v>No SMA</v>
      </c>
    </row>
    <row r="196" spans="1:14" x14ac:dyDescent="0.25">
      <c r="A196" s="12" t="s">
        <v>2208</v>
      </c>
      <c r="B196" s="12" t="s">
        <v>2209</v>
      </c>
      <c r="D196" t="s">
        <v>5313</v>
      </c>
      <c r="E196" s="12" t="s">
        <v>3178</v>
      </c>
      <c r="F196" s="12" t="s">
        <v>125</v>
      </c>
      <c r="G196" s="12" t="s">
        <v>5342</v>
      </c>
      <c r="H196" s="12" t="s">
        <v>2209</v>
      </c>
      <c r="I196" s="84">
        <v>2651094</v>
      </c>
      <c r="J196" s="12" t="s">
        <v>5102</v>
      </c>
      <c r="L196" s="12" t="str">
        <f>IF(OR(ISBLANK(tblSites[[#This Row],[Implementing Partner]]), tblSites[[#This Row],[Implementing Partner]]="-"), tblSites[[#This Row],[Site Agency]], tblSites[[#This Row],[Implementing Partner]])</f>
        <v>No SMA</v>
      </c>
      <c r="M196" s="12" t="s">
        <v>55</v>
      </c>
      <c r="N196" s="12" t="str">
        <f>tblSites[[#This Row],[FinalImplementingPartner]]</f>
        <v>No SMA</v>
      </c>
    </row>
    <row r="197" spans="1:14" x14ac:dyDescent="0.25">
      <c r="A197" s="12" t="s">
        <v>1730</v>
      </c>
      <c r="B197" s="12" t="s">
        <v>1731</v>
      </c>
      <c r="C197" s="12" t="s">
        <v>1732</v>
      </c>
      <c r="D197" t="s">
        <v>5313</v>
      </c>
      <c r="E197" s="12" t="s">
        <v>3178</v>
      </c>
      <c r="F197" s="12" t="s">
        <v>349</v>
      </c>
      <c r="G197" s="12" t="s">
        <v>5327</v>
      </c>
      <c r="H197" s="12" t="s">
        <v>1731</v>
      </c>
      <c r="I197" s="84">
        <v>26510152</v>
      </c>
      <c r="J197" s="12" t="s">
        <v>5102</v>
      </c>
      <c r="L197" s="12" t="str">
        <f>IF(OR(ISBLANK(tblSites[[#This Row],[Implementing Partner]]), tblSites[[#This Row],[Implementing Partner]]="-"), tblSites[[#This Row],[Site Agency]], tblSites[[#This Row],[Implementing Partner]])</f>
        <v>No SMA</v>
      </c>
      <c r="M197" s="12" t="s">
        <v>55</v>
      </c>
      <c r="N197" s="12" t="str">
        <f>tblSites[[#This Row],[FinalImplementingPartner]]</f>
        <v>No SMA</v>
      </c>
    </row>
    <row r="198" spans="1:14" x14ac:dyDescent="0.25">
      <c r="A198" s="12" t="s">
        <v>2511</v>
      </c>
      <c r="B198" s="12" t="s">
        <v>2512</v>
      </c>
      <c r="C198" s="12" t="s">
        <v>2513</v>
      </c>
      <c r="D198" t="s">
        <v>5313</v>
      </c>
      <c r="E198" s="12" t="s">
        <v>3178</v>
      </c>
      <c r="F198" s="12" t="s">
        <v>349</v>
      </c>
      <c r="G198" s="12" t="s">
        <v>5327</v>
      </c>
      <c r="H198" s="12" t="s">
        <v>2512</v>
      </c>
      <c r="I198" s="84">
        <v>26510152</v>
      </c>
      <c r="J198" s="12" t="s">
        <v>5102</v>
      </c>
      <c r="L198" s="12" t="str">
        <f>IF(OR(ISBLANK(tblSites[[#This Row],[Implementing Partner]]), tblSites[[#This Row],[Implementing Partner]]="-"), tblSites[[#This Row],[Site Agency]], tblSites[[#This Row],[Implementing Partner]])</f>
        <v>No SMA</v>
      </c>
      <c r="M198" s="12" t="s">
        <v>55</v>
      </c>
      <c r="N198" s="12" t="str">
        <f>tblSites[[#This Row],[FinalImplementingPartner]]</f>
        <v>No SMA</v>
      </c>
    </row>
    <row r="199" spans="1:14" x14ac:dyDescent="0.25">
      <c r="A199" s="12" t="s">
        <v>548</v>
      </c>
      <c r="B199" s="12" t="s">
        <v>549</v>
      </c>
      <c r="C199" s="12" t="s">
        <v>550</v>
      </c>
      <c r="D199" t="s">
        <v>5313</v>
      </c>
      <c r="E199" s="12" t="s">
        <v>3178</v>
      </c>
      <c r="F199" s="12" t="s">
        <v>125</v>
      </c>
      <c r="G199" s="12" t="s">
        <v>5342</v>
      </c>
      <c r="H199" s="12" t="s">
        <v>549</v>
      </c>
      <c r="I199" s="84">
        <v>2651094</v>
      </c>
      <c r="J199" s="12" t="s">
        <v>5102</v>
      </c>
      <c r="L199" s="12" t="str">
        <f>IF(OR(ISBLANK(tblSites[[#This Row],[Implementing Partner]]), tblSites[[#This Row],[Implementing Partner]]="-"), tblSites[[#This Row],[Site Agency]], tblSites[[#This Row],[Implementing Partner]])</f>
        <v>No SMA</v>
      </c>
      <c r="M199" s="12" t="s">
        <v>55</v>
      </c>
      <c r="N199" s="12" t="str">
        <f>tblSites[[#This Row],[FinalImplementingPartner]]</f>
        <v>No SMA</v>
      </c>
    </row>
    <row r="200" spans="1:14" x14ac:dyDescent="0.25">
      <c r="A200" s="12" t="s">
        <v>540</v>
      </c>
      <c r="B200" s="12" t="s">
        <v>541</v>
      </c>
      <c r="C200" s="12" t="s">
        <v>5274</v>
      </c>
      <c r="D200" t="s">
        <v>5313</v>
      </c>
      <c r="E200" s="12" t="s">
        <v>3178</v>
      </c>
      <c r="F200" s="12" t="s">
        <v>125</v>
      </c>
      <c r="G200" s="12" t="s">
        <v>5342</v>
      </c>
      <c r="H200" s="12" t="s">
        <v>541</v>
      </c>
      <c r="I200" s="84">
        <v>2651094</v>
      </c>
      <c r="J200" s="12" t="s">
        <v>5102</v>
      </c>
      <c r="L200" s="12" t="str">
        <f>IF(OR(ISBLANK(tblSites[[#This Row],[Implementing Partner]]), tblSites[[#This Row],[Implementing Partner]]="-"), tblSites[[#This Row],[Site Agency]], tblSites[[#This Row],[Implementing Partner]])</f>
        <v>No SMA</v>
      </c>
      <c r="M200" s="12" t="s">
        <v>55</v>
      </c>
      <c r="N200" s="12" t="str">
        <f>tblSites[[#This Row],[FinalImplementingPartner]]</f>
        <v>No SMA</v>
      </c>
    </row>
    <row r="201" spans="1:14" x14ac:dyDescent="0.25">
      <c r="A201" s="12" t="s">
        <v>2666</v>
      </c>
      <c r="B201" s="12" t="s">
        <v>2667</v>
      </c>
      <c r="D201" t="s">
        <v>5313</v>
      </c>
      <c r="E201" s="12" t="s">
        <v>3178</v>
      </c>
      <c r="F201" s="12" t="s">
        <v>97</v>
      </c>
      <c r="G201" s="12" t="s">
        <v>5343</v>
      </c>
      <c r="H201" s="12" t="s">
        <v>2667</v>
      </c>
      <c r="I201" s="84">
        <v>2650595</v>
      </c>
      <c r="J201" s="12" t="s">
        <v>5102</v>
      </c>
      <c r="L201" s="12" t="str">
        <f>IF(OR(ISBLANK(tblSites[[#This Row],[Implementing Partner]]), tblSites[[#This Row],[Implementing Partner]]="-"), tblSites[[#This Row],[Site Agency]], tblSites[[#This Row],[Implementing Partner]])</f>
        <v>No SMA</v>
      </c>
      <c r="M201" s="12" t="s">
        <v>55</v>
      </c>
      <c r="N201" s="12" t="str">
        <f>tblSites[[#This Row],[FinalImplementingPartner]]</f>
        <v>No SMA</v>
      </c>
    </row>
    <row r="202" spans="1:14" x14ac:dyDescent="0.25">
      <c r="A202" s="12" t="s">
        <v>136</v>
      </c>
      <c r="B202" s="12" t="s">
        <v>137</v>
      </c>
      <c r="C202" s="12" t="s">
        <v>138</v>
      </c>
      <c r="D202" t="s">
        <v>5313</v>
      </c>
      <c r="E202" s="12" t="s">
        <v>3178</v>
      </c>
      <c r="F202" s="12" t="s">
        <v>97</v>
      </c>
      <c r="G202" s="12" t="s">
        <v>5326</v>
      </c>
      <c r="H202" s="12" t="s">
        <v>137</v>
      </c>
      <c r="I202" s="84">
        <v>2650595</v>
      </c>
      <c r="J202" s="12" t="s">
        <v>7</v>
      </c>
      <c r="L202" s="12" t="str">
        <f>IF(OR(ISBLANK(tblSites[[#This Row],[Implementing Partner]]), tblSites[[#This Row],[Implementing Partner]]="-"), tblSites[[#This Row],[Site Agency]], tblSites[[#This Row],[Implementing Partner]])</f>
        <v>ACTED</v>
      </c>
      <c r="M202" s="12" t="s">
        <v>55</v>
      </c>
      <c r="N202" s="12" t="str">
        <f>tblSites[[#This Row],[FinalImplementingPartner]]</f>
        <v>ACTED</v>
      </c>
    </row>
    <row r="203" spans="1:14" x14ac:dyDescent="0.25">
      <c r="A203" s="12" t="s">
        <v>1588</v>
      </c>
      <c r="B203" s="12" t="s">
        <v>1589</v>
      </c>
      <c r="C203" s="12" t="s">
        <v>1590</v>
      </c>
      <c r="D203" t="s">
        <v>5313</v>
      </c>
      <c r="E203" s="12" t="s">
        <v>3178</v>
      </c>
      <c r="F203" s="12" t="s">
        <v>1212</v>
      </c>
      <c r="G203" s="12" t="s">
        <v>5335</v>
      </c>
      <c r="H203" s="12" t="s">
        <v>1589</v>
      </c>
      <c r="I203" s="84">
        <v>2650597</v>
      </c>
      <c r="J203" s="12" t="s">
        <v>5102</v>
      </c>
      <c r="L203" s="12" t="str">
        <f>IF(OR(ISBLANK(tblSites[[#This Row],[Implementing Partner]]), tblSites[[#This Row],[Implementing Partner]]="-"), tblSites[[#This Row],[Site Agency]], tblSites[[#This Row],[Implementing Partner]])</f>
        <v>No SMA</v>
      </c>
      <c r="M203" s="12" t="s">
        <v>55</v>
      </c>
      <c r="N203" s="12" t="str">
        <f>tblSites[[#This Row],[FinalImplementingPartner]]</f>
        <v>No SMA</v>
      </c>
    </row>
    <row r="204" spans="1:14" x14ac:dyDescent="0.25">
      <c r="A204" s="12" t="s">
        <v>5220</v>
      </c>
      <c r="B204" s="12" t="s">
        <v>622</v>
      </c>
      <c r="C204" s="12" t="s">
        <v>623</v>
      </c>
      <c r="D204" t="s">
        <v>5313</v>
      </c>
      <c r="E204" s="12" t="s">
        <v>3178</v>
      </c>
      <c r="F204" s="12" t="s">
        <v>154</v>
      </c>
      <c r="G204" s="12" t="s">
        <v>5365</v>
      </c>
      <c r="H204" s="12" t="s">
        <v>622</v>
      </c>
      <c r="I204" s="84">
        <v>26501147</v>
      </c>
      <c r="J204" s="12" t="s">
        <v>5</v>
      </c>
      <c r="K204" s="12" t="s">
        <v>83</v>
      </c>
      <c r="L204" s="12" t="str">
        <f>IF(OR(ISBLANK(tblSites[[#This Row],[Implementing Partner]]), tblSites[[#This Row],[Implementing Partner]]="-"), tblSites[[#This Row],[Site Agency]], tblSites[[#This Row],[Implementing Partner]])</f>
        <v>CESVI</v>
      </c>
      <c r="M204" s="12" t="s">
        <v>55</v>
      </c>
      <c r="N204" s="12" t="str">
        <f>tblSites[[#This Row],[FinalImplementingPartner]]</f>
        <v>CESVI</v>
      </c>
    </row>
    <row r="205" spans="1:14" x14ac:dyDescent="0.25">
      <c r="A205" s="12" t="s">
        <v>1857</v>
      </c>
      <c r="B205" s="12" t="s">
        <v>1858</v>
      </c>
      <c r="C205" s="12" t="s">
        <v>1617</v>
      </c>
      <c r="D205" t="s">
        <v>5313</v>
      </c>
      <c r="E205" s="12" t="s">
        <v>3178</v>
      </c>
      <c r="F205" s="12" t="s">
        <v>349</v>
      </c>
      <c r="G205" s="12" t="s">
        <v>5327</v>
      </c>
      <c r="H205" s="12" t="s">
        <v>1858</v>
      </c>
      <c r="I205" s="84">
        <v>26510152</v>
      </c>
      <c r="J205" s="12" t="s">
        <v>5102</v>
      </c>
      <c r="L205" s="12" t="str">
        <f>IF(OR(ISBLANK(tblSites[[#This Row],[Implementing Partner]]), tblSites[[#This Row],[Implementing Partner]]="-"), tblSites[[#This Row],[Site Agency]], tblSites[[#This Row],[Implementing Partner]])</f>
        <v>No SMA</v>
      </c>
      <c r="M205" s="12" t="s">
        <v>55</v>
      </c>
      <c r="N205" s="12" t="str">
        <f>tblSites[[#This Row],[FinalImplementingPartner]]</f>
        <v>No SMA</v>
      </c>
    </row>
    <row r="206" spans="1:14" x14ac:dyDescent="0.25">
      <c r="A206" s="12" t="s">
        <v>2427</v>
      </c>
      <c r="B206" s="12" t="s">
        <v>2428</v>
      </c>
      <c r="C206" s="12" t="s">
        <v>2429</v>
      </c>
      <c r="D206" t="s">
        <v>5313</v>
      </c>
      <c r="E206" s="12" t="s">
        <v>3178</v>
      </c>
      <c r="F206" s="12" t="s">
        <v>125</v>
      </c>
      <c r="G206" s="12" t="s">
        <v>5342</v>
      </c>
      <c r="H206" s="12" t="s">
        <v>2428</v>
      </c>
      <c r="I206" s="84">
        <v>2651094</v>
      </c>
      <c r="J206" s="12" t="s">
        <v>5102</v>
      </c>
      <c r="L206" s="12" t="str">
        <f>IF(OR(ISBLANK(tblSites[[#This Row],[Implementing Partner]]), tblSites[[#This Row],[Implementing Partner]]="-"), tblSites[[#This Row],[Site Agency]], tblSites[[#This Row],[Implementing Partner]])</f>
        <v>No SMA</v>
      </c>
      <c r="M206" s="12" t="s">
        <v>55</v>
      </c>
      <c r="N206" s="12" t="str">
        <f>tblSites[[#This Row],[FinalImplementingPartner]]</f>
        <v>No SMA</v>
      </c>
    </row>
    <row r="207" spans="1:14" x14ac:dyDescent="0.25">
      <c r="A207" s="12" t="s">
        <v>1980</v>
      </c>
      <c r="B207" s="12" t="s">
        <v>1981</v>
      </c>
      <c r="C207" s="12" t="s">
        <v>1982</v>
      </c>
      <c r="D207" t="s">
        <v>5313</v>
      </c>
      <c r="E207" s="12" t="s">
        <v>3178</v>
      </c>
      <c r="F207" s="12" t="s">
        <v>1983</v>
      </c>
      <c r="G207" s="12" t="s">
        <v>5340</v>
      </c>
      <c r="H207" s="12" t="s">
        <v>1981</v>
      </c>
      <c r="I207" s="84">
        <v>2650582</v>
      </c>
      <c r="J207" s="12" t="s">
        <v>5102</v>
      </c>
      <c r="L207" s="12" t="str">
        <f>IF(OR(ISBLANK(tblSites[[#This Row],[Implementing Partner]]), tblSites[[#This Row],[Implementing Partner]]="-"), tblSites[[#This Row],[Site Agency]], tblSites[[#This Row],[Implementing Partner]])</f>
        <v>No SMA</v>
      </c>
      <c r="M207" s="12" t="s">
        <v>55</v>
      </c>
      <c r="N207" s="12" t="str">
        <f>tblSites[[#This Row],[FinalImplementingPartner]]</f>
        <v>No SMA</v>
      </c>
    </row>
    <row r="208" spans="1:14" x14ac:dyDescent="0.25">
      <c r="A208" s="12" t="s">
        <v>2500</v>
      </c>
      <c r="B208" s="12" t="s">
        <v>2501</v>
      </c>
      <c r="C208" s="12" t="s">
        <v>2502</v>
      </c>
      <c r="D208" t="s">
        <v>5313</v>
      </c>
      <c r="E208" s="12" t="s">
        <v>3178</v>
      </c>
      <c r="F208" s="12" t="s">
        <v>349</v>
      </c>
      <c r="G208" s="12" t="s">
        <v>5327</v>
      </c>
      <c r="H208" s="12" t="s">
        <v>2501</v>
      </c>
      <c r="I208" s="84">
        <v>26510152</v>
      </c>
      <c r="J208" s="12" t="s">
        <v>5102</v>
      </c>
      <c r="L208" s="12" t="str">
        <f>IF(OR(ISBLANK(tblSites[[#This Row],[Implementing Partner]]), tblSites[[#This Row],[Implementing Partner]]="-"), tblSites[[#This Row],[Site Agency]], tblSites[[#This Row],[Implementing Partner]])</f>
        <v>No SMA</v>
      </c>
      <c r="M208" s="12" t="s">
        <v>55</v>
      </c>
      <c r="N208" s="12" t="str">
        <f>tblSites[[#This Row],[FinalImplementingPartner]]</f>
        <v>No SMA</v>
      </c>
    </row>
    <row r="209" spans="1:14" x14ac:dyDescent="0.25">
      <c r="A209" s="12" t="s">
        <v>2506</v>
      </c>
      <c r="B209" s="12" t="s">
        <v>2507</v>
      </c>
      <c r="D209" t="s">
        <v>5313</v>
      </c>
      <c r="E209" s="12" t="s">
        <v>3178</v>
      </c>
      <c r="F209" s="12" t="s">
        <v>349</v>
      </c>
      <c r="G209" s="12" t="s">
        <v>5327</v>
      </c>
      <c r="H209" s="12" t="s">
        <v>2507</v>
      </c>
      <c r="I209" s="84">
        <v>26510152</v>
      </c>
      <c r="J209" s="12" t="s">
        <v>5102</v>
      </c>
      <c r="L209" s="12" t="str">
        <f>IF(OR(ISBLANK(tblSites[[#This Row],[Implementing Partner]]), tblSites[[#This Row],[Implementing Partner]]="-"), tblSites[[#This Row],[Site Agency]], tblSites[[#This Row],[Implementing Partner]])</f>
        <v>No SMA</v>
      </c>
      <c r="M209" s="12" t="s">
        <v>55</v>
      </c>
      <c r="N209" s="12" t="str">
        <f>tblSites[[#This Row],[FinalImplementingPartner]]</f>
        <v>No SMA</v>
      </c>
    </row>
    <row r="210" spans="1:14" x14ac:dyDescent="0.25">
      <c r="A210" s="12" t="s">
        <v>524</v>
      </c>
      <c r="B210" s="12" t="s">
        <v>525</v>
      </c>
      <c r="C210" s="12" t="s">
        <v>526</v>
      </c>
      <c r="D210" t="s">
        <v>5313</v>
      </c>
      <c r="E210" s="12" t="s">
        <v>3178</v>
      </c>
      <c r="F210" s="12" t="s">
        <v>125</v>
      </c>
      <c r="G210" s="12" t="s">
        <v>5342</v>
      </c>
      <c r="H210" s="12" t="s">
        <v>525</v>
      </c>
      <c r="I210" s="84">
        <v>2651094</v>
      </c>
      <c r="J210" s="12" t="s">
        <v>5102</v>
      </c>
      <c r="L210" s="12" t="str">
        <f>IF(OR(ISBLANK(tblSites[[#This Row],[Implementing Partner]]), tblSites[[#This Row],[Implementing Partner]]="-"), tblSites[[#This Row],[Site Agency]], tblSites[[#This Row],[Implementing Partner]])</f>
        <v>No SMA</v>
      </c>
      <c r="M210" s="12" t="s">
        <v>55</v>
      </c>
      <c r="N210" s="12" t="str">
        <f>tblSites[[#This Row],[FinalImplementingPartner]]</f>
        <v>No SMA</v>
      </c>
    </row>
    <row r="211" spans="1:14" x14ac:dyDescent="0.25">
      <c r="A211" s="12" t="s">
        <v>2491</v>
      </c>
      <c r="B211" s="12" t="s">
        <v>2492</v>
      </c>
      <c r="C211" s="12" t="s">
        <v>2493</v>
      </c>
      <c r="D211" t="s">
        <v>5313</v>
      </c>
      <c r="E211" s="12" t="s">
        <v>3178</v>
      </c>
      <c r="F211" s="12" t="s">
        <v>1724</v>
      </c>
      <c r="G211" s="12" t="s">
        <v>5334</v>
      </c>
      <c r="H211" s="12" t="s">
        <v>2492</v>
      </c>
      <c r="I211" s="84">
        <v>26510151</v>
      </c>
      <c r="J211" s="12" t="s">
        <v>5102</v>
      </c>
      <c r="L211" s="12" t="str">
        <f>IF(OR(ISBLANK(tblSites[[#This Row],[Implementing Partner]]), tblSites[[#This Row],[Implementing Partner]]="-"), tblSites[[#This Row],[Site Agency]], tblSites[[#This Row],[Implementing Partner]])</f>
        <v>No SMA</v>
      </c>
      <c r="M211" s="12" t="s">
        <v>55</v>
      </c>
      <c r="N211" s="12" t="str">
        <f>tblSites[[#This Row],[FinalImplementingPartner]]</f>
        <v>No SMA</v>
      </c>
    </row>
    <row r="212" spans="1:14" x14ac:dyDescent="0.25">
      <c r="A212" s="12" t="s">
        <v>2261</v>
      </c>
      <c r="B212" s="12" t="s">
        <v>2262</v>
      </c>
      <c r="C212" s="12" t="s">
        <v>2263</v>
      </c>
      <c r="D212" t="s">
        <v>5313</v>
      </c>
      <c r="E212" s="12" t="s">
        <v>3178</v>
      </c>
      <c r="F212" s="12" t="s">
        <v>2207</v>
      </c>
      <c r="G212" s="12" t="s">
        <v>5366</v>
      </c>
      <c r="H212" s="12" t="s">
        <v>2262</v>
      </c>
      <c r="I212" s="84">
        <v>26503148</v>
      </c>
      <c r="J212" s="12" t="s">
        <v>5103</v>
      </c>
      <c r="L212" s="12" t="str">
        <f>IF(OR(ISBLANK(tblSites[[#This Row],[Implementing Partner]]), tblSites[[#This Row],[Implementing Partner]]="-"), tblSites[[#This Row],[Site Agency]], tblSites[[#This Row],[Implementing Partner]])</f>
        <v>HEKS EPER</v>
      </c>
      <c r="M212" s="12" t="s">
        <v>55</v>
      </c>
      <c r="N212" s="12" t="str">
        <f>tblSites[[#This Row],[FinalImplementingPartner]]</f>
        <v>HEKS EPER</v>
      </c>
    </row>
    <row r="213" spans="1:14" x14ac:dyDescent="0.25">
      <c r="A213" s="12" t="s">
        <v>1696</v>
      </c>
      <c r="B213" s="12" t="s">
        <v>3995</v>
      </c>
      <c r="C213" s="12" t="s">
        <v>1697</v>
      </c>
      <c r="D213" t="s">
        <v>5313</v>
      </c>
      <c r="E213" s="12" t="s">
        <v>3178</v>
      </c>
      <c r="F213" s="12" t="s">
        <v>1698</v>
      </c>
      <c r="G213" s="12" t="s">
        <v>5349</v>
      </c>
      <c r="H213" s="12" t="s">
        <v>3995</v>
      </c>
      <c r="I213" s="84">
        <v>2650580</v>
      </c>
      <c r="J213" s="12" t="s">
        <v>5102</v>
      </c>
      <c r="L213" s="12" t="str">
        <f>IF(OR(ISBLANK(tblSites[[#This Row],[Implementing Partner]]), tblSites[[#This Row],[Implementing Partner]]="-"), tblSites[[#This Row],[Site Agency]], tblSites[[#This Row],[Implementing Partner]])</f>
        <v>No SMA</v>
      </c>
      <c r="M213" s="12" t="s">
        <v>55</v>
      </c>
      <c r="N213" s="12" t="str">
        <f>tblSites[[#This Row],[FinalImplementingPartner]]</f>
        <v>No SMA</v>
      </c>
    </row>
    <row r="214" spans="1:14" x14ac:dyDescent="0.25">
      <c r="A214" s="12" t="s">
        <v>2381</v>
      </c>
      <c r="B214" s="12" t="s">
        <v>2382</v>
      </c>
      <c r="C214" s="12" t="s">
        <v>2383</v>
      </c>
      <c r="D214" t="s">
        <v>5313</v>
      </c>
      <c r="E214" s="12" t="s">
        <v>3178</v>
      </c>
      <c r="F214" s="12" t="s">
        <v>154</v>
      </c>
      <c r="G214" s="12" t="s">
        <v>5336</v>
      </c>
      <c r="H214" s="12" t="s">
        <v>2382</v>
      </c>
      <c r="I214" s="84">
        <v>26501147</v>
      </c>
      <c r="J214" s="12" t="s">
        <v>5102</v>
      </c>
      <c r="L214" s="12" t="str">
        <f>IF(OR(ISBLANK(tblSites[[#This Row],[Implementing Partner]]), tblSites[[#This Row],[Implementing Partner]]="-"), tblSites[[#This Row],[Site Agency]], tblSites[[#This Row],[Implementing Partner]])</f>
        <v>No SMA</v>
      </c>
      <c r="M214" s="12" t="s">
        <v>55</v>
      </c>
      <c r="N214" s="12" t="str">
        <f>tblSites[[#This Row],[FinalImplementingPartner]]</f>
        <v>No SMA</v>
      </c>
    </row>
    <row r="215" spans="1:14" x14ac:dyDescent="0.25">
      <c r="A215" s="12" t="s">
        <v>2227</v>
      </c>
      <c r="B215" s="12" t="s">
        <v>2228</v>
      </c>
      <c r="C215" s="12" t="s">
        <v>2229</v>
      </c>
      <c r="D215" t="s">
        <v>5313</v>
      </c>
      <c r="E215" s="12" t="s">
        <v>3178</v>
      </c>
      <c r="F215" s="12" t="s">
        <v>349</v>
      </c>
      <c r="G215" s="12" t="s">
        <v>5357</v>
      </c>
      <c r="H215" s="12" t="s">
        <v>2228</v>
      </c>
      <c r="I215" s="84">
        <v>26510152</v>
      </c>
      <c r="J215" s="12" t="s">
        <v>35</v>
      </c>
      <c r="L215" s="12" t="str">
        <f>IF(OR(ISBLANK(tblSites[[#This Row],[Implementing Partner]]), tblSites[[#This Row],[Implementing Partner]]="-"), tblSites[[#This Row],[Site Agency]], tblSites[[#This Row],[Implementing Partner]])</f>
        <v>NRC</v>
      </c>
      <c r="M215" s="12" t="s">
        <v>55</v>
      </c>
      <c r="N215" s="12" t="str">
        <f>tblSites[[#This Row],[FinalImplementingPartner]]</f>
        <v>NRC</v>
      </c>
    </row>
    <row r="216" spans="1:14" x14ac:dyDescent="0.25">
      <c r="A216" s="12" t="s">
        <v>2340</v>
      </c>
      <c r="B216" s="12" t="s">
        <v>2341</v>
      </c>
      <c r="C216" s="12" t="s">
        <v>2342</v>
      </c>
      <c r="D216" t="s">
        <v>5313</v>
      </c>
      <c r="E216" s="12" t="s">
        <v>3178</v>
      </c>
      <c r="F216" s="12" t="s">
        <v>154</v>
      </c>
      <c r="G216" s="12" t="s">
        <v>5336</v>
      </c>
      <c r="H216" s="12" t="s">
        <v>2341</v>
      </c>
      <c r="I216" s="84">
        <v>26501147</v>
      </c>
      <c r="J216" s="12" t="s">
        <v>5102</v>
      </c>
      <c r="L216" s="12" t="str">
        <f>IF(OR(ISBLANK(tblSites[[#This Row],[Implementing Partner]]), tblSites[[#This Row],[Implementing Partner]]="-"), tblSites[[#This Row],[Site Agency]], tblSites[[#This Row],[Implementing Partner]])</f>
        <v>No SMA</v>
      </c>
      <c r="M216" s="12" t="s">
        <v>55</v>
      </c>
      <c r="N216" s="12" t="str">
        <f>tblSites[[#This Row],[FinalImplementingPartner]]</f>
        <v>No SMA</v>
      </c>
    </row>
    <row r="217" spans="1:14" x14ac:dyDescent="0.25">
      <c r="A217" s="12" t="s">
        <v>2668</v>
      </c>
      <c r="B217" s="12" t="s">
        <v>2669</v>
      </c>
      <c r="C217" s="12" t="s">
        <v>1053</v>
      </c>
      <c r="D217" t="s">
        <v>5313</v>
      </c>
      <c r="E217" s="12" t="s">
        <v>3178</v>
      </c>
      <c r="F217" s="12" t="s">
        <v>1698</v>
      </c>
      <c r="G217" s="12" t="s">
        <v>5349</v>
      </c>
      <c r="H217" s="12" t="s">
        <v>2669</v>
      </c>
      <c r="I217" s="84">
        <v>2650580</v>
      </c>
      <c r="J217" s="12" t="s">
        <v>5102</v>
      </c>
      <c r="L217" s="12" t="str">
        <f>IF(OR(ISBLANK(tblSites[[#This Row],[Implementing Partner]]), tblSites[[#This Row],[Implementing Partner]]="-"), tblSites[[#This Row],[Site Agency]], tblSites[[#This Row],[Implementing Partner]])</f>
        <v>No SMA</v>
      </c>
      <c r="M217" s="12" t="s">
        <v>55</v>
      </c>
      <c r="N217" s="12" t="str">
        <f>tblSites[[#This Row],[FinalImplementingPartner]]</f>
        <v>No SMA</v>
      </c>
    </row>
    <row r="218" spans="1:14" x14ac:dyDescent="0.25">
      <c r="A218" s="12" t="s">
        <v>2375</v>
      </c>
      <c r="B218" s="12" t="s">
        <v>2376</v>
      </c>
      <c r="C218" s="12" t="s">
        <v>2377</v>
      </c>
      <c r="D218" t="s">
        <v>5313</v>
      </c>
      <c r="E218" s="12" t="s">
        <v>3178</v>
      </c>
      <c r="F218" s="12" t="s">
        <v>154</v>
      </c>
      <c r="G218" s="12" t="s">
        <v>5336</v>
      </c>
      <c r="H218" s="12" t="s">
        <v>2376</v>
      </c>
      <c r="I218" s="84">
        <v>26501147</v>
      </c>
      <c r="J218" s="12" t="s">
        <v>5102</v>
      </c>
      <c r="L218" s="12" t="str">
        <f>IF(OR(ISBLANK(tblSites[[#This Row],[Implementing Partner]]), tblSites[[#This Row],[Implementing Partner]]="-"), tblSites[[#This Row],[Site Agency]], tblSites[[#This Row],[Implementing Partner]])</f>
        <v>No SMA</v>
      </c>
      <c r="M218" s="12" t="s">
        <v>55</v>
      </c>
      <c r="N218" s="12" t="str">
        <f>tblSites[[#This Row],[FinalImplementingPartner]]</f>
        <v>No SMA</v>
      </c>
    </row>
    <row r="219" spans="1:14" x14ac:dyDescent="0.25">
      <c r="A219" s="12" t="s">
        <v>2670</v>
      </c>
      <c r="B219" s="12" t="s">
        <v>2671</v>
      </c>
      <c r="C219" s="12" t="s">
        <v>2672</v>
      </c>
      <c r="D219" t="s">
        <v>5313</v>
      </c>
      <c r="E219" s="12" t="s">
        <v>3178</v>
      </c>
      <c r="F219" s="12" t="s">
        <v>1212</v>
      </c>
      <c r="G219" s="12" t="s">
        <v>5335</v>
      </c>
      <c r="H219" s="12" t="s">
        <v>2671</v>
      </c>
      <c r="I219" s="84">
        <v>2650597</v>
      </c>
      <c r="J219" s="12" t="s">
        <v>5102</v>
      </c>
      <c r="L219" s="12" t="str">
        <f>IF(OR(ISBLANK(tblSites[[#This Row],[Implementing Partner]]), tblSites[[#This Row],[Implementing Partner]]="-"), tblSites[[#This Row],[Site Agency]], tblSites[[#This Row],[Implementing Partner]])</f>
        <v>No SMA</v>
      </c>
      <c r="M219" s="12" t="s">
        <v>55</v>
      </c>
      <c r="N219" s="12" t="str">
        <f>tblSites[[#This Row],[FinalImplementingPartner]]</f>
        <v>No SMA</v>
      </c>
    </row>
    <row r="220" spans="1:14" x14ac:dyDescent="0.25">
      <c r="A220" s="12" t="s">
        <v>2190</v>
      </c>
      <c r="B220" s="12" t="s">
        <v>2191</v>
      </c>
      <c r="C220" s="12" t="s">
        <v>593</v>
      </c>
      <c r="D220" t="s">
        <v>5313</v>
      </c>
      <c r="E220" s="12" t="s">
        <v>3178</v>
      </c>
      <c r="F220" s="12" t="s">
        <v>564</v>
      </c>
      <c r="G220" s="12" t="s">
        <v>5348</v>
      </c>
      <c r="H220" s="12" t="s">
        <v>2191</v>
      </c>
      <c r="I220" s="84">
        <v>2651090</v>
      </c>
      <c r="J220" s="12" t="s">
        <v>5102</v>
      </c>
      <c r="L220" s="12" t="str">
        <f>IF(OR(ISBLANK(tblSites[[#This Row],[Implementing Partner]]), tblSites[[#This Row],[Implementing Partner]]="-"), tblSites[[#This Row],[Site Agency]], tblSites[[#This Row],[Implementing Partner]])</f>
        <v>No SMA</v>
      </c>
      <c r="M220" s="12" t="s">
        <v>55</v>
      </c>
      <c r="N220" s="12" t="str">
        <f>tblSites[[#This Row],[FinalImplementingPartner]]</f>
        <v>No SMA</v>
      </c>
    </row>
    <row r="221" spans="1:14" x14ac:dyDescent="0.25">
      <c r="A221" s="12" t="s">
        <v>501</v>
      </c>
      <c r="B221" s="12" t="s">
        <v>502</v>
      </c>
      <c r="C221" s="12" t="s">
        <v>503</v>
      </c>
      <c r="D221" t="s">
        <v>5313</v>
      </c>
      <c r="E221" s="12" t="s">
        <v>3178</v>
      </c>
      <c r="F221" s="12" t="s">
        <v>504</v>
      </c>
      <c r="G221" s="12" t="s">
        <v>5367</v>
      </c>
      <c r="H221" s="12" t="s">
        <v>502</v>
      </c>
      <c r="I221" s="84">
        <v>2650576</v>
      </c>
      <c r="J221" s="12" t="s">
        <v>5</v>
      </c>
      <c r="K221" s="12" t="s">
        <v>83</v>
      </c>
      <c r="L221" s="12" t="str">
        <f>IF(OR(ISBLANK(tblSites[[#This Row],[Implementing Partner]]), tblSites[[#This Row],[Implementing Partner]]="-"), tblSites[[#This Row],[Site Agency]], tblSites[[#This Row],[Implementing Partner]])</f>
        <v>CESVI</v>
      </c>
      <c r="M221" s="12" t="s">
        <v>55</v>
      </c>
      <c r="N221" s="12" t="str">
        <f>tblSites[[#This Row],[FinalImplementingPartner]]</f>
        <v>CESVI</v>
      </c>
    </row>
    <row r="222" spans="1:14" x14ac:dyDescent="0.25">
      <c r="A222" s="12" t="s">
        <v>2673</v>
      </c>
      <c r="B222" s="12" t="s">
        <v>2674</v>
      </c>
      <c r="C222" s="12" t="s">
        <v>2675</v>
      </c>
      <c r="D222" t="s">
        <v>5313</v>
      </c>
      <c r="E222" s="12" t="s">
        <v>3178</v>
      </c>
      <c r="F222" s="12" t="s">
        <v>1212</v>
      </c>
      <c r="G222" s="12" t="s">
        <v>5335</v>
      </c>
      <c r="H222" s="12" t="s">
        <v>2674</v>
      </c>
      <c r="I222" s="84">
        <v>2650597</v>
      </c>
      <c r="J222" s="12" t="s">
        <v>5102</v>
      </c>
      <c r="L222" s="12" t="str">
        <f>IF(OR(ISBLANK(tblSites[[#This Row],[Implementing Partner]]), tblSites[[#This Row],[Implementing Partner]]="-"), tblSites[[#This Row],[Site Agency]], tblSites[[#This Row],[Implementing Partner]])</f>
        <v>No SMA</v>
      </c>
      <c r="M222" s="12" t="s">
        <v>55</v>
      </c>
      <c r="N222" s="12" t="str">
        <f>tblSites[[#This Row],[FinalImplementingPartner]]</f>
        <v>No SMA</v>
      </c>
    </row>
    <row r="223" spans="1:14" x14ac:dyDescent="0.25">
      <c r="A223" s="12" t="s">
        <v>2503</v>
      </c>
      <c r="B223" s="12" t="s">
        <v>2504</v>
      </c>
      <c r="C223" s="12" t="s">
        <v>2505</v>
      </c>
      <c r="D223" t="s">
        <v>5313</v>
      </c>
      <c r="E223" s="12" t="s">
        <v>3178</v>
      </c>
      <c r="F223" s="12" t="s">
        <v>361</v>
      </c>
      <c r="G223" s="12" t="s">
        <v>5333</v>
      </c>
      <c r="H223" s="12" t="s">
        <v>2504</v>
      </c>
      <c r="I223" s="84">
        <v>2651099</v>
      </c>
      <c r="J223" s="12" t="s">
        <v>5102</v>
      </c>
      <c r="L223" s="12" t="str">
        <f>IF(OR(ISBLANK(tblSites[[#This Row],[Implementing Partner]]), tblSites[[#This Row],[Implementing Partner]]="-"), tblSites[[#This Row],[Site Agency]], tblSites[[#This Row],[Implementing Partner]])</f>
        <v>No SMA</v>
      </c>
      <c r="M223" s="12" t="s">
        <v>55</v>
      </c>
      <c r="N223" s="12" t="str">
        <f>tblSites[[#This Row],[FinalImplementingPartner]]</f>
        <v>No SMA</v>
      </c>
    </row>
    <row r="224" spans="1:14" x14ac:dyDescent="0.25">
      <c r="A224" s="12" t="s">
        <v>2034</v>
      </c>
      <c r="B224" s="12" t="s">
        <v>2035</v>
      </c>
      <c r="C224" s="12" t="s">
        <v>2036</v>
      </c>
      <c r="D224" t="s">
        <v>5313</v>
      </c>
      <c r="E224" s="12" t="s">
        <v>3178</v>
      </c>
      <c r="F224" s="12" t="s">
        <v>974</v>
      </c>
      <c r="G224" s="12" t="s">
        <v>5362</v>
      </c>
      <c r="H224" s="12" t="s">
        <v>2035</v>
      </c>
      <c r="I224" s="84">
        <v>2651089</v>
      </c>
      <c r="J224" s="12" t="s">
        <v>5102</v>
      </c>
      <c r="L224" s="12" t="str">
        <f>IF(OR(ISBLANK(tblSites[[#This Row],[Implementing Partner]]), tblSites[[#This Row],[Implementing Partner]]="-"), tblSites[[#This Row],[Site Agency]], tblSites[[#This Row],[Implementing Partner]])</f>
        <v>No SMA</v>
      </c>
      <c r="M224" s="12" t="s">
        <v>55</v>
      </c>
      <c r="N224" s="12" t="str">
        <f>tblSites[[#This Row],[FinalImplementingPartner]]</f>
        <v>No SMA</v>
      </c>
    </row>
    <row r="225" spans="1:14" x14ac:dyDescent="0.25">
      <c r="A225" s="12" t="s">
        <v>2085</v>
      </c>
      <c r="B225" s="12" t="s">
        <v>2086</v>
      </c>
      <c r="C225" s="12" t="s">
        <v>2087</v>
      </c>
      <c r="D225" t="s">
        <v>5313</v>
      </c>
      <c r="E225" s="12" t="s">
        <v>3178</v>
      </c>
      <c r="F225" s="12" t="s">
        <v>564</v>
      </c>
      <c r="G225" s="12" t="s">
        <v>5348</v>
      </c>
      <c r="H225" s="12" t="s">
        <v>2086</v>
      </c>
      <c r="I225" s="84">
        <v>2651090</v>
      </c>
      <c r="J225" s="12" t="s">
        <v>5102</v>
      </c>
      <c r="L225" s="12" t="str">
        <f>IF(OR(ISBLANK(tblSites[[#This Row],[Implementing Partner]]), tblSites[[#This Row],[Implementing Partner]]="-"), tblSites[[#This Row],[Site Agency]], tblSites[[#This Row],[Implementing Partner]])</f>
        <v>No SMA</v>
      </c>
      <c r="M225" s="12" t="s">
        <v>55</v>
      </c>
      <c r="N225" s="12" t="str">
        <f>tblSites[[#This Row],[FinalImplementingPartner]]</f>
        <v>No SMA</v>
      </c>
    </row>
    <row r="226" spans="1:14" x14ac:dyDescent="0.25">
      <c r="A226" s="12" t="s">
        <v>2172</v>
      </c>
      <c r="B226" s="12" t="s">
        <v>2173</v>
      </c>
      <c r="C226" s="12" t="s">
        <v>2174</v>
      </c>
      <c r="D226" t="s">
        <v>5313</v>
      </c>
      <c r="E226" s="12" t="s">
        <v>3178</v>
      </c>
      <c r="F226" s="12" t="s">
        <v>564</v>
      </c>
      <c r="G226" s="12" t="s">
        <v>5348</v>
      </c>
      <c r="H226" s="12" t="s">
        <v>2173</v>
      </c>
      <c r="I226" s="84">
        <v>2651090</v>
      </c>
      <c r="J226" s="12" t="s">
        <v>5102</v>
      </c>
      <c r="L226" s="12" t="str">
        <f>IF(OR(ISBLANK(tblSites[[#This Row],[Implementing Partner]]), tblSites[[#This Row],[Implementing Partner]]="-"), tblSites[[#This Row],[Site Agency]], tblSites[[#This Row],[Implementing Partner]])</f>
        <v>No SMA</v>
      </c>
      <c r="M226" s="12" t="s">
        <v>55</v>
      </c>
      <c r="N226" s="12" t="str">
        <f>tblSites[[#This Row],[FinalImplementingPartner]]</f>
        <v>No SMA</v>
      </c>
    </row>
    <row r="227" spans="1:14" x14ac:dyDescent="0.25">
      <c r="A227" s="12" t="s">
        <v>2676</v>
      </c>
      <c r="B227" s="12" t="s">
        <v>3996</v>
      </c>
      <c r="C227" s="12" t="s">
        <v>5275</v>
      </c>
      <c r="D227" t="s">
        <v>5313</v>
      </c>
      <c r="E227" s="12" t="s">
        <v>3178</v>
      </c>
      <c r="F227" s="12" t="s">
        <v>349</v>
      </c>
      <c r="G227" s="12" t="s">
        <v>5350</v>
      </c>
      <c r="H227" s="12" t="s">
        <v>3996</v>
      </c>
      <c r="I227" s="84">
        <v>26510152</v>
      </c>
      <c r="J227" s="12" t="s">
        <v>5</v>
      </c>
      <c r="K227" s="12" t="s">
        <v>119</v>
      </c>
      <c r="L227" s="12" t="str">
        <f>IF(OR(ISBLANK(tblSites[[#This Row],[Implementing Partner]]), tblSites[[#This Row],[Implementing Partner]]="-"), tblSites[[#This Row],[Site Agency]], tblSites[[#This Row],[Implementing Partner]])</f>
        <v>BLDA</v>
      </c>
      <c r="M227" s="12" t="s">
        <v>55</v>
      </c>
      <c r="N227" s="12" t="str">
        <f>tblSites[[#This Row],[FinalImplementingPartner]]</f>
        <v>BLDA</v>
      </c>
    </row>
    <row r="228" spans="1:14" x14ac:dyDescent="0.25">
      <c r="A228" s="12" t="s">
        <v>2479</v>
      </c>
      <c r="B228" s="12" t="s">
        <v>2480</v>
      </c>
      <c r="C228" s="12" t="s">
        <v>2481</v>
      </c>
      <c r="D228" t="s">
        <v>5313</v>
      </c>
      <c r="E228" s="12" t="s">
        <v>3178</v>
      </c>
      <c r="F228" s="12" t="s">
        <v>1724</v>
      </c>
      <c r="G228" s="12" t="s">
        <v>5334</v>
      </c>
      <c r="H228" s="12" t="s">
        <v>2480</v>
      </c>
      <c r="I228" s="84">
        <v>26510151</v>
      </c>
      <c r="J228" s="12" t="s">
        <v>5102</v>
      </c>
      <c r="L228" s="12" t="str">
        <f>IF(OR(ISBLANK(tblSites[[#This Row],[Implementing Partner]]), tblSites[[#This Row],[Implementing Partner]]="-"), tblSites[[#This Row],[Site Agency]], tblSites[[#This Row],[Implementing Partner]])</f>
        <v>No SMA</v>
      </c>
      <c r="M228" s="12" t="s">
        <v>55</v>
      </c>
      <c r="N228" s="12" t="str">
        <f>tblSites[[#This Row],[FinalImplementingPartner]]</f>
        <v>No SMA</v>
      </c>
    </row>
    <row r="229" spans="1:14" x14ac:dyDescent="0.25">
      <c r="A229" s="12" t="s">
        <v>2394</v>
      </c>
      <c r="B229" s="12" t="s">
        <v>2395</v>
      </c>
      <c r="C229" s="12" t="s">
        <v>2360</v>
      </c>
      <c r="D229" t="s">
        <v>5313</v>
      </c>
      <c r="E229" s="12" t="s">
        <v>3178</v>
      </c>
      <c r="F229" s="12" t="s">
        <v>154</v>
      </c>
      <c r="G229" s="12" t="s">
        <v>5361</v>
      </c>
      <c r="H229" s="12" t="s">
        <v>2395</v>
      </c>
      <c r="I229" s="84">
        <v>26501147</v>
      </c>
      <c r="J229" s="12" t="s">
        <v>35</v>
      </c>
      <c r="L229" s="12" t="str">
        <f>IF(OR(ISBLANK(tblSites[[#This Row],[Implementing Partner]]), tblSites[[#This Row],[Implementing Partner]]="-"), tblSites[[#This Row],[Site Agency]], tblSites[[#This Row],[Implementing Partner]])</f>
        <v>NRC</v>
      </c>
      <c r="M229" s="12" t="s">
        <v>55</v>
      </c>
      <c r="N229" s="12" t="str">
        <f>tblSites[[#This Row],[FinalImplementingPartner]]</f>
        <v>NRC</v>
      </c>
    </row>
    <row r="230" spans="1:14" x14ac:dyDescent="0.25">
      <c r="A230" s="12" t="s">
        <v>2677</v>
      </c>
      <c r="B230" s="12" t="s">
        <v>1122</v>
      </c>
      <c r="C230" s="12" t="s">
        <v>2678</v>
      </c>
      <c r="D230" t="s">
        <v>5313</v>
      </c>
      <c r="E230" s="12" t="s">
        <v>3178</v>
      </c>
      <c r="F230" s="12" t="s">
        <v>985</v>
      </c>
      <c r="G230" s="12" t="s">
        <v>5345</v>
      </c>
      <c r="H230" s="12" t="s">
        <v>1122</v>
      </c>
      <c r="I230" s="84">
        <v>2650579</v>
      </c>
      <c r="J230" s="12" t="s">
        <v>5102</v>
      </c>
      <c r="L230" s="12" t="str">
        <f>IF(OR(ISBLANK(tblSites[[#This Row],[Implementing Partner]]), tblSites[[#This Row],[Implementing Partner]]="-"), tblSites[[#This Row],[Site Agency]], tblSites[[#This Row],[Implementing Partner]])</f>
        <v>No SMA</v>
      </c>
      <c r="M230" s="12" t="s">
        <v>55</v>
      </c>
      <c r="N230" s="12" t="str">
        <f>tblSites[[#This Row],[FinalImplementingPartner]]</f>
        <v>No SMA</v>
      </c>
    </row>
    <row r="231" spans="1:14" x14ac:dyDescent="0.25">
      <c r="A231" s="12" t="s">
        <v>2361</v>
      </c>
      <c r="B231" s="12" t="s">
        <v>2362</v>
      </c>
      <c r="C231" s="12" t="s">
        <v>2363</v>
      </c>
      <c r="D231" t="s">
        <v>5313</v>
      </c>
      <c r="E231" s="12" t="s">
        <v>3178</v>
      </c>
      <c r="F231" s="12" t="s">
        <v>154</v>
      </c>
      <c r="G231" s="12" t="s">
        <v>5336</v>
      </c>
      <c r="H231" s="12" t="s">
        <v>2362</v>
      </c>
      <c r="I231" s="84">
        <v>26501147</v>
      </c>
      <c r="J231" s="12" t="s">
        <v>5102</v>
      </c>
      <c r="L231" s="12" t="str">
        <f>IF(OR(ISBLANK(tblSites[[#This Row],[Implementing Partner]]), tblSites[[#This Row],[Implementing Partner]]="-"), tblSites[[#This Row],[Site Agency]], tblSites[[#This Row],[Implementing Partner]])</f>
        <v>No SMA</v>
      </c>
      <c r="M231" s="12" t="s">
        <v>55</v>
      </c>
      <c r="N231" s="12" t="str">
        <f>tblSites[[#This Row],[FinalImplementingPartner]]</f>
        <v>No SMA</v>
      </c>
    </row>
    <row r="232" spans="1:14" x14ac:dyDescent="0.25">
      <c r="A232" s="12" t="s">
        <v>1755</v>
      </c>
      <c r="B232" s="12" t="s">
        <v>1756</v>
      </c>
      <c r="C232" s="12" t="s">
        <v>1757</v>
      </c>
      <c r="D232" t="s">
        <v>5313</v>
      </c>
      <c r="E232" s="12" t="s">
        <v>3178</v>
      </c>
      <c r="F232" s="12" t="s">
        <v>97</v>
      </c>
      <c r="G232" s="12" t="s">
        <v>5343</v>
      </c>
      <c r="H232" s="12" t="s">
        <v>1756</v>
      </c>
      <c r="I232" s="84">
        <v>2650595</v>
      </c>
      <c r="J232" s="12" t="s">
        <v>5102</v>
      </c>
      <c r="L232" s="12" t="str">
        <f>IF(OR(ISBLANK(tblSites[[#This Row],[Implementing Partner]]), tblSites[[#This Row],[Implementing Partner]]="-"), tblSites[[#This Row],[Site Agency]], tblSites[[#This Row],[Implementing Partner]])</f>
        <v>No SMA</v>
      </c>
      <c r="M232" s="12" t="s">
        <v>55</v>
      </c>
      <c r="N232" s="12" t="str">
        <f>tblSites[[#This Row],[FinalImplementingPartner]]</f>
        <v>No SMA</v>
      </c>
    </row>
    <row r="233" spans="1:14" x14ac:dyDescent="0.25">
      <c r="A233" s="12" t="s">
        <v>717</v>
      </c>
      <c r="B233" s="12" t="s">
        <v>718</v>
      </c>
      <c r="C233" s="12" t="s">
        <v>719</v>
      </c>
      <c r="D233" t="s">
        <v>5313</v>
      </c>
      <c r="E233" s="12" t="s">
        <v>3178</v>
      </c>
      <c r="F233" s="12" t="s">
        <v>125</v>
      </c>
      <c r="G233" s="12" t="s">
        <v>5368</v>
      </c>
      <c r="H233" s="12" t="s">
        <v>718</v>
      </c>
      <c r="I233" s="84">
        <v>2651094</v>
      </c>
      <c r="J233" s="12" t="s">
        <v>34</v>
      </c>
      <c r="K233" s="12" t="s">
        <v>359</v>
      </c>
      <c r="L233" s="12" t="str">
        <f>IF(OR(ISBLANK(tblSites[[#This Row],[Implementing Partner]]), tblSites[[#This Row],[Implementing Partner]]="-"), tblSites[[#This Row],[Site Agency]], tblSites[[#This Row],[Implementing Partner]])</f>
        <v>FAFD</v>
      </c>
      <c r="M233" s="12" t="s">
        <v>55</v>
      </c>
      <c r="N233" s="12" t="str">
        <f>tblSites[[#This Row],[FinalImplementingPartner]]</f>
        <v>FAFD</v>
      </c>
    </row>
    <row r="234" spans="1:14" x14ac:dyDescent="0.25">
      <c r="A234" s="12" t="s">
        <v>2391</v>
      </c>
      <c r="B234" s="12" t="s">
        <v>2392</v>
      </c>
      <c r="C234" s="12" t="s">
        <v>2393</v>
      </c>
      <c r="D234" t="s">
        <v>5313</v>
      </c>
      <c r="E234" s="12" t="s">
        <v>3178</v>
      </c>
      <c r="F234" s="12" t="s">
        <v>154</v>
      </c>
      <c r="G234" s="12" t="s">
        <v>5336</v>
      </c>
      <c r="H234" s="12" t="s">
        <v>2392</v>
      </c>
      <c r="I234" s="84">
        <v>26501147</v>
      </c>
      <c r="J234" s="12" t="s">
        <v>5102</v>
      </c>
      <c r="L234" s="12" t="str">
        <f>IF(OR(ISBLANK(tblSites[[#This Row],[Implementing Partner]]), tblSites[[#This Row],[Implementing Partner]]="-"), tblSites[[#This Row],[Site Agency]], tblSites[[#This Row],[Implementing Partner]])</f>
        <v>No SMA</v>
      </c>
      <c r="M234" s="12" t="s">
        <v>55</v>
      </c>
      <c r="N234" s="12" t="str">
        <f>tblSites[[#This Row],[FinalImplementingPartner]]</f>
        <v>No SMA</v>
      </c>
    </row>
    <row r="235" spans="1:14" x14ac:dyDescent="0.25">
      <c r="A235" s="12" t="s">
        <v>1450</v>
      </c>
      <c r="B235" s="12" t="s">
        <v>1451</v>
      </c>
      <c r="C235" s="12" t="s">
        <v>1452</v>
      </c>
      <c r="D235" t="s">
        <v>5313</v>
      </c>
      <c r="E235" s="12" t="s">
        <v>3178</v>
      </c>
      <c r="F235" s="12" t="s">
        <v>985</v>
      </c>
      <c r="G235" s="12" t="s">
        <v>5369</v>
      </c>
      <c r="H235" s="12" t="s">
        <v>1451</v>
      </c>
      <c r="I235" s="84">
        <v>2650579</v>
      </c>
      <c r="J235" s="12" t="s">
        <v>35</v>
      </c>
      <c r="L235" s="12" t="str">
        <f>IF(OR(ISBLANK(tblSites[[#This Row],[Implementing Partner]]), tblSites[[#This Row],[Implementing Partner]]="-"), tblSites[[#This Row],[Site Agency]], tblSites[[#This Row],[Implementing Partner]])</f>
        <v>NRC</v>
      </c>
      <c r="M235" s="12" t="s">
        <v>55</v>
      </c>
      <c r="N235" s="12" t="str">
        <f>tblSites[[#This Row],[FinalImplementingPartner]]</f>
        <v>NRC</v>
      </c>
    </row>
    <row r="236" spans="1:14" x14ac:dyDescent="0.25">
      <c r="A236" s="12" t="s">
        <v>1502</v>
      </c>
      <c r="B236" s="12" t="s">
        <v>1503</v>
      </c>
      <c r="C236" s="12" t="s">
        <v>1504</v>
      </c>
      <c r="D236" t="s">
        <v>5313</v>
      </c>
      <c r="E236" s="12" t="s">
        <v>3178</v>
      </c>
      <c r="F236" s="12" t="s">
        <v>985</v>
      </c>
      <c r="G236" s="12" t="s">
        <v>5345</v>
      </c>
      <c r="H236" s="12" t="s">
        <v>1503</v>
      </c>
      <c r="I236" s="84">
        <v>2650579</v>
      </c>
      <c r="J236" s="12" t="s">
        <v>5102</v>
      </c>
      <c r="L236" s="12" t="str">
        <f>IF(OR(ISBLANK(tblSites[[#This Row],[Implementing Partner]]), tblSites[[#This Row],[Implementing Partner]]="-"), tblSites[[#This Row],[Site Agency]], tblSites[[#This Row],[Implementing Partner]])</f>
        <v>No SMA</v>
      </c>
      <c r="M236" s="12" t="s">
        <v>55</v>
      </c>
      <c r="N236" s="12" t="str">
        <f>tblSites[[#This Row],[FinalImplementingPartner]]</f>
        <v>No SMA</v>
      </c>
    </row>
    <row r="237" spans="1:14" x14ac:dyDescent="0.25">
      <c r="A237" s="12" t="s">
        <v>1826</v>
      </c>
      <c r="B237" s="12" t="s">
        <v>1827</v>
      </c>
      <c r="C237" s="12" t="s">
        <v>1828</v>
      </c>
      <c r="D237" t="s">
        <v>5313</v>
      </c>
      <c r="E237" s="12" t="s">
        <v>3178</v>
      </c>
      <c r="F237" s="12" t="s">
        <v>1789</v>
      </c>
      <c r="G237" s="12" t="s">
        <v>5364</v>
      </c>
      <c r="H237" s="12" t="s">
        <v>1827</v>
      </c>
      <c r="I237" s="84">
        <v>2651037</v>
      </c>
      <c r="J237" s="12" t="s">
        <v>5102</v>
      </c>
      <c r="L237" s="12" t="str">
        <f>IF(OR(ISBLANK(tblSites[[#This Row],[Implementing Partner]]), tblSites[[#This Row],[Implementing Partner]]="-"), tblSites[[#This Row],[Site Agency]], tblSites[[#This Row],[Implementing Partner]])</f>
        <v>No SMA</v>
      </c>
      <c r="M237" s="12" t="s">
        <v>55</v>
      </c>
      <c r="N237" s="12" t="str">
        <f>tblSites[[#This Row],[FinalImplementingPartner]]</f>
        <v>No SMA</v>
      </c>
    </row>
    <row r="238" spans="1:14" x14ac:dyDescent="0.25">
      <c r="A238" s="12" t="s">
        <v>1352</v>
      </c>
      <c r="B238" s="12" t="s">
        <v>1353</v>
      </c>
      <c r="C238" s="12" t="s">
        <v>1354</v>
      </c>
      <c r="D238" t="s">
        <v>5313</v>
      </c>
      <c r="E238" s="12" t="s">
        <v>3178</v>
      </c>
      <c r="F238" s="12" t="s">
        <v>568</v>
      </c>
      <c r="G238" s="12" t="s">
        <v>5370</v>
      </c>
      <c r="H238" s="12" t="s">
        <v>1353</v>
      </c>
      <c r="I238" s="84">
        <v>2650596</v>
      </c>
      <c r="J238" s="12" t="s">
        <v>5102</v>
      </c>
      <c r="L238" s="12" t="str">
        <f>IF(OR(ISBLANK(tblSites[[#This Row],[Implementing Partner]]), tblSites[[#This Row],[Implementing Partner]]="-"), tblSites[[#This Row],[Site Agency]], tblSites[[#This Row],[Implementing Partner]])</f>
        <v>No SMA</v>
      </c>
      <c r="M238" s="12" t="s">
        <v>55</v>
      </c>
      <c r="N238" s="12" t="str">
        <f>tblSites[[#This Row],[FinalImplementingPartner]]</f>
        <v>No SMA</v>
      </c>
    </row>
    <row r="239" spans="1:14" x14ac:dyDescent="0.25">
      <c r="A239" s="12" t="s">
        <v>2488</v>
      </c>
      <c r="B239" s="12" t="s">
        <v>258</v>
      </c>
      <c r="C239" s="12" t="s">
        <v>986</v>
      </c>
      <c r="D239" t="s">
        <v>5313</v>
      </c>
      <c r="E239" s="12" t="s">
        <v>3178</v>
      </c>
      <c r="F239" s="12" t="s">
        <v>1724</v>
      </c>
      <c r="G239" s="12" t="s">
        <v>5334</v>
      </c>
      <c r="H239" s="12" t="s">
        <v>258</v>
      </c>
      <c r="I239" s="84">
        <v>26510151</v>
      </c>
      <c r="J239" s="12" t="s">
        <v>5102</v>
      </c>
      <c r="L239" s="12" t="str">
        <f>IF(OR(ISBLANK(tblSites[[#This Row],[Implementing Partner]]), tblSites[[#This Row],[Implementing Partner]]="-"), tblSites[[#This Row],[Site Agency]], tblSites[[#This Row],[Implementing Partner]])</f>
        <v>No SMA</v>
      </c>
      <c r="M239" s="12" t="s">
        <v>55</v>
      </c>
      <c r="N239" s="12" t="str">
        <f>tblSites[[#This Row],[FinalImplementingPartner]]</f>
        <v>No SMA</v>
      </c>
    </row>
    <row r="240" spans="1:14" x14ac:dyDescent="0.25">
      <c r="A240" s="12" t="s">
        <v>1706</v>
      </c>
      <c r="B240" s="12" t="s">
        <v>1707</v>
      </c>
      <c r="C240" s="12" t="s">
        <v>1708</v>
      </c>
      <c r="D240" t="s">
        <v>5313</v>
      </c>
      <c r="E240" s="12" t="s">
        <v>3178</v>
      </c>
      <c r="F240" s="12" t="s">
        <v>349</v>
      </c>
      <c r="G240" s="12" t="s">
        <v>5327</v>
      </c>
      <c r="H240" s="12" t="s">
        <v>1707</v>
      </c>
      <c r="I240" s="84">
        <v>26510152</v>
      </c>
      <c r="J240" s="12" t="s">
        <v>5102</v>
      </c>
      <c r="L240" s="12" t="str">
        <f>IF(OR(ISBLANK(tblSites[[#This Row],[Implementing Partner]]), tblSites[[#This Row],[Implementing Partner]]="-"), tblSites[[#This Row],[Site Agency]], tblSites[[#This Row],[Implementing Partner]])</f>
        <v>No SMA</v>
      </c>
      <c r="M240" s="12" t="s">
        <v>55</v>
      </c>
      <c r="N240" s="12" t="str">
        <f>tblSites[[#This Row],[FinalImplementingPartner]]</f>
        <v>No SMA</v>
      </c>
    </row>
    <row r="241" spans="1:14" x14ac:dyDescent="0.25">
      <c r="A241" s="12" t="s">
        <v>2679</v>
      </c>
      <c r="B241" s="12" t="s">
        <v>2680</v>
      </c>
      <c r="C241" s="12" t="s">
        <v>2681</v>
      </c>
      <c r="D241" t="s">
        <v>5313</v>
      </c>
      <c r="E241" s="12" t="s">
        <v>3178</v>
      </c>
      <c r="F241" s="12" t="s">
        <v>349</v>
      </c>
      <c r="G241" s="12" t="s">
        <v>5327</v>
      </c>
      <c r="H241" s="12" t="s">
        <v>2680</v>
      </c>
      <c r="I241" s="84">
        <v>26510152</v>
      </c>
      <c r="J241" s="12" t="s">
        <v>5102</v>
      </c>
      <c r="L241" s="12" t="str">
        <f>IF(OR(ISBLANK(tblSites[[#This Row],[Implementing Partner]]), tblSites[[#This Row],[Implementing Partner]]="-"), tblSites[[#This Row],[Site Agency]], tblSites[[#This Row],[Implementing Partner]])</f>
        <v>No SMA</v>
      </c>
      <c r="M241" s="12" t="s">
        <v>55</v>
      </c>
      <c r="N241" s="12" t="str">
        <f>tblSites[[#This Row],[FinalImplementingPartner]]</f>
        <v>No SMA</v>
      </c>
    </row>
    <row r="242" spans="1:14" x14ac:dyDescent="0.25">
      <c r="A242" s="12" t="s">
        <v>2333</v>
      </c>
      <c r="B242" s="12" t="s">
        <v>2334</v>
      </c>
      <c r="C242" s="12" t="s">
        <v>2335</v>
      </c>
      <c r="D242" t="s">
        <v>5313</v>
      </c>
      <c r="E242" s="12" t="s">
        <v>3178</v>
      </c>
      <c r="F242" s="12" t="s">
        <v>154</v>
      </c>
      <c r="G242" s="12" t="s">
        <v>5336</v>
      </c>
      <c r="H242" s="12" t="s">
        <v>2334</v>
      </c>
      <c r="I242" s="84">
        <v>26501147</v>
      </c>
      <c r="J242" s="12" t="s">
        <v>5102</v>
      </c>
      <c r="L242" s="12" t="str">
        <f>IF(OR(ISBLANK(tblSites[[#This Row],[Implementing Partner]]), tblSites[[#This Row],[Implementing Partner]]="-"), tblSites[[#This Row],[Site Agency]], tblSites[[#This Row],[Implementing Partner]])</f>
        <v>No SMA</v>
      </c>
      <c r="M242" s="12" t="s">
        <v>55</v>
      </c>
      <c r="N242" s="12" t="str">
        <f>tblSites[[#This Row],[FinalImplementingPartner]]</f>
        <v>No SMA</v>
      </c>
    </row>
    <row r="243" spans="1:14" x14ac:dyDescent="0.25">
      <c r="A243" s="12" t="s">
        <v>2551</v>
      </c>
      <c r="B243" s="12" t="s">
        <v>523</v>
      </c>
      <c r="C243" s="12" t="s">
        <v>389</v>
      </c>
      <c r="D243" t="s">
        <v>5313</v>
      </c>
      <c r="E243" s="12" t="s">
        <v>3178</v>
      </c>
      <c r="F243" s="12" t="s">
        <v>125</v>
      </c>
      <c r="G243" s="12" t="s">
        <v>5342</v>
      </c>
      <c r="H243" s="12" t="s">
        <v>523</v>
      </c>
      <c r="I243" s="84">
        <v>2651094</v>
      </c>
      <c r="J243" s="12" t="s">
        <v>5102</v>
      </c>
      <c r="L243" s="12" t="str">
        <f>IF(OR(ISBLANK(tblSites[[#This Row],[Implementing Partner]]), tblSites[[#This Row],[Implementing Partner]]="-"), tblSites[[#This Row],[Site Agency]], tblSites[[#This Row],[Implementing Partner]])</f>
        <v>No SMA</v>
      </c>
      <c r="M243" s="12" t="s">
        <v>55</v>
      </c>
      <c r="N243" s="12" t="str">
        <f>tblSites[[#This Row],[FinalImplementingPartner]]</f>
        <v>No SMA</v>
      </c>
    </row>
    <row r="244" spans="1:14" x14ac:dyDescent="0.25">
      <c r="A244" s="12" t="s">
        <v>2461</v>
      </c>
      <c r="B244" s="12" t="s">
        <v>2462</v>
      </c>
      <c r="C244" s="12" t="s">
        <v>2463</v>
      </c>
      <c r="D244" t="s">
        <v>5313</v>
      </c>
      <c r="E244" s="12" t="s">
        <v>3178</v>
      </c>
      <c r="F244" s="12" t="s">
        <v>349</v>
      </c>
      <c r="G244" s="12" t="s">
        <v>5350</v>
      </c>
      <c r="H244" s="12" t="s">
        <v>2462</v>
      </c>
      <c r="I244" s="84">
        <v>26510152</v>
      </c>
      <c r="J244" s="12" t="s">
        <v>5</v>
      </c>
      <c r="K244" s="12" t="s">
        <v>119</v>
      </c>
      <c r="L244" s="12" t="str">
        <f>IF(OR(ISBLANK(tblSites[[#This Row],[Implementing Partner]]), tblSites[[#This Row],[Implementing Partner]]="-"), tblSites[[#This Row],[Site Agency]], tblSites[[#This Row],[Implementing Partner]])</f>
        <v>BLDA</v>
      </c>
      <c r="M244" s="12" t="s">
        <v>55</v>
      </c>
      <c r="N244" s="12" t="str">
        <f>tblSites[[#This Row],[FinalImplementingPartner]]</f>
        <v>BLDA</v>
      </c>
    </row>
    <row r="245" spans="1:14" x14ac:dyDescent="0.25">
      <c r="A245" s="12" t="s">
        <v>2682</v>
      </c>
      <c r="B245" s="12" t="s">
        <v>2683</v>
      </c>
      <c r="C245" s="12" t="s">
        <v>2572</v>
      </c>
      <c r="D245" t="s">
        <v>5313</v>
      </c>
      <c r="E245" s="12" t="s">
        <v>3178</v>
      </c>
      <c r="F245" s="12" t="s">
        <v>154</v>
      </c>
      <c r="G245" s="12" t="s">
        <v>5336</v>
      </c>
      <c r="H245" s="12" t="s">
        <v>2683</v>
      </c>
      <c r="I245" s="84">
        <v>26501147</v>
      </c>
      <c r="J245" s="12" t="s">
        <v>5102</v>
      </c>
      <c r="L245" s="12" t="str">
        <f>IF(OR(ISBLANK(tblSites[[#This Row],[Implementing Partner]]), tblSites[[#This Row],[Implementing Partner]]="-"), tblSites[[#This Row],[Site Agency]], tblSites[[#This Row],[Implementing Partner]])</f>
        <v>No SMA</v>
      </c>
      <c r="M245" s="12" t="s">
        <v>55</v>
      </c>
      <c r="N245" s="12" t="str">
        <f>tblSites[[#This Row],[FinalImplementingPartner]]</f>
        <v>No SMA</v>
      </c>
    </row>
    <row r="246" spans="1:14" x14ac:dyDescent="0.25">
      <c r="A246" s="12" t="s">
        <v>2132</v>
      </c>
      <c r="B246" s="12" t="s">
        <v>2133</v>
      </c>
      <c r="C246" s="12" t="s">
        <v>2134</v>
      </c>
      <c r="D246" t="s">
        <v>5313</v>
      </c>
      <c r="E246" s="12" t="s">
        <v>3178</v>
      </c>
      <c r="F246" s="12" t="s">
        <v>974</v>
      </c>
      <c r="G246" s="12" t="s">
        <v>5362</v>
      </c>
      <c r="H246" s="12" t="s">
        <v>2133</v>
      </c>
      <c r="I246" s="84">
        <v>2651089</v>
      </c>
      <c r="J246" s="12" t="s">
        <v>5102</v>
      </c>
      <c r="L246" s="12" t="str">
        <f>IF(OR(ISBLANK(tblSites[[#This Row],[Implementing Partner]]), tblSites[[#This Row],[Implementing Partner]]="-"), tblSites[[#This Row],[Site Agency]], tblSites[[#This Row],[Implementing Partner]])</f>
        <v>No SMA</v>
      </c>
      <c r="M246" s="12" t="s">
        <v>55</v>
      </c>
      <c r="N246" s="12" t="str">
        <f>tblSites[[#This Row],[FinalImplementingPartner]]</f>
        <v>No SMA</v>
      </c>
    </row>
    <row r="247" spans="1:14" x14ac:dyDescent="0.25">
      <c r="A247" s="12" t="s">
        <v>2684</v>
      </c>
      <c r="B247" s="12" t="s">
        <v>523</v>
      </c>
      <c r="C247" s="12" t="s">
        <v>2685</v>
      </c>
      <c r="D247" t="s">
        <v>5313</v>
      </c>
      <c r="E247" s="12" t="s">
        <v>3178</v>
      </c>
      <c r="F247" s="12" t="s">
        <v>1983</v>
      </c>
      <c r="G247" s="12" t="s">
        <v>5340</v>
      </c>
      <c r="H247" s="12" t="s">
        <v>523</v>
      </c>
      <c r="I247" s="84">
        <v>2650582</v>
      </c>
      <c r="J247" s="12" t="s">
        <v>5102</v>
      </c>
      <c r="L247" s="12" t="str">
        <f>IF(OR(ISBLANK(tblSites[[#This Row],[Implementing Partner]]), tblSites[[#This Row],[Implementing Partner]]="-"), tblSites[[#This Row],[Site Agency]], tblSites[[#This Row],[Implementing Partner]])</f>
        <v>No SMA</v>
      </c>
      <c r="M247" s="12" t="s">
        <v>55</v>
      </c>
      <c r="N247" s="12" t="str">
        <f>tblSites[[#This Row],[FinalImplementingPartner]]</f>
        <v>No SMA</v>
      </c>
    </row>
    <row r="248" spans="1:14" x14ac:dyDescent="0.25">
      <c r="A248" s="12" t="s">
        <v>2385</v>
      </c>
      <c r="B248" s="12" t="s">
        <v>2386</v>
      </c>
      <c r="C248" s="12" t="s">
        <v>2387</v>
      </c>
      <c r="D248" t="s">
        <v>5313</v>
      </c>
      <c r="E248" s="12" t="s">
        <v>3178</v>
      </c>
      <c r="F248" s="12" t="s">
        <v>154</v>
      </c>
      <c r="G248" s="12" t="s">
        <v>5336</v>
      </c>
      <c r="H248" s="12" t="s">
        <v>2386</v>
      </c>
      <c r="I248" s="84">
        <v>26501147</v>
      </c>
      <c r="J248" s="12" t="s">
        <v>5102</v>
      </c>
      <c r="L248" s="12" t="str">
        <f>IF(OR(ISBLANK(tblSites[[#This Row],[Implementing Partner]]), tblSites[[#This Row],[Implementing Partner]]="-"), tblSites[[#This Row],[Site Agency]], tblSites[[#This Row],[Implementing Partner]])</f>
        <v>No SMA</v>
      </c>
      <c r="M248" s="12" t="s">
        <v>55</v>
      </c>
      <c r="N248" s="12" t="str">
        <f>tblSites[[#This Row],[FinalImplementingPartner]]</f>
        <v>No SMA</v>
      </c>
    </row>
    <row r="249" spans="1:14" x14ac:dyDescent="0.25">
      <c r="A249" s="12" t="s">
        <v>1823</v>
      </c>
      <c r="B249" s="12" t="s">
        <v>1824</v>
      </c>
      <c r="C249" s="12" t="s">
        <v>1825</v>
      </c>
      <c r="D249" t="s">
        <v>5313</v>
      </c>
      <c r="E249" s="12" t="s">
        <v>3178</v>
      </c>
      <c r="F249" s="12" t="s">
        <v>349</v>
      </c>
      <c r="G249" s="12" t="s">
        <v>5357</v>
      </c>
      <c r="H249" s="12" t="s">
        <v>1824</v>
      </c>
      <c r="I249" s="84">
        <v>26510152</v>
      </c>
      <c r="J249" s="12" t="s">
        <v>35</v>
      </c>
      <c r="L249" s="12" t="str">
        <f>IF(OR(ISBLANK(tblSites[[#This Row],[Implementing Partner]]), tblSites[[#This Row],[Implementing Partner]]="-"), tblSites[[#This Row],[Site Agency]], tblSites[[#This Row],[Implementing Partner]])</f>
        <v>NRC</v>
      </c>
      <c r="M249" s="12" t="s">
        <v>55</v>
      </c>
      <c r="N249" s="12" t="str">
        <f>tblSites[[#This Row],[FinalImplementingPartner]]</f>
        <v>NRC</v>
      </c>
    </row>
    <row r="250" spans="1:14" x14ac:dyDescent="0.25">
      <c r="A250" s="12" t="s">
        <v>2687</v>
      </c>
      <c r="B250" s="12" t="s">
        <v>2688</v>
      </c>
      <c r="D250" t="s">
        <v>5313</v>
      </c>
      <c r="E250" s="12" t="s">
        <v>3178</v>
      </c>
      <c r="F250" s="12" t="s">
        <v>985</v>
      </c>
      <c r="G250" s="12" t="s">
        <v>5345</v>
      </c>
      <c r="H250" s="12" t="s">
        <v>2688</v>
      </c>
      <c r="I250" s="84">
        <v>2650579</v>
      </c>
      <c r="J250" s="12" t="s">
        <v>5102</v>
      </c>
      <c r="L250" s="12" t="str">
        <f>IF(OR(ISBLANK(tblSites[[#This Row],[Implementing Partner]]), tblSites[[#This Row],[Implementing Partner]]="-"), tblSites[[#This Row],[Site Agency]], tblSites[[#This Row],[Implementing Partner]])</f>
        <v>No SMA</v>
      </c>
      <c r="M250" s="12" t="s">
        <v>55</v>
      </c>
      <c r="N250" s="12" t="str">
        <f>tblSites[[#This Row],[FinalImplementingPartner]]</f>
        <v>No SMA</v>
      </c>
    </row>
    <row r="251" spans="1:14" x14ac:dyDescent="0.25">
      <c r="A251" s="12" t="s">
        <v>2230</v>
      </c>
      <c r="B251" s="12" t="s">
        <v>2231</v>
      </c>
      <c r="C251" s="12" t="s">
        <v>2232</v>
      </c>
      <c r="D251" t="s">
        <v>5313</v>
      </c>
      <c r="E251" s="12" t="s">
        <v>3178</v>
      </c>
      <c r="F251" s="12" t="s">
        <v>349</v>
      </c>
      <c r="G251" s="12" t="s">
        <v>5327</v>
      </c>
      <c r="H251" s="12" t="s">
        <v>2231</v>
      </c>
      <c r="I251" s="84">
        <v>26510152</v>
      </c>
      <c r="J251" s="12" t="s">
        <v>5102</v>
      </c>
      <c r="L251" s="12" t="str">
        <f>IF(OR(ISBLANK(tblSites[[#This Row],[Implementing Partner]]), tblSites[[#This Row],[Implementing Partner]]="-"), tblSites[[#This Row],[Site Agency]], tblSites[[#This Row],[Implementing Partner]])</f>
        <v>No SMA</v>
      </c>
      <c r="M251" s="12" t="s">
        <v>55</v>
      </c>
      <c r="N251" s="12" t="str">
        <f>tblSites[[#This Row],[FinalImplementingPartner]]</f>
        <v>No SMA</v>
      </c>
    </row>
    <row r="252" spans="1:14" x14ac:dyDescent="0.25">
      <c r="A252" s="12" t="s">
        <v>2689</v>
      </c>
      <c r="B252" s="12" t="s">
        <v>2690</v>
      </c>
      <c r="D252" t="s">
        <v>5313</v>
      </c>
      <c r="E252" s="12" t="s">
        <v>3178</v>
      </c>
      <c r="F252" s="12" t="s">
        <v>97</v>
      </c>
      <c r="G252" s="12" t="s">
        <v>5343</v>
      </c>
      <c r="H252" s="12" t="s">
        <v>2690</v>
      </c>
      <c r="I252" s="84">
        <v>2650575</v>
      </c>
      <c r="J252" s="12" t="s">
        <v>5102</v>
      </c>
      <c r="L252" s="12" t="str">
        <f>IF(OR(ISBLANK(tblSites[[#This Row],[Implementing Partner]]), tblSites[[#This Row],[Implementing Partner]]="-"), tblSites[[#This Row],[Site Agency]], tblSites[[#This Row],[Implementing Partner]])</f>
        <v>No SMA</v>
      </c>
      <c r="M252" s="12" t="s">
        <v>55</v>
      </c>
      <c r="N252" s="12" t="str">
        <f>tblSites[[#This Row],[FinalImplementingPartner]]</f>
        <v>No SMA</v>
      </c>
    </row>
    <row r="253" spans="1:14" x14ac:dyDescent="0.25">
      <c r="A253" s="12" t="s">
        <v>2473</v>
      </c>
      <c r="B253" s="12" t="s">
        <v>2474</v>
      </c>
      <c r="C253" s="12" t="s">
        <v>2475</v>
      </c>
      <c r="D253" t="s">
        <v>5313</v>
      </c>
      <c r="E253" s="12" t="s">
        <v>3178</v>
      </c>
      <c r="F253" s="12" t="s">
        <v>510</v>
      </c>
      <c r="G253" s="12" t="s">
        <v>5346</v>
      </c>
      <c r="H253" s="12" t="s">
        <v>2474</v>
      </c>
      <c r="I253" s="84">
        <v>2650578</v>
      </c>
      <c r="J253" s="12" t="s">
        <v>5102</v>
      </c>
      <c r="L253" s="12" t="str">
        <f>IF(OR(ISBLANK(tblSites[[#This Row],[Implementing Partner]]), tblSites[[#This Row],[Implementing Partner]]="-"), tblSites[[#This Row],[Site Agency]], tblSites[[#This Row],[Implementing Partner]])</f>
        <v>No SMA</v>
      </c>
      <c r="M253" s="12" t="s">
        <v>55</v>
      </c>
      <c r="N253" s="12" t="str">
        <f>tblSites[[#This Row],[FinalImplementingPartner]]</f>
        <v>No SMA</v>
      </c>
    </row>
    <row r="254" spans="1:14" x14ac:dyDescent="0.25">
      <c r="A254" s="12" t="s">
        <v>1645</v>
      </c>
      <c r="B254" s="12" t="s">
        <v>1646</v>
      </c>
      <c r="C254" s="12" t="s">
        <v>1647</v>
      </c>
      <c r="D254" t="s">
        <v>5313</v>
      </c>
      <c r="E254" s="12" t="s">
        <v>3178</v>
      </c>
      <c r="F254" s="12" t="s">
        <v>1212</v>
      </c>
      <c r="G254" s="12" t="s">
        <v>5335</v>
      </c>
      <c r="H254" s="12" t="s">
        <v>1646</v>
      </c>
      <c r="I254" s="84">
        <v>2650597</v>
      </c>
      <c r="J254" s="12" t="s">
        <v>5102</v>
      </c>
      <c r="L254" s="12" t="str">
        <f>IF(OR(ISBLANK(tblSites[[#This Row],[Implementing Partner]]), tblSites[[#This Row],[Implementing Partner]]="-"), tblSites[[#This Row],[Site Agency]], tblSites[[#This Row],[Implementing Partner]])</f>
        <v>No SMA</v>
      </c>
      <c r="M254" s="12" t="s">
        <v>55</v>
      </c>
      <c r="N254" s="12" t="str">
        <f>tblSites[[#This Row],[FinalImplementingPartner]]</f>
        <v>No SMA</v>
      </c>
    </row>
    <row r="255" spans="1:14" x14ac:dyDescent="0.25">
      <c r="A255" s="12" t="s">
        <v>1034</v>
      </c>
      <c r="B255" s="12" t="s">
        <v>1035</v>
      </c>
      <c r="C255" s="12" t="s">
        <v>1036</v>
      </c>
      <c r="D255" t="s">
        <v>5313</v>
      </c>
      <c r="E255" s="12" t="s">
        <v>3178</v>
      </c>
      <c r="F255" s="12" t="s">
        <v>349</v>
      </c>
      <c r="G255" s="12" t="s">
        <v>5358</v>
      </c>
      <c r="H255" s="12" t="s">
        <v>1035</v>
      </c>
      <c r="I255" s="84">
        <v>26510152</v>
      </c>
      <c r="J255" s="12" t="s">
        <v>34</v>
      </c>
      <c r="K255" s="12" t="s">
        <v>662</v>
      </c>
      <c r="L255" s="12" t="str">
        <f>IF(OR(ISBLANK(tblSites[[#This Row],[Implementing Partner]]), tblSites[[#This Row],[Implementing Partner]]="-"), tblSites[[#This Row],[Site Agency]], tblSites[[#This Row],[Implementing Partner]])</f>
        <v>PARC</v>
      </c>
      <c r="M255" s="12" t="s">
        <v>55</v>
      </c>
      <c r="N255" s="12" t="str">
        <f>tblSites[[#This Row],[FinalImplementingPartner]]</f>
        <v>PARC</v>
      </c>
    </row>
    <row r="256" spans="1:14" x14ac:dyDescent="0.25">
      <c r="A256" s="12" t="s">
        <v>1782</v>
      </c>
      <c r="B256" s="12" t="s">
        <v>1783</v>
      </c>
      <c r="C256" s="12" t="s">
        <v>1784</v>
      </c>
      <c r="D256" t="s">
        <v>5313</v>
      </c>
      <c r="E256" s="12" t="s">
        <v>3178</v>
      </c>
      <c r="F256" s="12" t="s">
        <v>349</v>
      </c>
      <c r="G256" s="12" t="s">
        <v>5327</v>
      </c>
      <c r="H256" s="12" t="s">
        <v>1783</v>
      </c>
      <c r="I256" s="84">
        <v>26510152</v>
      </c>
      <c r="J256" s="12" t="s">
        <v>5102</v>
      </c>
      <c r="L256" s="12" t="str">
        <f>IF(OR(ISBLANK(tblSites[[#This Row],[Implementing Partner]]), tblSites[[#This Row],[Implementing Partner]]="-"), tblSites[[#This Row],[Site Agency]], tblSites[[#This Row],[Implementing Partner]])</f>
        <v>No SMA</v>
      </c>
      <c r="M256" s="12" t="s">
        <v>55</v>
      </c>
      <c r="N256" s="12" t="str">
        <f>tblSites[[#This Row],[FinalImplementingPartner]]</f>
        <v>No SMA</v>
      </c>
    </row>
    <row r="257" spans="1:14" x14ac:dyDescent="0.25">
      <c r="A257" s="12" t="s">
        <v>1747</v>
      </c>
      <c r="B257" s="12" t="s">
        <v>1748</v>
      </c>
      <c r="D257" t="s">
        <v>5313</v>
      </c>
      <c r="E257" s="12" t="s">
        <v>3178</v>
      </c>
      <c r="F257" s="12" t="s">
        <v>349</v>
      </c>
      <c r="G257" s="12" t="s">
        <v>5327</v>
      </c>
      <c r="H257" s="12" t="s">
        <v>1748</v>
      </c>
      <c r="I257" s="84">
        <v>26510152</v>
      </c>
      <c r="J257" s="12" t="s">
        <v>5102</v>
      </c>
      <c r="L257" s="12" t="str">
        <f>IF(OR(ISBLANK(tblSites[[#This Row],[Implementing Partner]]), tblSites[[#This Row],[Implementing Partner]]="-"), tblSites[[#This Row],[Site Agency]], tblSites[[#This Row],[Implementing Partner]])</f>
        <v>No SMA</v>
      </c>
      <c r="M257" s="12" t="s">
        <v>55</v>
      </c>
      <c r="N257" s="12" t="str">
        <f>tblSites[[#This Row],[FinalImplementingPartner]]</f>
        <v>No SMA</v>
      </c>
    </row>
    <row r="258" spans="1:14" x14ac:dyDescent="0.25">
      <c r="A258" s="12" t="s">
        <v>2520</v>
      </c>
      <c r="B258" s="12" t="s">
        <v>2521</v>
      </c>
      <c r="C258" s="12" t="s">
        <v>2522</v>
      </c>
      <c r="D258" t="s">
        <v>5313</v>
      </c>
      <c r="E258" s="12" t="s">
        <v>3178</v>
      </c>
      <c r="F258" s="12" t="s">
        <v>349</v>
      </c>
      <c r="G258" s="12" t="s">
        <v>5327</v>
      </c>
      <c r="H258" s="12" t="s">
        <v>2521</v>
      </c>
      <c r="I258" s="84">
        <v>26510152</v>
      </c>
      <c r="J258" s="12" t="s">
        <v>5102</v>
      </c>
      <c r="L258" s="12" t="str">
        <f>IF(OR(ISBLANK(tblSites[[#This Row],[Implementing Partner]]), tblSites[[#This Row],[Implementing Partner]]="-"), tblSites[[#This Row],[Site Agency]], tblSites[[#This Row],[Implementing Partner]])</f>
        <v>No SMA</v>
      </c>
      <c r="M258" s="12" t="s">
        <v>55</v>
      </c>
      <c r="N258" s="12" t="str">
        <f>tblSites[[#This Row],[FinalImplementingPartner]]</f>
        <v>No SMA</v>
      </c>
    </row>
    <row r="259" spans="1:14" x14ac:dyDescent="0.25">
      <c r="A259" s="12" t="s">
        <v>1773</v>
      </c>
      <c r="B259" s="12" t="s">
        <v>1774</v>
      </c>
      <c r="C259" s="12" t="s">
        <v>5276</v>
      </c>
      <c r="D259" t="s">
        <v>5313</v>
      </c>
      <c r="E259" s="12" t="s">
        <v>3178</v>
      </c>
      <c r="F259" s="12" t="s">
        <v>349</v>
      </c>
      <c r="G259" s="12" t="s">
        <v>5327</v>
      </c>
      <c r="H259" s="12" t="s">
        <v>1774</v>
      </c>
      <c r="I259" s="84">
        <v>26510152</v>
      </c>
      <c r="J259" s="12" t="s">
        <v>5102</v>
      </c>
      <c r="L259" s="12" t="str">
        <f>IF(OR(ISBLANK(tblSites[[#This Row],[Implementing Partner]]), tblSites[[#This Row],[Implementing Partner]]="-"), tblSites[[#This Row],[Site Agency]], tblSites[[#This Row],[Implementing Partner]])</f>
        <v>No SMA</v>
      </c>
      <c r="M259" s="12" t="s">
        <v>55</v>
      </c>
      <c r="N259" s="12" t="str">
        <f>tblSites[[#This Row],[FinalImplementingPartner]]</f>
        <v>No SMA</v>
      </c>
    </row>
    <row r="260" spans="1:14" x14ac:dyDescent="0.25">
      <c r="A260" s="12" t="s">
        <v>505</v>
      </c>
      <c r="B260" s="12" t="s">
        <v>506</v>
      </c>
      <c r="C260" s="12" t="s">
        <v>507</v>
      </c>
      <c r="D260" t="s">
        <v>5313</v>
      </c>
      <c r="E260" s="12" t="s">
        <v>3178</v>
      </c>
      <c r="F260" s="12" t="s">
        <v>358</v>
      </c>
      <c r="G260" s="12" t="s">
        <v>5371</v>
      </c>
      <c r="H260" s="12" t="s">
        <v>506</v>
      </c>
      <c r="I260" s="84">
        <v>2650577</v>
      </c>
      <c r="J260" s="12" t="s">
        <v>5</v>
      </c>
      <c r="K260" s="12" t="s">
        <v>83</v>
      </c>
      <c r="L260" s="12" t="str">
        <f>IF(OR(ISBLANK(tblSites[[#This Row],[Implementing Partner]]), tblSites[[#This Row],[Implementing Partner]]="-"), tblSites[[#This Row],[Site Agency]], tblSites[[#This Row],[Implementing Partner]])</f>
        <v>CESVI</v>
      </c>
      <c r="M260" s="12" t="s">
        <v>55</v>
      </c>
      <c r="N260" s="12" t="str">
        <f>tblSites[[#This Row],[FinalImplementingPartner]]</f>
        <v>CESVI</v>
      </c>
    </row>
    <row r="261" spans="1:14" x14ac:dyDescent="0.25">
      <c r="A261" s="12" t="s">
        <v>2192</v>
      </c>
      <c r="B261" s="12" t="s">
        <v>2193</v>
      </c>
      <c r="C261" s="12" t="s">
        <v>2194</v>
      </c>
      <c r="D261" t="s">
        <v>5313</v>
      </c>
      <c r="E261" s="12" t="s">
        <v>3178</v>
      </c>
      <c r="F261" s="12" t="s">
        <v>564</v>
      </c>
      <c r="G261" s="12" t="s">
        <v>5348</v>
      </c>
      <c r="H261" s="12" t="s">
        <v>2193</v>
      </c>
      <c r="I261" s="84">
        <v>2651090</v>
      </c>
      <c r="J261" s="12" t="s">
        <v>5102</v>
      </c>
      <c r="L261" s="12" t="str">
        <f>IF(OR(ISBLANK(tblSites[[#This Row],[Implementing Partner]]), tblSites[[#This Row],[Implementing Partner]]="-"), tblSites[[#This Row],[Site Agency]], tblSites[[#This Row],[Implementing Partner]])</f>
        <v>No SMA</v>
      </c>
      <c r="M261" s="12" t="s">
        <v>55</v>
      </c>
      <c r="N261" s="12" t="str">
        <f>tblSites[[#This Row],[FinalImplementingPartner]]</f>
        <v>No SMA</v>
      </c>
    </row>
    <row r="262" spans="1:14" x14ac:dyDescent="0.25">
      <c r="A262" s="12" t="s">
        <v>2467</v>
      </c>
      <c r="B262" s="12" t="s">
        <v>2468</v>
      </c>
      <c r="C262" s="12" t="s">
        <v>2469</v>
      </c>
      <c r="D262" t="s">
        <v>5313</v>
      </c>
      <c r="E262" s="12" t="s">
        <v>3178</v>
      </c>
      <c r="F262" s="12" t="s">
        <v>349</v>
      </c>
      <c r="G262" s="12" t="s">
        <v>5327</v>
      </c>
      <c r="H262" s="12" t="s">
        <v>2468</v>
      </c>
      <c r="I262" s="84">
        <v>26510152</v>
      </c>
      <c r="J262" s="12" t="s">
        <v>5102</v>
      </c>
      <c r="L262" s="12" t="str">
        <f>IF(OR(ISBLANK(tblSites[[#This Row],[Implementing Partner]]), tblSites[[#This Row],[Implementing Partner]]="-"), tblSites[[#This Row],[Site Agency]], tblSites[[#This Row],[Implementing Partner]])</f>
        <v>No SMA</v>
      </c>
      <c r="M262" s="12" t="s">
        <v>55</v>
      </c>
      <c r="N262" s="12" t="str">
        <f>tblSites[[#This Row],[FinalImplementingPartner]]</f>
        <v>No SMA</v>
      </c>
    </row>
    <row r="263" spans="1:14" x14ac:dyDescent="0.25">
      <c r="A263" s="12" t="s">
        <v>2031</v>
      </c>
      <c r="B263" s="12" t="s">
        <v>2032</v>
      </c>
      <c r="C263" s="12" t="s">
        <v>2033</v>
      </c>
      <c r="D263" t="s">
        <v>5313</v>
      </c>
      <c r="E263" s="12" t="s">
        <v>3178</v>
      </c>
      <c r="F263" s="12" t="s">
        <v>125</v>
      </c>
      <c r="G263" s="12" t="s">
        <v>5342</v>
      </c>
      <c r="H263" s="12" t="s">
        <v>2032</v>
      </c>
      <c r="I263" s="84">
        <v>2651094</v>
      </c>
      <c r="J263" s="12" t="s">
        <v>5102</v>
      </c>
      <c r="L263" s="12" t="str">
        <f>IF(OR(ISBLANK(tblSites[[#This Row],[Implementing Partner]]), tblSites[[#This Row],[Implementing Partner]]="-"), tblSites[[#This Row],[Site Agency]], tblSites[[#This Row],[Implementing Partner]])</f>
        <v>No SMA</v>
      </c>
      <c r="M263" s="12" t="s">
        <v>55</v>
      </c>
      <c r="N263" s="12" t="str">
        <f>tblSites[[#This Row],[FinalImplementingPartner]]</f>
        <v>No SMA</v>
      </c>
    </row>
    <row r="264" spans="1:14" x14ac:dyDescent="0.25">
      <c r="A264" s="12" t="s">
        <v>2482</v>
      </c>
      <c r="B264" s="12" t="s">
        <v>2483</v>
      </c>
      <c r="C264" s="12" t="s">
        <v>2484</v>
      </c>
      <c r="D264" t="s">
        <v>5313</v>
      </c>
      <c r="E264" s="12" t="s">
        <v>3178</v>
      </c>
      <c r="F264" s="12" t="s">
        <v>325</v>
      </c>
      <c r="G264" s="12" t="s">
        <v>5372</v>
      </c>
      <c r="H264" s="12" t="s">
        <v>2483</v>
      </c>
      <c r="I264" s="84">
        <v>2650583</v>
      </c>
      <c r="J264" s="12" t="s">
        <v>5102</v>
      </c>
      <c r="L264" s="12" t="str">
        <f>IF(OR(ISBLANK(tblSites[[#This Row],[Implementing Partner]]), tblSites[[#This Row],[Implementing Partner]]="-"), tblSites[[#This Row],[Site Agency]], tblSites[[#This Row],[Implementing Partner]])</f>
        <v>No SMA</v>
      </c>
      <c r="M264" s="12" t="s">
        <v>55</v>
      </c>
      <c r="N264" s="12" t="str">
        <f>tblSites[[#This Row],[FinalImplementingPartner]]</f>
        <v>No SMA</v>
      </c>
    </row>
    <row r="265" spans="1:14" x14ac:dyDescent="0.25">
      <c r="A265" s="12" t="s">
        <v>2160</v>
      </c>
      <c r="B265" s="12" t="s">
        <v>2161</v>
      </c>
      <c r="C265" s="12" t="s">
        <v>2162</v>
      </c>
      <c r="D265" t="s">
        <v>5313</v>
      </c>
      <c r="E265" s="12" t="s">
        <v>3178</v>
      </c>
      <c r="F265" s="12" t="s">
        <v>125</v>
      </c>
      <c r="G265" s="12" t="s">
        <v>5342</v>
      </c>
      <c r="H265" s="12" t="s">
        <v>2161</v>
      </c>
      <c r="I265" s="84">
        <v>2651094</v>
      </c>
      <c r="J265" s="12" t="s">
        <v>5102</v>
      </c>
      <c r="L265" s="12" t="str">
        <f>IF(OR(ISBLANK(tblSites[[#This Row],[Implementing Partner]]), tblSites[[#This Row],[Implementing Partner]]="-"), tblSites[[#This Row],[Site Agency]], tblSites[[#This Row],[Implementing Partner]])</f>
        <v>No SMA</v>
      </c>
      <c r="M265" s="12" t="s">
        <v>55</v>
      </c>
      <c r="N265" s="12" t="str">
        <f>tblSites[[#This Row],[FinalImplementingPartner]]</f>
        <v>No SMA</v>
      </c>
    </row>
    <row r="266" spans="1:14" x14ac:dyDescent="0.25">
      <c r="A266" s="12" t="s">
        <v>2101</v>
      </c>
      <c r="B266" s="12" t="s">
        <v>2102</v>
      </c>
      <c r="C266" s="12" t="s">
        <v>2103</v>
      </c>
      <c r="D266" t="s">
        <v>5313</v>
      </c>
      <c r="E266" s="12" t="s">
        <v>3178</v>
      </c>
      <c r="F266" s="12" t="s">
        <v>125</v>
      </c>
      <c r="G266" s="12" t="s">
        <v>5342</v>
      </c>
      <c r="H266" s="12" t="s">
        <v>2102</v>
      </c>
      <c r="I266" s="84">
        <v>2651094</v>
      </c>
      <c r="J266" s="12" t="s">
        <v>5102</v>
      </c>
      <c r="L266" s="12" t="str">
        <f>IF(OR(ISBLANK(tblSites[[#This Row],[Implementing Partner]]), tblSites[[#This Row],[Implementing Partner]]="-"), tblSites[[#This Row],[Site Agency]], tblSites[[#This Row],[Implementing Partner]])</f>
        <v>No SMA</v>
      </c>
      <c r="M266" s="12" t="s">
        <v>55</v>
      </c>
      <c r="N266" s="12" t="str">
        <f>tblSites[[#This Row],[FinalImplementingPartner]]</f>
        <v>No SMA</v>
      </c>
    </row>
    <row r="267" spans="1:14" x14ac:dyDescent="0.25">
      <c r="A267" s="12" t="s">
        <v>2181</v>
      </c>
      <c r="B267" s="12" t="s">
        <v>2182</v>
      </c>
      <c r="C267" s="12" t="s">
        <v>2183</v>
      </c>
      <c r="D267" t="s">
        <v>5313</v>
      </c>
      <c r="E267" s="12" t="s">
        <v>3178</v>
      </c>
      <c r="F267" s="12" t="s">
        <v>510</v>
      </c>
      <c r="G267" s="12" t="s">
        <v>5346</v>
      </c>
      <c r="H267" s="12" t="s">
        <v>2182</v>
      </c>
      <c r="I267" s="84">
        <v>2650578</v>
      </c>
      <c r="J267" s="12" t="s">
        <v>5102</v>
      </c>
      <c r="L267" s="12" t="str">
        <f>IF(OR(ISBLANK(tblSites[[#This Row],[Implementing Partner]]), tblSites[[#This Row],[Implementing Partner]]="-"), tblSites[[#This Row],[Site Agency]], tblSites[[#This Row],[Implementing Partner]])</f>
        <v>No SMA</v>
      </c>
      <c r="M267" s="12" t="s">
        <v>55</v>
      </c>
      <c r="N267" s="12" t="str">
        <f>tblSites[[#This Row],[FinalImplementingPartner]]</f>
        <v>No SMA</v>
      </c>
    </row>
    <row r="268" spans="1:14" x14ac:dyDescent="0.25">
      <c r="A268" s="12" t="s">
        <v>2204</v>
      </c>
      <c r="B268" s="12" t="s">
        <v>2205</v>
      </c>
      <c r="C268" s="12" t="s">
        <v>2206</v>
      </c>
      <c r="D268" t="s">
        <v>5313</v>
      </c>
      <c r="E268" s="12" t="s">
        <v>3178</v>
      </c>
      <c r="F268" s="12" t="s">
        <v>974</v>
      </c>
      <c r="G268" s="12" t="s">
        <v>5362</v>
      </c>
      <c r="H268" s="12" t="s">
        <v>2205</v>
      </c>
      <c r="I268" s="84">
        <v>2651089</v>
      </c>
      <c r="J268" s="12" t="s">
        <v>5102</v>
      </c>
      <c r="L268" s="12" t="str">
        <f>IF(OR(ISBLANK(tblSites[[#This Row],[Implementing Partner]]), tblSites[[#This Row],[Implementing Partner]]="-"), tblSites[[#This Row],[Site Agency]], tblSites[[#This Row],[Implementing Partner]])</f>
        <v>No SMA</v>
      </c>
      <c r="M268" s="12" t="s">
        <v>55</v>
      </c>
      <c r="N268" s="12" t="str">
        <f>tblSites[[#This Row],[FinalImplementingPartner]]</f>
        <v>No SMA</v>
      </c>
    </row>
    <row r="269" spans="1:14" x14ac:dyDescent="0.25">
      <c r="A269" s="12" t="s">
        <v>619</v>
      </c>
      <c r="B269" s="12" t="s">
        <v>620</v>
      </c>
      <c r="C269" s="12" t="s">
        <v>621</v>
      </c>
      <c r="D269" t="s">
        <v>5313</v>
      </c>
      <c r="E269" s="12" t="s">
        <v>3178</v>
      </c>
      <c r="F269" s="12" t="s">
        <v>349</v>
      </c>
      <c r="G269" s="12" t="s">
        <v>5373</v>
      </c>
      <c r="H269" s="12" t="s">
        <v>620</v>
      </c>
      <c r="I269" s="84">
        <v>26510152</v>
      </c>
      <c r="J269" s="12" t="s">
        <v>5</v>
      </c>
      <c r="K269" s="12" t="s">
        <v>83</v>
      </c>
      <c r="L269" s="12" t="str">
        <f>IF(OR(ISBLANK(tblSites[[#This Row],[Implementing Partner]]), tblSites[[#This Row],[Implementing Partner]]="-"), tblSites[[#This Row],[Site Agency]], tblSites[[#This Row],[Implementing Partner]])</f>
        <v>CESVI</v>
      </c>
      <c r="M269" s="12" t="s">
        <v>55</v>
      </c>
      <c r="N269" s="12" t="str">
        <f>tblSites[[#This Row],[FinalImplementingPartner]]</f>
        <v>CESVI</v>
      </c>
    </row>
    <row r="270" spans="1:14" x14ac:dyDescent="0.25">
      <c r="A270" s="12" t="s">
        <v>180</v>
      </c>
      <c r="B270" s="12" t="s">
        <v>181</v>
      </c>
      <c r="C270" s="12" t="s">
        <v>182</v>
      </c>
      <c r="D270" t="s">
        <v>5313</v>
      </c>
      <c r="E270" s="12" t="s">
        <v>3178</v>
      </c>
      <c r="F270" s="12" t="s">
        <v>104</v>
      </c>
      <c r="G270" s="12" t="s">
        <v>5339</v>
      </c>
      <c r="H270" s="12" t="s">
        <v>181</v>
      </c>
      <c r="I270" s="84">
        <v>2651091</v>
      </c>
      <c r="J270" s="12" t="s">
        <v>5102</v>
      </c>
      <c r="L270" s="12" t="str">
        <f>IF(OR(ISBLANK(tblSites[[#This Row],[Implementing Partner]]), tblSites[[#This Row],[Implementing Partner]]="-"), tblSites[[#This Row],[Site Agency]], tblSites[[#This Row],[Implementing Partner]])</f>
        <v>No SMA</v>
      </c>
      <c r="M270" s="12" t="s">
        <v>55</v>
      </c>
      <c r="N270" s="12" t="str">
        <f>tblSites[[#This Row],[FinalImplementingPartner]]</f>
        <v>No SMA</v>
      </c>
    </row>
    <row r="271" spans="1:14" x14ac:dyDescent="0.25">
      <c r="A271" s="12" t="s">
        <v>2476</v>
      </c>
      <c r="B271" s="12" t="s">
        <v>2477</v>
      </c>
      <c r="C271" s="12" t="s">
        <v>2478</v>
      </c>
      <c r="D271" t="s">
        <v>5313</v>
      </c>
      <c r="E271" s="12" t="s">
        <v>3178</v>
      </c>
      <c r="F271" s="12" t="s">
        <v>349</v>
      </c>
      <c r="G271" s="12" t="s">
        <v>5327</v>
      </c>
      <c r="H271" s="12" t="s">
        <v>2477</v>
      </c>
      <c r="I271" s="84">
        <v>26510152</v>
      </c>
      <c r="J271" s="12" t="s">
        <v>5102</v>
      </c>
      <c r="L271" s="12" t="str">
        <f>IF(OR(ISBLANK(tblSites[[#This Row],[Implementing Partner]]), tblSites[[#This Row],[Implementing Partner]]="-"), tblSites[[#This Row],[Site Agency]], tblSites[[#This Row],[Implementing Partner]])</f>
        <v>No SMA</v>
      </c>
      <c r="M271" s="12" t="s">
        <v>55</v>
      </c>
      <c r="N271" s="12" t="str">
        <f>tblSites[[#This Row],[FinalImplementingPartner]]</f>
        <v>No SMA</v>
      </c>
    </row>
    <row r="272" spans="1:14" x14ac:dyDescent="0.25">
      <c r="A272" s="12" t="s">
        <v>705</v>
      </c>
      <c r="B272" s="12" t="s">
        <v>706</v>
      </c>
      <c r="C272" s="12" t="s">
        <v>707</v>
      </c>
      <c r="D272" t="s">
        <v>5313</v>
      </c>
      <c r="E272" s="12" t="s">
        <v>3178</v>
      </c>
      <c r="F272" s="12" t="s">
        <v>510</v>
      </c>
      <c r="G272" s="12" t="s">
        <v>5374</v>
      </c>
      <c r="H272" s="12" t="s">
        <v>706</v>
      </c>
      <c r="I272" s="84">
        <v>2650578</v>
      </c>
      <c r="J272" s="12" t="s">
        <v>34</v>
      </c>
      <c r="K272" s="12" t="s">
        <v>359</v>
      </c>
      <c r="L272" s="12" t="str">
        <f>IF(OR(ISBLANK(tblSites[[#This Row],[Implementing Partner]]), tblSites[[#This Row],[Implementing Partner]]="-"), tblSites[[#This Row],[Site Agency]], tblSites[[#This Row],[Implementing Partner]])</f>
        <v>FAFD</v>
      </c>
      <c r="M272" s="12" t="s">
        <v>55</v>
      </c>
      <c r="N272" s="12" t="str">
        <f>tblSites[[#This Row],[FinalImplementingPartner]]</f>
        <v>FAFD</v>
      </c>
    </row>
    <row r="273" spans="1:14" x14ac:dyDescent="0.25">
      <c r="A273" s="12" t="s">
        <v>306</v>
      </c>
      <c r="B273" s="12" t="s">
        <v>307</v>
      </c>
      <c r="C273" s="12" t="s">
        <v>308</v>
      </c>
      <c r="D273" t="s">
        <v>5313</v>
      </c>
      <c r="E273" s="12" t="s">
        <v>3178</v>
      </c>
      <c r="F273" s="12" t="s">
        <v>97</v>
      </c>
      <c r="G273" s="12" t="s">
        <v>5343</v>
      </c>
      <c r="H273" s="12" t="s">
        <v>307</v>
      </c>
      <c r="I273" s="84">
        <v>2650575</v>
      </c>
      <c r="J273" s="12" t="s">
        <v>5102</v>
      </c>
      <c r="L273" s="12" t="str">
        <f>IF(OR(ISBLANK(tblSites[[#This Row],[Implementing Partner]]), tblSites[[#This Row],[Implementing Partner]]="-"), tblSites[[#This Row],[Site Agency]], tblSites[[#This Row],[Implementing Partner]])</f>
        <v>No SMA</v>
      </c>
      <c r="M273" s="12" t="s">
        <v>55</v>
      </c>
      <c r="N273" s="12" t="str">
        <f>tblSites[[#This Row],[FinalImplementingPartner]]</f>
        <v>No SMA</v>
      </c>
    </row>
    <row r="274" spans="1:14" x14ac:dyDescent="0.25">
      <c r="A274" s="12" t="s">
        <v>1987</v>
      </c>
      <c r="B274" s="12" t="s">
        <v>1988</v>
      </c>
      <c r="C274" s="12" t="s">
        <v>435</v>
      </c>
      <c r="D274" t="s">
        <v>5313</v>
      </c>
      <c r="E274" s="12" t="s">
        <v>3178</v>
      </c>
      <c r="F274" s="12" t="s">
        <v>118</v>
      </c>
      <c r="G274" s="12" t="s">
        <v>5325</v>
      </c>
      <c r="H274" s="12" t="s">
        <v>1988</v>
      </c>
      <c r="I274" s="84">
        <v>2651092</v>
      </c>
      <c r="J274" s="12" t="s">
        <v>5102</v>
      </c>
      <c r="L274" s="12" t="str">
        <f>IF(OR(ISBLANK(tblSites[[#This Row],[Implementing Partner]]), tblSites[[#This Row],[Implementing Partner]]="-"), tblSites[[#This Row],[Site Agency]], tblSites[[#This Row],[Implementing Partner]])</f>
        <v>No SMA</v>
      </c>
      <c r="M274" s="12" t="s">
        <v>55</v>
      </c>
      <c r="N274" s="12" t="str">
        <f>tblSites[[#This Row],[FinalImplementingPartner]]</f>
        <v>No SMA</v>
      </c>
    </row>
    <row r="275" spans="1:14" x14ac:dyDescent="0.25">
      <c r="A275" s="12" t="s">
        <v>1234</v>
      </c>
      <c r="B275" s="12" t="s">
        <v>1235</v>
      </c>
      <c r="C275" s="12" t="s">
        <v>1236</v>
      </c>
      <c r="D275" t="s">
        <v>5313</v>
      </c>
      <c r="E275" s="12" t="s">
        <v>3178</v>
      </c>
      <c r="F275" s="12" t="s">
        <v>3219</v>
      </c>
      <c r="G275" s="12" t="s">
        <v>5375</v>
      </c>
      <c r="H275" s="12" t="s">
        <v>1235</v>
      </c>
      <c r="I275" s="84">
        <v>26502183</v>
      </c>
      <c r="J275" s="12" t="s">
        <v>35</v>
      </c>
      <c r="L275" s="12" t="str">
        <f>IF(OR(ISBLANK(tblSites[[#This Row],[Implementing Partner]]), tblSites[[#This Row],[Implementing Partner]]="-"), tblSites[[#This Row],[Site Agency]], tblSites[[#This Row],[Implementing Partner]])</f>
        <v>NRC</v>
      </c>
      <c r="M275" s="12" t="s">
        <v>55</v>
      </c>
      <c r="N275" s="12" t="str">
        <f>tblSites[[#This Row],[FinalImplementingPartner]]</f>
        <v>NRC</v>
      </c>
    </row>
    <row r="276" spans="1:14" x14ac:dyDescent="0.25">
      <c r="A276" s="12" t="s">
        <v>561</v>
      </c>
      <c r="B276" s="12" t="s">
        <v>562</v>
      </c>
      <c r="C276" s="12" t="s">
        <v>563</v>
      </c>
      <c r="D276" t="s">
        <v>5313</v>
      </c>
      <c r="E276" s="12" t="s">
        <v>3178</v>
      </c>
      <c r="F276" s="12" t="s">
        <v>564</v>
      </c>
      <c r="G276" s="12" t="s">
        <v>5348</v>
      </c>
      <c r="H276" s="12" t="s">
        <v>562</v>
      </c>
      <c r="I276" s="84">
        <v>2651090</v>
      </c>
      <c r="J276" s="12" t="s">
        <v>5102</v>
      </c>
      <c r="L276" s="12" t="str">
        <f>IF(OR(ISBLANK(tblSites[[#This Row],[Implementing Partner]]), tblSites[[#This Row],[Implementing Partner]]="-"), tblSites[[#This Row],[Site Agency]], tblSites[[#This Row],[Implementing Partner]])</f>
        <v>No SMA</v>
      </c>
      <c r="M276" s="12" t="s">
        <v>55</v>
      </c>
      <c r="N276" s="12" t="str">
        <f>tblSites[[#This Row],[FinalImplementingPartner]]</f>
        <v>No SMA</v>
      </c>
    </row>
    <row r="277" spans="1:14" x14ac:dyDescent="0.25">
      <c r="A277" s="12" t="s">
        <v>702</v>
      </c>
      <c r="B277" s="12" t="s">
        <v>703</v>
      </c>
      <c r="C277" s="12" t="s">
        <v>704</v>
      </c>
      <c r="D277" t="s">
        <v>5313</v>
      </c>
      <c r="E277" s="12" t="s">
        <v>3178</v>
      </c>
      <c r="F277" s="12" t="s">
        <v>154</v>
      </c>
      <c r="G277" s="12" t="s">
        <v>5353</v>
      </c>
      <c r="H277" s="12" t="s">
        <v>703</v>
      </c>
      <c r="I277" s="84">
        <v>26501147</v>
      </c>
      <c r="J277" s="12" t="s">
        <v>34</v>
      </c>
      <c r="K277" s="12" t="s">
        <v>359</v>
      </c>
      <c r="L277" s="12" t="str">
        <f>IF(OR(ISBLANK(tblSites[[#This Row],[Implementing Partner]]), tblSites[[#This Row],[Implementing Partner]]="-"), tblSites[[#This Row],[Site Agency]], tblSites[[#This Row],[Implementing Partner]])</f>
        <v>FAFD</v>
      </c>
      <c r="M277" s="12" t="s">
        <v>55</v>
      </c>
      <c r="N277" s="12" t="str">
        <f>tblSites[[#This Row],[FinalImplementingPartner]]</f>
        <v>FAFD</v>
      </c>
    </row>
    <row r="278" spans="1:14" x14ac:dyDescent="0.25">
      <c r="A278" s="12" t="s">
        <v>545</v>
      </c>
      <c r="B278" s="12" t="s">
        <v>546</v>
      </c>
      <c r="C278" s="12" t="s">
        <v>547</v>
      </c>
      <c r="D278" t="s">
        <v>5313</v>
      </c>
      <c r="E278" s="12" t="s">
        <v>3178</v>
      </c>
      <c r="F278" s="12" t="s">
        <v>118</v>
      </c>
      <c r="G278" s="12" t="s">
        <v>5325</v>
      </c>
      <c r="H278" s="12" t="s">
        <v>546</v>
      </c>
      <c r="I278" s="84">
        <v>2651092</v>
      </c>
      <c r="J278" s="12" t="s">
        <v>5102</v>
      </c>
      <c r="L278" s="12" t="str">
        <f>IF(OR(ISBLANK(tblSites[[#This Row],[Implementing Partner]]), tblSites[[#This Row],[Implementing Partner]]="-"), tblSites[[#This Row],[Site Agency]], tblSites[[#This Row],[Implementing Partner]])</f>
        <v>No SMA</v>
      </c>
      <c r="M278" s="12" t="s">
        <v>55</v>
      </c>
      <c r="N278" s="12" t="str">
        <f>tblSites[[#This Row],[FinalImplementingPartner]]</f>
        <v>No SMA</v>
      </c>
    </row>
    <row r="279" spans="1:14" x14ac:dyDescent="0.25">
      <c r="A279" s="12" t="s">
        <v>366</v>
      </c>
      <c r="B279" s="12" t="s">
        <v>367</v>
      </c>
      <c r="C279" s="12" t="s">
        <v>368</v>
      </c>
      <c r="D279" t="s">
        <v>5313</v>
      </c>
      <c r="E279" s="12" t="s">
        <v>3178</v>
      </c>
      <c r="F279" s="12" t="s">
        <v>118</v>
      </c>
      <c r="G279" s="12" t="s">
        <v>5325</v>
      </c>
      <c r="H279" s="12" t="s">
        <v>367</v>
      </c>
      <c r="I279" s="84">
        <v>2651092</v>
      </c>
      <c r="J279" s="12" t="s">
        <v>5102</v>
      </c>
      <c r="L279" s="12" t="str">
        <f>IF(OR(ISBLANK(tblSites[[#This Row],[Implementing Partner]]), tblSites[[#This Row],[Implementing Partner]]="-"), tblSites[[#This Row],[Site Agency]], tblSites[[#This Row],[Implementing Partner]])</f>
        <v>No SMA</v>
      </c>
      <c r="M279" s="12" t="s">
        <v>55</v>
      </c>
      <c r="N279" s="12" t="str">
        <f>tblSites[[#This Row],[FinalImplementingPartner]]</f>
        <v>No SMA</v>
      </c>
    </row>
    <row r="280" spans="1:14" x14ac:dyDescent="0.25">
      <c r="A280" s="12" t="s">
        <v>2691</v>
      </c>
      <c r="B280" s="12" t="s">
        <v>2692</v>
      </c>
      <c r="C280" s="12" t="s">
        <v>2693</v>
      </c>
      <c r="D280" t="s">
        <v>5313</v>
      </c>
      <c r="E280" s="12" t="s">
        <v>3178</v>
      </c>
      <c r="F280" s="12" t="s">
        <v>154</v>
      </c>
      <c r="G280" s="12" t="s">
        <v>5336</v>
      </c>
      <c r="H280" s="12" t="s">
        <v>2692</v>
      </c>
      <c r="I280" s="84">
        <v>26501147</v>
      </c>
      <c r="J280" s="12" t="s">
        <v>5102</v>
      </c>
      <c r="L280" s="12" t="str">
        <f>IF(OR(ISBLANK(tblSites[[#This Row],[Implementing Partner]]), tblSites[[#This Row],[Implementing Partner]]="-"), tblSites[[#This Row],[Site Agency]], tblSites[[#This Row],[Implementing Partner]])</f>
        <v>No SMA</v>
      </c>
      <c r="M280" s="12" t="s">
        <v>55</v>
      </c>
      <c r="N280" s="12" t="str">
        <f>tblSites[[#This Row],[FinalImplementingPartner]]</f>
        <v>No SMA</v>
      </c>
    </row>
    <row r="281" spans="1:14" x14ac:dyDescent="0.25">
      <c r="A281" s="12" t="s">
        <v>2694</v>
      </c>
      <c r="B281" s="12" t="s">
        <v>2695</v>
      </c>
      <c r="C281" s="12" t="s">
        <v>2696</v>
      </c>
      <c r="D281" t="s">
        <v>5313</v>
      </c>
      <c r="E281" s="12" t="s">
        <v>3178</v>
      </c>
      <c r="F281" s="12" t="s">
        <v>985</v>
      </c>
      <c r="G281" s="12" t="s">
        <v>5345</v>
      </c>
      <c r="H281" s="12" t="s">
        <v>2695</v>
      </c>
      <c r="I281" s="84">
        <v>2650579</v>
      </c>
      <c r="J281" s="12" t="s">
        <v>5102</v>
      </c>
      <c r="L281" s="12" t="str">
        <f>IF(OR(ISBLANK(tblSites[[#This Row],[Implementing Partner]]), tblSites[[#This Row],[Implementing Partner]]="-"), tblSites[[#This Row],[Site Agency]], tblSites[[#This Row],[Implementing Partner]])</f>
        <v>No SMA</v>
      </c>
      <c r="M281" s="12" t="s">
        <v>55</v>
      </c>
      <c r="N281" s="12" t="str">
        <f>tblSites[[#This Row],[FinalImplementingPartner]]</f>
        <v>No SMA</v>
      </c>
    </row>
    <row r="282" spans="1:14" x14ac:dyDescent="0.25">
      <c r="A282" s="12" t="s">
        <v>1092</v>
      </c>
      <c r="B282" s="12" t="s">
        <v>1093</v>
      </c>
      <c r="C282" s="12" t="s">
        <v>1094</v>
      </c>
      <c r="D282" t="s">
        <v>5313</v>
      </c>
      <c r="E282" s="12" t="s">
        <v>3178</v>
      </c>
      <c r="F282" s="12" t="s">
        <v>349</v>
      </c>
      <c r="G282" s="12" t="s">
        <v>5358</v>
      </c>
      <c r="H282" s="12" t="s">
        <v>1093</v>
      </c>
      <c r="I282" s="84">
        <v>26510152</v>
      </c>
      <c r="J282" s="12" t="s">
        <v>34</v>
      </c>
      <c r="K282" s="12" t="s">
        <v>662</v>
      </c>
      <c r="L282" s="12" t="str">
        <f>IF(OR(ISBLANK(tblSites[[#This Row],[Implementing Partner]]), tblSites[[#This Row],[Implementing Partner]]="-"), tblSites[[#This Row],[Site Agency]], tblSites[[#This Row],[Implementing Partner]])</f>
        <v>PARC</v>
      </c>
      <c r="M282" s="12" t="s">
        <v>55</v>
      </c>
      <c r="N282" s="12" t="str">
        <f>tblSites[[#This Row],[FinalImplementingPartner]]</f>
        <v>PARC</v>
      </c>
    </row>
    <row r="283" spans="1:14" x14ac:dyDescent="0.25">
      <c r="A283" s="12" t="s">
        <v>115</v>
      </c>
      <c r="B283" s="12" t="s">
        <v>116</v>
      </c>
      <c r="C283" s="12" t="s">
        <v>117</v>
      </c>
      <c r="D283" t="s">
        <v>5313</v>
      </c>
      <c r="E283" s="12" t="s">
        <v>3178</v>
      </c>
      <c r="F283" s="12" t="s">
        <v>118</v>
      </c>
      <c r="G283" s="12" t="s">
        <v>5376</v>
      </c>
      <c r="H283" s="12" t="s">
        <v>116</v>
      </c>
      <c r="I283" s="84">
        <v>2651092</v>
      </c>
      <c r="L283" s="12">
        <f>IF(OR(ISBLANK(tblSites[[#This Row],[Implementing Partner]]), tblSites[[#This Row],[Implementing Partner]]="-"), tblSites[[#This Row],[Site Agency]], tblSites[[#This Row],[Implementing Partner]])</f>
        <v>0</v>
      </c>
      <c r="M283" s="12" t="s">
        <v>55</v>
      </c>
      <c r="N283" s="12">
        <f>tblSites[[#This Row],[FinalImplementingPartner]]</f>
        <v>0</v>
      </c>
    </row>
    <row r="284" spans="1:14" x14ac:dyDescent="0.25">
      <c r="A284" s="12" t="s">
        <v>158</v>
      </c>
      <c r="B284" s="12" t="s">
        <v>159</v>
      </c>
      <c r="C284" s="12" t="s">
        <v>160</v>
      </c>
      <c r="D284" t="s">
        <v>5313</v>
      </c>
      <c r="E284" s="12" t="s">
        <v>3178</v>
      </c>
      <c r="F284" s="12" t="s">
        <v>125</v>
      </c>
      <c r="G284" s="12" t="s">
        <v>5329</v>
      </c>
      <c r="H284" s="12" t="s">
        <v>159</v>
      </c>
      <c r="I284" s="84">
        <v>2651094</v>
      </c>
      <c r="L284" s="12">
        <f>IF(OR(ISBLANK(tblSites[[#This Row],[Implementing Partner]]), tblSites[[#This Row],[Implementing Partner]]="-"), tblSites[[#This Row],[Site Agency]], tblSites[[#This Row],[Implementing Partner]])</f>
        <v>0</v>
      </c>
      <c r="M284" s="12" t="s">
        <v>55</v>
      </c>
      <c r="N284" s="12">
        <f>tblSites[[#This Row],[FinalImplementingPartner]]</f>
        <v>0</v>
      </c>
    </row>
    <row r="285" spans="1:14" x14ac:dyDescent="0.25">
      <c r="A285" s="12" t="s">
        <v>2697</v>
      </c>
      <c r="B285" s="12" t="s">
        <v>2698</v>
      </c>
      <c r="C285" s="12" t="s">
        <v>2699</v>
      </c>
      <c r="D285" t="s">
        <v>5313</v>
      </c>
      <c r="E285" s="12" t="s">
        <v>3178</v>
      </c>
      <c r="F285" s="12" t="s">
        <v>349</v>
      </c>
      <c r="G285" s="12" t="s">
        <v>5358</v>
      </c>
      <c r="H285" s="12" t="s">
        <v>2698</v>
      </c>
      <c r="I285" s="84">
        <v>26510152</v>
      </c>
      <c r="J285" s="12" t="s">
        <v>662</v>
      </c>
      <c r="L285" s="12" t="str">
        <f>IF(OR(ISBLANK(tblSites[[#This Row],[Implementing Partner]]), tblSites[[#This Row],[Implementing Partner]]="-"), tblSites[[#This Row],[Site Agency]], tblSites[[#This Row],[Implementing Partner]])</f>
        <v>PARC</v>
      </c>
      <c r="M285" s="12" t="s">
        <v>55</v>
      </c>
      <c r="N285" s="12" t="str">
        <f>tblSites[[#This Row],[FinalImplementingPartner]]</f>
        <v>PARC</v>
      </c>
    </row>
    <row r="286" spans="1:14" x14ac:dyDescent="0.25">
      <c r="A286" s="12" t="s">
        <v>2701</v>
      </c>
      <c r="B286" s="12" t="s">
        <v>2702</v>
      </c>
      <c r="C286" s="12" t="s">
        <v>2703</v>
      </c>
      <c r="D286" t="s">
        <v>5313</v>
      </c>
      <c r="E286" s="12" t="s">
        <v>3178</v>
      </c>
      <c r="F286" s="12" t="s">
        <v>361</v>
      </c>
      <c r="G286" s="12" t="s">
        <v>5377</v>
      </c>
      <c r="H286" s="12" t="s">
        <v>2702</v>
      </c>
      <c r="I286" s="84">
        <v>2651099</v>
      </c>
      <c r="J286" s="12" t="s">
        <v>662</v>
      </c>
      <c r="K286" s="12" t="s">
        <v>389</v>
      </c>
      <c r="L286" s="12" t="str">
        <f>IF(OR(ISBLANK(tblSites[[#This Row],[Implementing Partner]]), tblSites[[#This Row],[Implementing Partner]]="-"), tblSites[[#This Row],[Site Agency]], tblSites[[#This Row],[Implementing Partner]])</f>
        <v>PARC</v>
      </c>
      <c r="M286" s="12" t="s">
        <v>55</v>
      </c>
      <c r="N286" s="12" t="str">
        <f>tblSites[[#This Row],[FinalImplementingPartner]]</f>
        <v>PARC</v>
      </c>
    </row>
    <row r="287" spans="1:14" x14ac:dyDescent="0.25">
      <c r="A287" s="12" t="s">
        <v>350</v>
      </c>
      <c r="B287" s="12" t="s">
        <v>351</v>
      </c>
      <c r="C287" s="12" t="s">
        <v>352</v>
      </c>
      <c r="D287" t="s">
        <v>5313</v>
      </c>
      <c r="E287" s="12" t="s">
        <v>3178</v>
      </c>
      <c r="F287" s="12" t="s">
        <v>349</v>
      </c>
      <c r="G287" s="12" t="s">
        <v>5357</v>
      </c>
      <c r="H287" s="12" t="s">
        <v>351</v>
      </c>
      <c r="I287" s="84">
        <v>26510152</v>
      </c>
      <c r="J287" s="12" t="s">
        <v>35</v>
      </c>
      <c r="L287" s="12" t="str">
        <f>IF(OR(ISBLANK(tblSites[[#This Row],[Implementing Partner]]), tblSites[[#This Row],[Implementing Partner]]="-"), tblSites[[#This Row],[Site Agency]], tblSites[[#This Row],[Implementing Partner]])</f>
        <v>NRC</v>
      </c>
      <c r="M287" s="12" t="s">
        <v>55</v>
      </c>
      <c r="N287" s="12" t="str">
        <f>tblSites[[#This Row],[FinalImplementingPartner]]</f>
        <v>NRC</v>
      </c>
    </row>
    <row r="288" spans="1:14" x14ac:dyDescent="0.25">
      <c r="A288" s="12" t="s">
        <v>2704</v>
      </c>
      <c r="B288" s="12" t="s">
        <v>2705</v>
      </c>
      <c r="C288" s="12" t="s">
        <v>2706</v>
      </c>
      <c r="D288" t="s">
        <v>5313</v>
      </c>
      <c r="E288" s="12" t="s">
        <v>3178</v>
      </c>
      <c r="F288" s="12" t="s">
        <v>349</v>
      </c>
      <c r="G288" s="12" t="s">
        <v>5327</v>
      </c>
      <c r="H288" s="12" t="s">
        <v>2705</v>
      </c>
      <c r="I288" s="84">
        <v>26510152</v>
      </c>
      <c r="J288" s="12" t="s">
        <v>5102</v>
      </c>
      <c r="L288" s="12" t="str">
        <f>IF(OR(ISBLANK(tblSites[[#This Row],[Implementing Partner]]), tblSites[[#This Row],[Implementing Partner]]="-"), tblSites[[#This Row],[Site Agency]], tblSites[[#This Row],[Implementing Partner]])</f>
        <v>No SMA</v>
      </c>
      <c r="M288" s="12" t="s">
        <v>55</v>
      </c>
      <c r="N288" s="12" t="str">
        <f>tblSites[[#This Row],[FinalImplementingPartner]]</f>
        <v>No SMA</v>
      </c>
    </row>
    <row r="289" spans="1:14" x14ac:dyDescent="0.25">
      <c r="A289" s="12" t="s">
        <v>2707</v>
      </c>
      <c r="B289" s="12" t="s">
        <v>2708</v>
      </c>
      <c r="C289" s="12" t="s">
        <v>2709</v>
      </c>
      <c r="D289" t="s">
        <v>5313</v>
      </c>
      <c r="E289" s="12" t="s">
        <v>3178</v>
      </c>
      <c r="F289" s="12" t="s">
        <v>349</v>
      </c>
      <c r="G289" s="12" t="s">
        <v>5358</v>
      </c>
      <c r="H289" s="12" t="s">
        <v>2708</v>
      </c>
      <c r="I289" s="84">
        <v>26510152</v>
      </c>
      <c r="J289" s="12" t="s">
        <v>662</v>
      </c>
      <c r="K289" s="12" t="s">
        <v>389</v>
      </c>
      <c r="L289" s="12" t="str">
        <f>IF(OR(ISBLANK(tblSites[[#This Row],[Implementing Partner]]), tblSites[[#This Row],[Implementing Partner]]="-"), tblSites[[#This Row],[Site Agency]], tblSites[[#This Row],[Implementing Partner]])</f>
        <v>PARC</v>
      </c>
      <c r="M289" s="12" t="s">
        <v>55</v>
      </c>
      <c r="N289" s="12" t="str">
        <f>tblSites[[#This Row],[FinalImplementingPartner]]</f>
        <v>PARC</v>
      </c>
    </row>
    <row r="290" spans="1:14" x14ac:dyDescent="0.25">
      <c r="A290" s="12" t="s">
        <v>558</v>
      </c>
      <c r="B290" s="12" t="s">
        <v>559</v>
      </c>
      <c r="C290" s="12" t="s">
        <v>560</v>
      </c>
      <c r="D290" t="s">
        <v>5313</v>
      </c>
      <c r="E290" s="12" t="s">
        <v>3178</v>
      </c>
      <c r="F290" s="12" t="s">
        <v>154</v>
      </c>
      <c r="G290" s="12" t="s">
        <v>5336</v>
      </c>
      <c r="H290" s="12" t="s">
        <v>559</v>
      </c>
      <c r="I290" s="84">
        <v>26501147</v>
      </c>
      <c r="J290" s="12" t="s">
        <v>5102</v>
      </c>
      <c r="L290" s="12" t="str">
        <f>IF(OR(ISBLANK(tblSites[[#This Row],[Implementing Partner]]), tblSites[[#This Row],[Implementing Partner]]="-"), tblSites[[#This Row],[Site Agency]], tblSites[[#This Row],[Implementing Partner]])</f>
        <v>No SMA</v>
      </c>
      <c r="M290" s="12" t="s">
        <v>55</v>
      </c>
      <c r="N290" s="12" t="str">
        <f>tblSites[[#This Row],[FinalImplementingPartner]]</f>
        <v>No SMA</v>
      </c>
    </row>
    <row r="291" spans="1:14" x14ac:dyDescent="0.25">
      <c r="A291" s="12" t="s">
        <v>2710</v>
      </c>
      <c r="B291" s="12" t="s">
        <v>2711</v>
      </c>
      <c r="C291" s="12" t="s">
        <v>2712</v>
      </c>
      <c r="D291" t="s">
        <v>5313</v>
      </c>
      <c r="E291" s="12" t="s">
        <v>3178</v>
      </c>
      <c r="F291" s="12" t="s">
        <v>349</v>
      </c>
      <c r="G291" s="12" t="s">
        <v>5358</v>
      </c>
      <c r="H291" s="12" t="s">
        <v>2711</v>
      </c>
      <c r="I291" s="84">
        <v>26510152</v>
      </c>
      <c r="J291" s="12" t="s">
        <v>662</v>
      </c>
      <c r="K291" s="12" t="s">
        <v>389</v>
      </c>
      <c r="L291" s="12" t="str">
        <f>IF(OR(ISBLANK(tblSites[[#This Row],[Implementing Partner]]), tblSites[[#This Row],[Implementing Partner]]="-"), tblSites[[#This Row],[Site Agency]], tblSites[[#This Row],[Implementing Partner]])</f>
        <v>PARC</v>
      </c>
      <c r="M291" s="12" t="s">
        <v>55</v>
      </c>
      <c r="N291" s="12" t="str">
        <f>tblSites[[#This Row],[FinalImplementingPartner]]</f>
        <v>PARC</v>
      </c>
    </row>
    <row r="292" spans="1:14" x14ac:dyDescent="0.25">
      <c r="A292" s="12" t="s">
        <v>2713</v>
      </c>
      <c r="B292" s="12" t="s">
        <v>2714</v>
      </c>
      <c r="C292" s="12" t="s">
        <v>2715</v>
      </c>
      <c r="D292" t="s">
        <v>5313</v>
      </c>
      <c r="E292" s="12" t="s">
        <v>3178</v>
      </c>
      <c r="F292" s="12" t="s">
        <v>349</v>
      </c>
      <c r="G292" s="12" t="s">
        <v>5358</v>
      </c>
      <c r="H292" s="12" t="s">
        <v>2714</v>
      </c>
      <c r="I292" s="84">
        <v>26510152</v>
      </c>
      <c r="J292" s="12" t="s">
        <v>662</v>
      </c>
      <c r="K292" s="12" t="s">
        <v>389</v>
      </c>
      <c r="L292" s="12" t="str">
        <f>IF(OR(ISBLANK(tblSites[[#This Row],[Implementing Partner]]), tblSites[[#This Row],[Implementing Partner]]="-"), tblSites[[#This Row],[Site Agency]], tblSites[[#This Row],[Implementing Partner]])</f>
        <v>PARC</v>
      </c>
      <c r="M292" s="12" t="s">
        <v>55</v>
      </c>
      <c r="N292" s="12" t="str">
        <f>tblSites[[#This Row],[FinalImplementingPartner]]</f>
        <v>PARC</v>
      </c>
    </row>
    <row r="293" spans="1:14" x14ac:dyDescent="0.25">
      <c r="A293" s="12" t="s">
        <v>2716</v>
      </c>
      <c r="B293" s="12" t="s">
        <v>2717</v>
      </c>
      <c r="C293" s="12" t="s">
        <v>2718</v>
      </c>
      <c r="D293" t="s">
        <v>5313</v>
      </c>
      <c r="E293" s="12" t="s">
        <v>3178</v>
      </c>
      <c r="F293" s="12" t="s">
        <v>349</v>
      </c>
      <c r="G293" s="12" t="s">
        <v>5358</v>
      </c>
      <c r="H293" s="12" t="s">
        <v>2717</v>
      </c>
      <c r="I293" s="84">
        <v>26510152</v>
      </c>
      <c r="J293" s="12" t="s">
        <v>5102</v>
      </c>
      <c r="K293" s="12" t="s">
        <v>662</v>
      </c>
      <c r="L293" s="12" t="str">
        <f>IF(OR(ISBLANK(tblSites[[#This Row],[Implementing Partner]]), tblSites[[#This Row],[Implementing Partner]]="-"), tblSites[[#This Row],[Site Agency]], tblSites[[#This Row],[Implementing Partner]])</f>
        <v>PARC</v>
      </c>
      <c r="M293" s="12" t="s">
        <v>55</v>
      </c>
      <c r="N293" s="12" t="str">
        <f>tblSites[[#This Row],[FinalImplementingPartner]]</f>
        <v>PARC</v>
      </c>
    </row>
    <row r="294" spans="1:14" x14ac:dyDescent="0.25">
      <c r="A294" s="12" t="s">
        <v>2719</v>
      </c>
      <c r="B294" s="12" t="s">
        <v>2720</v>
      </c>
      <c r="C294" s="12" t="s">
        <v>2721</v>
      </c>
      <c r="D294" t="s">
        <v>5313</v>
      </c>
      <c r="E294" s="12" t="s">
        <v>3178</v>
      </c>
      <c r="F294" s="12" t="s">
        <v>349</v>
      </c>
      <c r="G294" s="12" t="s">
        <v>5358</v>
      </c>
      <c r="H294" s="12" t="s">
        <v>2720</v>
      </c>
      <c r="I294" s="84">
        <v>26510152</v>
      </c>
      <c r="J294" s="12" t="s">
        <v>662</v>
      </c>
      <c r="K294" s="12" t="s">
        <v>389</v>
      </c>
      <c r="L294" s="12" t="str">
        <f>IF(OR(ISBLANK(tblSites[[#This Row],[Implementing Partner]]), tblSites[[#This Row],[Implementing Partner]]="-"), tblSites[[#This Row],[Site Agency]], tblSites[[#This Row],[Implementing Partner]])</f>
        <v>PARC</v>
      </c>
      <c r="M294" s="12" t="s">
        <v>55</v>
      </c>
      <c r="N294" s="12" t="str">
        <f>tblSites[[#This Row],[FinalImplementingPartner]]</f>
        <v>PARC</v>
      </c>
    </row>
    <row r="295" spans="1:14" x14ac:dyDescent="0.25">
      <c r="A295" s="12" t="s">
        <v>2722</v>
      </c>
      <c r="B295" s="12" t="s">
        <v>2723</v>
      </c>
      <c r="C295" s="12" t="s">
        <v>2724</v>
      </c>
      <c r="D295" t="s">
        <v>5313</v>
      </c>
      <c r="E295" s="12" t="s">
        <v>3178</v>
      </c>
      <c r="F295" s="12" t="s">
        <v>349</v>
      </c>
      <c r="G295" s="12" t="s">
        <v>5358</v>
      </c>
      <c r="H295" s="12" t="s">
        <v>2723</v>
      </c>
      <c r="I295" s="84">
        <v>26510152</v>
      </c>
      <c r="J295" s="12" t="s">
        <v>662</v>
      </c>
      <c r="K295" s="12" t="s">
        <v>389</v>
      </c>
      <c r="L295" s="12" t="str">
        <f>IF(OR(ISBLANK(tblSites[[#This Row],[Implementing Partner]]), tblSites[[#This Row],[Implementing Partner]]="-"), tblSites[[#This Row],[Site Agency]], tblSites[[#This Row],[Implementing Partner]])</f>
        <v>PARC</v>
      </c>
      <c r="M295" s="12" t="s">
        <v>55</v>
      </c>
      <c r="N295" s="12" t="str">
        <f>tblSites[[#This Row],[FinalImplementingPartner]]</f>
        <v>PARC</v>
      </c>
    </row>
    <row r="296" spans="1:14" x14ac:dyDescent="0.25">
      <c r="A296" s="12" t="s">
        <v>2725</v>
      </c>
      <c r="B296" s="12" t="s">
        <v>2726</v>
      </c>
      <c r="C296" s="12" t="s">
        <v>2727</v>
      </c>
      <c r="D296" t="s">
        <v>5313</v>
      </c>
      <c r="E296" s="12" t="s">
        <v>3178</v>
      </c>
      <c r="F296" s="12" t="s">
        <v>349</v>
      </c>
      <c r="G296" s="12" t="s">
        <v>5378</v>
      </c>
      <c r="H296" s="12" t="s">
        <v>2726</v>
      </c>
      <c r="I296" s="84">
        <v>26510152</v>
      </c>
      <c r="J296" s="12" t="s">
        <v>731</v>
      </c>
      <c r="L296" s="12" t="str">
        <f>IF(OR(ISBLANK(tblSites[[#This Row],[Implementing Partner]]), tblSites[[#This Row],[Implementing Partner]]="-"), tblSites[[#This Row],[Site Agency]], tblSites[[#This Row],[Implementing Partner]])</f>
        <v>MAAN</v>
      </c>
      <c r="M296" s="12" t="s">
        <v>55</v>
      </c>
      <c r="N296" s="12" t="str">
        <f>tblSites[[#This Row],[FinalImplementingPartner]]</f>
        <v>MAAN</v>
      </c>
    </row>
    <row r="297" spans="1:14" x14ac:dyDescent="0.25">
      <c r="A297" s="12" t="s">
        <v>714</v>
      </c>
      <c r="B297" s="12" t="s">
        <v>715</v>
      </c>
      <c r="C297" s="12" t="s">
        <v>716</v>
      </c>
      <c r="D297" t="s">
        <v>5313</v>
      </c>
      <c r="E297" s="12" t="s">
        <v>3178</v>
      </c>
      <c r="F297" s="12" t="s">
        <v>349</v>
      </c>
      <c r="G297" s="12" t="s">
        <v>5350</v>
      </c>
      <c r="H297" s="12" t="s">
        <v>715</v>
      </c>
      <c r="I297" s="84">
        <v>26510152</v>
      </c>
      <c r="J297" s="12" t="s">
        <v>5</v>
      </c>
      <c r="K297" s="12" t="s">
        <v>119</v>
      </c>
      <c r="L297" s="12" t="str">
        <f>IF(OR(ISBLANK(tblSites[[#This Row],[Implementing Partner]]), tblSites[[#This Row],[Implementing Partner]]="-"), tblSites[[#This Row],[Site Agency]], tblSites[[#This Row],[Implementing Partner]])</f>
        <v>BLDA</v>
      </c>
      <c r="M297" s="12" t="s">
        <v>55</v>
      </c>
      <c r="N297" s="12" t="str">
        <f>tblSites[[#This Row],[FinalImplementingPartner]]</f>
        <v>BLDA</v>
      </c>
    </row>
    <row r="298" spans="1:14" x14ac:dyDescent="0.25">
      <c r="A298" s="12" t="s">
        <v>151</v>
      </c>
      <c r="B298" s="12" t="s">
        <v>152</v>
      </c>
      <c r="C298" s="12" t="s">
        <v>153</v>
      </c>
      <c r="D298" t="s">
        <v>5313</v>
      </c>
      <c r="E298" s="12" t="s">
        <v>3178</v>
      </c>
      <c r="F298" s="12" t="s">
        <v>154</v>
      </c>
      <c r="G298" s="12" t="s">
        <v>5336</v>
      </c>
      <c r="H298" s="12" t="s">
        <v>152</v>
      </c>
      <c r="I298" s="84">
        <v>26501147</v>
      </c>
      <c r="J298" s="12" t="s">
        <v>5102</v>
      </c>
      <c r="L298" s="12" t="str">
        <f>IF(OR(ISBLANK(tblSites[[#This Row],[Implementing Partner]]), tblSites[[#This Row],[Implementing Partner]]="-"), tblSites[[#This Row],[Site Agency]], tblSites[[#This Row],[Implementing Partner]])</f>
        <v>No SMA</v>
      </c>
      <c r="M298" s="12" t="s">
        <v>55</v>
      </c>
      <c r="N298" s="12" t="str">
        <f>tblSites[[#This Row],[FinalImplementingPartner]]</f>
        <v>No SMA</v>
      </c>
    </row>
    <row r="299" spans="1:14" x14ac:dyDescent="0.25">
      <c r="A299" s="12" t="s">
        <v>711</v>
      </c>
      <c r="B299" s="12" t="s">
        <v>712</v>
      </c>
      <c r="C299" s="12" t="s">
        <v>713</v>
      </c>
      <c r="D299" t="s">
        <v>5313</v>
      </c>
      <c r="E299" s="12" t="s">
        <v>3178</v>
      </c>
      <c r="F299" s="12" t="s">
        <v>349</v>
      </c>
      <c r="G299" s="12" t="s">
        <v>5350</v>
      </c>
      <c r="H299" s="12" t="s">
        <v>712</v>
      </c>
      <c r="I299" s="84">
        <v>26510152</v>
      </c>
      <c r="J299" s="12" t="s">
        <v>5</v>
      </c>
      <c r="K299" s="12" t="s">
        <v>119</v>
      </c>
      <c r="L299" s="12" t="str">
        <f>IF(OR(ISBLANK(tblSites[[#This Row],[Implementing Partner]]), tblSites[[#This Row],[Implementing Partner]]="-"), tblSites[[#This Row],[Site Agency]], tblSites[[#This Row],[Implementing Partner]])</f>
        <v>BLDA</v>
      </c>
      <c r="M299" s="12" t="s">
        <v>55</v>
      </c>
      <c r="N299" s="12" t="str">
        <f>tblSites[[#This Row],[FinalImplementingPartner]]</f>
        <v>BLDA</v>
      </c>
    </row>
    <row r="300" spans="1:14" x14ac:dyDescent="0.25">
      <c r="A300" s="12" t="s">
        <v>2728</v>
      </c>
      <c r="B300" s="12" t="s">
        <v>2729</v>
      </c>
      <c r="C300" s="12" t="s">
        <v>2730</v>
      </c>
      <c r="D300" t="s">
        <v>5313</v>
      </c>
      <c r="E300" s="12" t="s">
        <v>3178</v>
      </c>
      <c r="F300" s="12" t="s">
        <v>104</v>
      </c>
      <c r="G300" s="12" t="s">
        <v>5379</v>
      </c>
      <c r="H300" s="12" t="s">
        <v>2729</v>
      </c>
      <c r="I300" s="84">
        <v>2651091</v>
      </c>
      <c r="J300" s="12" t="s">
        <v>731</v>
      </c>
      <c r="L300" s="12" t="str">
        <f>IF(OR(ISBLANK(tblSites[[#This Row],[Implementing Partner]]), tblSites[[#This Row],[Implementing Partner]]="-"), tblSites[[#This Row],[Site Agency]], tblSites[[#This Row],[Implementing Partner]])</f>
        <v>MAAN</v>
      </c>
      <c r="M300" s="12" t="s">
        <v>55</v>
      </c>
      <c r="N300" s="12" t="str">
        <f>tblSites[[#This Row],[FinalImplementingPartner]]</f>
        <v>MAAN</v>
      </c>
    </row>
    <row r="301" spans="1:14" x14ac:dyDescent="0.25">
      <c r="A301" s="12" t="s">
        <v>5221</v>
      </c>
      <c r="B301" s="12" t="s">
        <v>1054</v>
      </c>
      <c r="C301" s="12" t="s">
        <v>1055</v>
      </c>
      <c r="D301" t="s">
        <v>5313</v>
      </c>
      <c r="E301" s="12" t="s">
        <v>3178</v>
      </c>
      <c r="F301" s="12" t="s">
        <v>361</v>
      </c>
      <c r="G301" s="12" t="s">
        <v>5377</v>
      </c>
      <c r="H301" s="12" t="s">
        <v>1054</v>
      </c>
      <c r="I301" s="84">
        <v>2651099</v>
      </c>
      <c r="J301" s="12" t="s">
        <v>34</v>
      </c>
      <c r="K301" s="12" t="s">
        <v>662</v>
      </c>
      <c r="L301" s="12" t="str">
        <f>IF(OR(ISBLANK(tblSites[[#This Row],[Implementing Partner]]), tblSites[[#This Row],[Implementing Partner]]="-"), tblSites[[#This Row],[Site Agency]], tblSites[[#This Row],[Implementing Partner]])</f>
        <v>PARC</v>
      </c>
      <c r="M301" s="12" t="s">
        <v>55</v>
      </c>
      <c r="N301" s="12" t="str">
        <f>tblSites[[#This Row],[FinalImplementingPartner]]</f>
        <v>PARC</v>
      </c>
    </row>
    <row r="302" spans="1:14" x14ac:dyDescent="0.25">
      <c r="A302" s="12" t="s">
        <v>346</v>
      </c>
      <c r="B302" s="12" t="s">
        <v>347</v>
      </c>
      <c r="C302" s="12" t="s">
        <v>348</v>
      </c>
      <c r="D302" t="s">
        <v>5313</v>
      </c>
      <c r="E302" s="12" t="s">
        <v>3178</v>
      </c>
      <c r="F302" s="12" t="s">
        <v>349</v>
      </c>
      <c r="G302" s="12" t="s">
        <v>5357</v>
      </c>
      <c r="H302" s="12" t="s">
        <v>347</v>
      </c>
      <c r="I302" s="84">
        <v>26510152</v>
      </c>
      <c r="J302" s="12" t="s">
        <v>35</v>
      </c>
      <c r="L302" s="12" t="str">
        <f>IF(OR(ISBLANK(tblSites[[#This Row],[Implementing Partner]]), tblSites[[#This Row],[Implementing Partner]]="-"), tblSites[[#This Row],[Site Agency]], tblSites[[#This Row],[Implementing Partner]])</f>
        <v>NRC</v>
      </c>
      <c r="M302" s="12" t="s">
        <v>55</v>
      </c>
      <c r="N302" s="12" t="str">
        <f>tblSites[[#This Row],[FinalImplementingPartner]]</f>
        <v>NRC</v>
      </c>
    </row>
    <row r="303" spans="1:14" x14ac:dyDescent="0.25">
      <c r="A303" s="12" t="s">
        <v>1204</v>
      </c>
      <c r="B303" s="12" t="s">
        <v>1205</v>
      </c>
      <c r="C303" s="12" t="s">
        <v>488</v>
      </c>
      <c r="D303" t="s">
        <v>5313</v>
      </c>
      <c r="E303" s="12" t="s">
        <v>3178</v>
      </c>
      <c r="F303" s="12" t="s">
        <v>361</v>
      </c>
      <c r="G303" s="12" t="s">
        <v>5377</v>
      </c>
      <c r="H303" s="12" t="s">
        <v>1205</v>
      </c>
      <c r="I303" s="84">
        <v>2651099</v>
      </c>
      <c r="J303" s="12" t="s">
        <v>34</v>
      </c>
      <c r="K303" s="12" t="s">
        <v>662</v>
      </c>
      <c r="L303" s="12" t="str">
        <f>IF(OR(ISBLANK(tblSites[[#This Row],[Implementing Partner]]), tblSites[[#This Row],[Implementing Partner]]="-"), tblSites[[#This Row],[Site Agency]], tblSites[[#This Row],[Implementing Partner]])</f>
        <v>PARC</v>
      </c>
      <c r="M303" s="12" t="s">
        <v>55</v>
      </c>
      <c r="N303" s="12" t="str">
        <f>tblSites[[#This Row],[FinalImplementingPartner]]</f>
        <v>PARC</v>
      </c>
    </row>
    <row r="304" spans="1:14" x14ac:dyDescent="0.25">
      <c r="A304" s="12" t="s">
        <v>571</v>
      </c>
      <c r="B304" s="12" t="s">
        <v>483</v>
      </c>
      <c r="C304" s="12" t="s">
        <v>435</v>
      </c>
      <c r="D304" t="s">
        <v>5313</v>
      </c>
      <c r="E304" s="12" t="s">
        <v>3178</v>
      </c>
      <c r="F304" s="12" t="s">
        <v>349</v>
      </c>
      <c r="G304" s="12" t="s">
        <v>5327</v>
      </c>
      <c r="H304" s="12" t="s">
        <v>483</v>
      </c>
      <c r="I304" s="84">
        <v>26510152</v>
      </c>
      <c r="J304" s="12" t="s">
        <v>5102</v>
      </c>
      <c r="L304" s="12" t="str">
        <f>IF(OR(ISBLANK(tblSites[[#This Row],[Implementing Partner]]), tblSites[[#This Row],[Implementing Partner]]="-"), tblSites[[#This Row],[Site Agency]], tblSites[[#This Row],[Implementing Partner]])</f>
        <v>No SMA</v>
      </c>
      <c r="M304" s="12" t="s">
        <v>55</v>
      </c>
      <c r="N304" s="12" t="str">
        <f>tblSites[[#This Row],[FinalImplementingPartner]]</f>
        <v>No SMA</v>
      </c>
    </row>
    <row r="305" spans="1:14" x14ac:dyDescent="0.25">
      <c r="A305" s="12" t="s">
        <v>161</v>
      </c>
      <c r="B305" s="12" t="s">
        <v>162</v>
      </c>
      <c r="C305" s="12" t="s">
        <v>162</v>
      </c>
      <c r="D305" t="s">
        <v>5313</v>
      </c>
      <c r="E305" s="12" t="s">
        <v>3178</v>
      </c>
      <c r="F305" s="12" t="s">
        <v>163</v>
      </c>
      <c r="G305" s="12" t="s">
        <v>5338</v>
      </c>
      <c r="H305" s="12" t="s">
        <v>162</v>
      </c>
      <c r="I305" s="84">
        <v>2651093</v>
      </c>
      <c r="J305" s="12" t="s">
        <v>5102</v>
      </c>
      <c r="L305" s="12" t="str">
        <f>IF(OR(ISBLANK(tblSites[[#This Row],[Implementing Partner]]), tblSites[[#This Row],[Implementing Partner]]="-"), tblSites[[#This Row],[Site Agency]], tblSites[[#This Row],[Implementing Partner]])</f>
        <v>No SMA</v>
      </c>
      <c r="M305" s="12" t="s">
        <v>55</v>
      </c>
      <c r="N305" s="12" t="str">
        <f>tblSites[[#This Row],[FinalImplementingPartner]]</f>
        <v>No SMA</v>
      </c>
    </row>
    <row r="306" spans="1:14" x14ac:dyDescent="0.25">
      <c r="A306" s="12" t="s">
        <v>167</v>
      </c>
      <c r="B306" s="12" t="s">
        <v>168</v>
      </c>
      <c r="C306" s="12" t="s">
        <v>169</v>
      </c>
      <c r="D306" t="s">
        <v>5313</v>
      </c>
      <c r="E306" s="12" t="s">
        <v>3178</v>
      </c>
      <c r="F306" s="12" t="s">
        <v>125</v>
      </c>
      <c r="G306" s="12" t="s">
        <v>5342</v>
      </c>
      <c r="H306" s="12" t="s">
        <v>168</v>
      </c>
      <c r="I306" s="84">
        <v>2651094</v>
      </c>
      <c r="J306" s="12" t="s">
        <v>5102</v>
      </c>
      <c r="L306" s="12" t="str">
        <f>IF(OR(ISBLANK(tblSites[[#This Row],[Implementing Partner]]), tblSites[[#This Row],[Implementing Partner]]="-"), tblSites[[#This Row],[Site Agency]], tblSites[[#This Row],[Implementing Partner]])</f>
        <v>No SMA</v>
      </c>
      <c r="M306" s="12" t="s">
        <v>55</v>
      </c>
      <c r="N306" s="12" t="str">
        <f>tblSites[[#This Row],[FinalImplementingPartner]]</f>
        <v>No SMA</v>
      </c>
    </row>
    <row r="307" spans="1:14" x14ac:dyDescent="0.25">
      <c r="A307" s="12" t="s">
        <v>336</v>
      </c>
      <c r="B307" s="12" t="s">
        <v>337</v>
      </c>
      <c r="C307" s="12" t="s">
        <v>338</v>
      </c>
      <c r="D307" t="s">
        <v>5313</v>
      </c>
      <c r="E307" s="12" t="s">
        <v>3178</v>
      </c>
      <c r="F307" s="12" t="s">
        <v>154</v>
      </c>
      <c r="G307" s="12" t="s">
        <v>5336</v>
      </c>
      <c r="H307" s="12" t="s">
        <v>337</v>
      </c>
      <c r="I307" s="84">
        <v>26501147</v>
      </c>
      <c r="J307" s="12" t="s">
        <v>5102</v>
      </c>
      <c r="L307" s="12" t="str">
        <f>IF(OR(ISBLANK(tblSites[[#This Row],[Implementing Partner]]), tblSites[[#This Row],[Implementing Partner]]="-"), tblSites[[#This Row],[Site Agency]], tblSites[[#This Row],[Implementing Partner]])</f>
        <v>No SMA</v>
      </c>
      <c r="M307" s="12" t="s">
        <v>55</v>
      </c>
      <c r="N307" s="12" t="str">
        <f>tblSites[[#This Row],[FinalImplementingPartner]]</f>
        <v>No SMA</v>
      </c>
    </row>
    <row r="308" spans="1:14" x14ac:dyDescent="0.25">
      <c r="A308" s="12" t="s">
        <v>122</v>
      </c>
      <c r="B308" s="12" t="s">
        <v>123</v>
      </c>
      <c r="C308" s="12" t="s">
        <v>124</v>
      </c>
      <c r="D308" t="s">
        <v>5313</v>
      </c>
      <c r="E308" s="12" t="s">
        <v>3178</v>
      </c>
      <c r="F308" s="12" t="s">
        <v>125</v>
      </c>
      <c r="G308" s="12" t="s">
        <v>5342</v>
      </c>
      <c r="H308" s="12" t="s">
        <v>123</v>
      </c>
      <c r="I308" s="84">
        <v>2651094</v>
      </c>
      <c r="J308" s="12" t="s">
        <v>5102</v>
      </c>
      <c r="L308" s="12" t="str">
        <f>IF(OR(ISBLANK(tblSites[[#This Row],[Implementing Partner]]), tblSites[[#This Row],[Implementing Partner]]="-"), tblSites[[#This Row],[Site Agency]], tblSites[[#This Row],[Implementing Partner]])</f>
        <v>No SMA</v>
      </c>
      <c r="M308" s="12" t="s">
        <v>55</v>
      </c>
      <c r="N308" s="12" t="str">
        <f>tblSites[[#This Row],[FinalImplementingPartner]]</f>
        <v>No SMA</v>
      </c>
    </row>
    <row r="309" spans="1:14" x14ac:dyDescent="0.25">
      <c r="A309" s="12" t="s">
        <v>542</v>
      </c>
      <c r="B309" s="12" t="s">
        <v>543</v>
      </c>
      <c r="C309" s="12" t="s">
        <v>544</v>
      </c>
      <c r="D309" t="s">
        <v>5313</v>
      </c>
      <c r="E309" s="12" t="s">
        <v>3178</v>
      </c>
      <c r="F309" s="12" t="s">
        <v>349</v>
      </c>
      <c r="G309" s="12" t="s">
        <v>5357</v>
      </c>
      <c r="H309" s="12" t="s">
        <v>543</v>
      </c>
      <c r="I309" s="84">
        <v>26510152</v>
      </c>
      <c r="J309" s="12" t="s">
        <v>35</v>
      </c>
      <c r="L309" s="12" t="str">
        <f>IF(OR(ISBLANK(tblSites[[#This Row],[Implementing Partner]]), tblSites[[#This Row],[Implementing Partner]]="-"), tblSites[[#This Row],[Site Agency]], tblSites[[#This Row],[Implementing Partner]])</f>
        <v>NRC</v>
      </c>
      <c r="M309" s="12" t="s">
        <v>55</v>
      </c>
      <c r="N309" s="12" t="str">
        <f>tblSites[[#This Row],[FinalImplementingPartner]]</f>
        <v>NRC</v>
      </c>
    </row>
    <row r="310" spans="1:14" x14ac:dyDescent="0.25">
      <c r="A310" s="12" t="s">
        <v>1201</v>
      </c>
      <c r="B310" s="12" t="s">
        <v>1202</v>
      </c>
      <c r="C310" s="12" t="s">
        <v>1203</v>
      </c>
      <c r="D310" t="s">
        <v>5313</v>
      </c>
      <c r="E310" s="12" t="s">
        <v>3178</v>
      </c>
      <c r="F310" s="12" t="s">
        <v>349</v>
      </c>
      <c r="G310" s="12" t="s">
        <v>5358</v>
      </c>
      <c r="H310" s="12" t="s">
        <v>1202</v>
      </c>
      <c r="I310" s="84">
        <v>26510152</v>
      </c>
      <c r="J310" s="12" t="s">
        <v>34</v>
      </c>
      <c r="K310" s="12" t="s">
        <v>662</v>
      </c>
      <c r="L310" s="12" t="str">
        <f>IF(OR(ISBLANK(tblSites[[#This Row],[Implementing Partner]]), tblSites[[#This Row],[Implementing Partner]]="-"), tblSites[[#This Row],[Site Agency]], tblSites[[#This Row],[Implementing Partner]])</f>
        <v>PARC</v>
      </c>
      <c r="M310" s="12" t="s">
        <v>55</v>
      </c>
      <c r="N310" s="12" t="str">
        <f>tblSites[[#This Row],[FinalImplementingPartner]]</f>
        <v>PARC</v>
      </c>
    </row>
    <row r="311" spans="1:14" x14ac:dyDescent="0.25">
      <c r="A311" s="12" t="s">
        <v>1059</v>
      </c>
      <c r="B311" s="12" t="s">
        <v>1060</v>
      </c>
      <c r="C311" s="12" t="s">
        <v>1061</v>
      </c>
      <c r="D311" t="s">
        <v>5313</v>
      </c>
      <c r="E311" s="12" t="s">
        <v>3178</v>
      </c>
      <c r="F311" s="12" t="s">
        <v>349</v>
      </c>
      <c r="G311" s="12" t="s">
        <v>5358</v>
      </c>
      <c r="H311" s="12" t="s">
        <v>1060</v>
      </c>
      <c r="I311" s="84">
        <v>26510152</v>
      </c>
      <c r="J311" s="12" t="s">
        <v>34</v>
      </c>
      <c r="K311" s="12" t="s">
        <v>662</v>
      </c>
      <c r="L311" s="12" t="str">
        <f>IF(OR(ISBLANK(tblSites[[#This Row],[Implementing Partner]]), tblSites[[#This Row],[Implementing Partner]]="-"), tblSites[[#This Row],[Site Agency]], tblSites[[#This Row],[Implementing Partner]])</f>
        <v>PARC</v>
      </c>
      <c r="M311" s="12" t="s">
        <v>55</v>
      </c>
      <c r="N311" s="12" t="str">
        <f>tblSites[[#This Row],[FinalImplementingPartner]]</f>
        <v>PARC</v>
      </c>
    </row>
    <row r="312" spans="1:14" x14ac:dyDescent="0.25">
      <c r="A312" s="12" t="s">
        <v>2731</v>
      </c>
      <c r="B312" s="12" t="s">
        <v>2732</v>
      </c>
      <c r="C312" s="12" t="s">
        <v>2733</v>
      </c>
      <c r="D312" t="s">
        <v>5313</v>
      </c>
      <c r="E312" s="12" t="s">
        <v>3178</v>
      </c>
      <c r="F312" s="12" t="s">
        <v>504</v>
      </c>
      <c r="G312" s="12" t="s">
        <v>5380</v>
      </c>
      <c r="H312" s="12" t="s">
        <v>2732</v>
      </c>
      <c r="I312" s="84">
        <v>2650576</v>
      </c>
      <c r="J312" s="12" t="s">
        <v>35</v>
      </c>
      <c r="K312" s="12" t="s">
        <v>389</v>
      </c>
      <c r="L312" s="12" t="str">
        <f>IF(OR(ISBLANK(tblSites[[#This Row],[Implementing Partner]]), tblSites[[#This Row],[Implementing Partner]]="-"), tblSites[[#This Row],[Site Agency]], tblSites[[#This Row],[Implementing Partner]])</f>
        <v>NRC</v>
      </c>
      <c r="M312" s="12" t="s">
        <v>55</v>
      </c>
      <c r="N312" s="12" t="str">
        <f>tblSites[[#This Row],[FinalImplementingPartner]]</f>
        <v>NRC</v>
      </c>
    </row>
    <row r="313" spans="1:14" x14ac:dyDescent="0.25">
      <c r="A313" s="12" t="s">
        <v>2734</v>
      </c>
      <c r="B313" s="12" t="s">
        <v>2735</v>
      </c>
      <c r="C313" s="12" t="s">
        <v>1258</v>
      </c>
      <c r="D313" t="s">
        <v>5313</v>
      </c>
      <c r="E313" s="12" t="s">
        <v>3178</v>
      </c>
      <c r="F313" s="12" t="s">
        <v>97</v>
      </c>
      <c r="G313" s="12" t="s">
        <v>5351</v>
      </c>
      <c r="H313" s="12" t="s">
        <v>2735</v>
      </c>
      <c r="I313" s="84">
        <v>2650575</v>
      </c>
      <c r="J313" s="12" t="s">
        <v>35</v>
      </c>
      <c r="K313" s="12" t="s">
        <v>389</v>
      </c>
      <c r="L313" s="12" t="str">
        <f>IF(OR(ISBLANK(tblSites[[#This Row],[Implementing Partner]]), tblSites[[#This Row],[Implementing Partner]]="-"), tblSites[[#This Row],[Site Agency]], tblSites[[#This Row],[Implementing Partner]])</f>
        <v>NRC</v>
      </c>
      <c r="M313" s="12" t="s">
        <v>55</v>
      </c>
      <c r="N313" s="12" t="str">
        <f>tblSites[[#This Row],[FinalImplementingPartner]]</f>
        <v>NRC</v>
      </c>
    </row>
    <row r="314" spans="1:14" x14ac:dyDescent="0.25">
      <c r="A314" s="12" t="s">
        <v>2736</v>
      </c>
      <c r="B314" s="12" t="s">
        <v>2737</v>
      </c>
      <c r="C314" s="12" t="s">
        <v>2398</v>
      </c>
      <c r="D314" t="s">
        <v>5313</v>
      </c>
      <c r="E314" s="12" t="s">
        <v>3178</v>
      </c>
      <c r="F314" s="12" t="s">
        <v>349</v>
      </c>
      <c r="G314" s="12" t="s">
        <v>5327</v>
      </c>
      <c r="H314" s="12" t="s">
        <v>2737</v>
      </c>
      <c r="I314" s="84">
        <v>26510152</v>
      </c>
      <c r="J314" s="12" t="s">
        <v>5102</v>
      </c>
      <c r="L314" s="12" t="str">
        <f>IF(OR(ISBLANK(tblSites[[#This Row],[Implementing Partner]]), tblSites[[#This Row],[Implementing Partner]]="-"), tblSites[[#This Row],[Site Agency]], tblSites[[#This Row],[Implementing Partner]])</f>
        <v>No SMA</v>
      </c>
      <c r="M314" s="12" t="s">
        <v>55</v>
      </c>
      <c r="N314" s="12" t="str">
        <f>tblSites[[#This Row],[FinalImplementingPartner]]</f>
        <v>No SMA</v>
      </c>
    </row>
    <row r="315" spans="1:14" x14ac:dyDescent="0.25">
      <c r="A315" s="12" t="s">
        <v>2738</v>
      </c>
      <c r="B315" s="12" t="s">
        <v>643</v>
      </c>
      <c r="C315" s="12" t="s">
        <v>557</v>
      </c>
      <c r="D315" t="s">
        <v>5313</v>
      </c>
      <c r="E315" s="12" t="s">
        <v>3178</v>
      </c>
      <c r="F315" s="12" t="s">
        <v>1724</v>
      </c>
      <c r="G315" s="12" t="s">
        <v>5334</v>
      </c>
      <c r="H315" s="12" t="s">
        <v>643</v>
      </c>
      <c r="I315" s="84">
        <v>26510151</v>
      </c>
      <c r="J315" s="12" t="s">
        <v>5102</v>
      </c>
      <c r="L315" s="12" t="str">
        <f>IF(OR(ISBLANK(tblSites[[#This Row],[Implementing Partner]]), tblSites[[#This Row],[Implementing Partner]]="-"), tblSites[[#This Row],[Site Agency]], tblSites[[#This Row],[Implementing Partner]])</f>
        <v>No SMA</v>
      </c>
      <c r="M315" s="12" t="s">
        <v>55</v>
      </c>
      <c r="N315" s="12" t="str">
        <f>tblSites[[#This Row],[FinalImplementingPartner]]</f>
        <v>No SMA</v>
      </c>
    </row>
    <row r="316" spans="1:14" x14ac:dyDescent="0.25">
      <c r="A316" s="12" t="s">
        <v>2739</v>
      </c>
      <c r="B316" s="12" t="s">
        <v>2740</v>
      </c>
      <c r="C316" s="12" t="s">
        <v>2741</v>
      </c>
      <c r="D316" t="s">
        <v>5313</v>
      </c>
      <c r="E316" s="12" t="s">
        <v>3178</v>
      </c>
      <c r="F316" s="12" t="s">
        <v>504</v>
      </c>
      <c r="G316" s="12" t="s">
        <v>5354</v>
      </c>
      <c r="H316" s="12" t="s">
        <v>2740</v>
      </c>
      <c r="I316" s="84">
        <v>2650576</v>
      </c>
      <c r="J316" s="12" t="s">
        <v>5102</v>
      </c>
      <c r="K316" s="12" t="s">
        <v>389</v>
      </c>
      <c r="L316" s="12" t="str">
        <f>IF(OR(ISBLANK(tblSites[[#This Row],[Implementing Partner]]), tblSites[[#This Row],[Implementing Partner]]="-"), tblSites[[#This Row],[Site Agency]], tblSites[[#This Row],[Implementing Partner]])</f>
        <v>No SMA</v>
      </c>
      <c r="M316" s="12" t="s">
        <v>55</v>
      </c>
      <c r="N316" s="12" t="str">
        <f>tblSites[[#This Row],[FinalImplementingPartner]]</f>
        <v>No SMA</v>
      </c>
    </row>
    <row r="317" spans="1:14" x14ac:dyDescent="0.25">
      <c r="A317" s="12" t="s">
        <v>2742</v>
      </c>
      <c r="B317" s="12" t="s">
        <v>2743</v>
      </c>
      <c r="C317" s="12" t="s">
        <v>2744</v>
      </c>
      <c r="D317" t="s">
        <v>5313</v>
      </c>
      <c r="E317" s="12" t="s">
        <v>3178</v>
      </c>
      <c r="F317" s="12" t="s">
        <v>154</v>
      </c>
      <c r="G317" s="12" t="s">
        <v>5361</v>
      </c>
      <c r="H317" s="12" t="s">
        <v>2743</v>
      </c>
      <c r="I317" s="84">
        <v>26501147</v>
      </c>
      <c r="J317" s="12" t="s">
        <v>35</v>
      </c>
      <c r="L317" s="12" t="str">
        <f>IF(OR(ISBLANK(tblSites[[#This Row],[Implementing Partner]]), tblSites[[#This Row],[Implementing Partner]]="-"), tblSites[[#This Row],[Site Agency]], tblSites[[#This Row],[Implementing Partner]])</f>
        <v>NRC</v>
      </c>
      <c r="M317" s="12" t="s">
        <v>55</v>
      </c>
      <c r="N317" s="12" t="str">
        <f>tblSites[[#This Row],[FinalImplementingPartner]]</f>
        <v>NRC</v>
      </c>
    </row>
    <row r="318" spans="1:14" x14ac:dyDescent="0.25">
      <c r="A318" s="12" t="s">
        <v>880</v>
      </c>
      <c r="B318" s="12" t="s">
        <v>881</v>
      </c>
      <c r="C318" s="12" t="s">
        <v>882</v>
      </c>
      <c r="D318" t="s">
        <v>5313</v>
      </c>
      <c r="E318" s="12" t="s">
        <v>3178</v>
      </c>
      <c r="F318" s="12" t="s">
        <v>358</v>
      </c>
      <c r="G318" s="12" t="s">
        <v>5381</v>
      </c>
      <c r="H318" s="12" t="s">
        <v>881</v>
      </c>
      <c r="I318" s="84">
        <v>2650577</v>
      </c>
      <c r="J318" s="12" t="s">
        <v>5</v>
      </c>
      <c r="K318" s="12" t="s">
        <v>731</v>
      </c>
      <c r="L318" s="12" t="str">
        <f>IF(OR(ISBLANK(tblSites[[#This Row],[Implementing Partner]]), tblSites[[#This Row],[Implementing Partner]]="-"), tblSites[[#This Row],[Site Agency]], tblSites[[#This Row],[Implementing Partner]])</f>
        <v>MAAN</v>
      </c>
      <c r="M318" s="12" t="s">
        <v>55</v>
      </c>
      <c r="N318" s="12" t="str">
        <f>tblSites[[#This Row],[FinalImplementingPartner]]</f>
        <v>MAAN</v>
      </c>
    </row>
    <row r="319" spans="1:14" x14ac:dyDescent="0.25">
      <c r="A319" s="12" t="s">
        <v>2745</v>
      </c>
      <c r="B319" s="12" t="s">
        <v>2746</v>
      </c>
      <c r="C319" s="12" t="s">
        <v>2747</v>
      </c>
      <c r="D319" t="s">
        <v>5313</v>
      </c>
      <c r="E319" s="12" t="s">
        <v>3178</v>
      </c>
      <c r="F319" s="12" t="s">
        <v>349</v>
      </c>
      <c r="G319" s="12" t="s">
        <v>5357</v>
      </c>
      <c r="H319" s="12" t="s">
        <v>2746</v>
      </c>
      <c r="I319" s="84">
        <v>26510152</v>
      </c>
      <c r="J319" s="12" t="s">
        <v>35</v>
      </c>
      <c r="L319" s="12" t="str">
        <f>IF(OR(ISBLANK(tblSites[[#This Row],[Implementing Partner]]), tblSites[[#This Row],[Implementing Partner]]="-"), tblSites[[#This Row],[Site Agency]], tblSites[[#This Row],[Implementing Partner]])</f>
        <v>NRC</v>
      </c>
      <c r="M319" s="12" t="s">
        <v>55</v>
      </c>
      <c r="N319" s="12" t="str">
        <f>tblSites[[#This Row],[FinalImplementingPartner]]</f>
        <v>NRC</v>
      </c>
    </row>
    <row r="320" spans="1:14" x14ac:dyDescent="0.25">
      <c r="A320" s="12" t="s">
        <v>2748</v>
      </c>
      <c r="B320" s="12" t="s">
        <v>2749</v>
      </c>
      <c r="C320" s="12" t="s">
        <v>2750</v>
      </c>
      <c r="D320" t="s">
        <v>5313</v>
      </c>
      <c r="E320" s="12" t="s">
        <v>3178</v>
      </c>
      <c r="F320" s="12" t="s">
        <v>154</v>
      </c>
      <c r="G320" s="12" t="s">
        <v>5336</v>
      </c>
      <c r="H320" s="12" t="s">
        <v>2749</v>
      </c>
      <c r="I320" s="84">
        <v>26501147</v>
      </c>
      <c r="J320" s="12" t="s">
        <v>5102</v>
      </c>
      <c r="L320" s="12" t="str">
        <f>IF(OR(ISBLANK(tblSites[[#This Row],[Implementing Partner]]), tblSites[[#This Row],[Implementing Partner]]="-"), tblSites[[#This Row],[Site Agency]], tblSites[[#This Row],[Implementing Partner]])</f>
        <v>No SMA</v>
      </c>
      <c r="M320" s="12" t="s">
        <v>55</v>
      </c>
      <c r="N320" s="12" t="str">
        <f>tblSites[[#This Row],[FinalImplementingPartner]]</f>
        <v>No SMA</v>
      </c>
    </row>
    <row r="321" spans="1:14" x14ac:dyDescent="0.25">
      <c r="A321" s="12" t="s">
        <v>2751</v>
      </c>
      <c r="B321" s="12" t="s">
        <v>2752</v>
      </c>
      <c r="C321" s="12" t="s">
        <v>2753</v>
      </c>
      <c r="D321" t="s">
        <v>5313</v>
      </c>
      <c r="E321" s="12" t="s">
        <v>3178</v>
      </c>
      <c r="F321" s="12" t="s">
        <v>2754</v>
      </c>
      <c r="G321" s="12" t="s">
        <v>5382</v>
      </c>
      <c r="H321" s="12" t="s">
        <v>2752</v>
      </c>
      <c r="I321" s="84">
        <v>2651140</v>
      </c>
      <c r="J321" s="12" t="s">
        <v>5102</v>
      </c>
      <c r="L321" s="12" t="str">
        <f>IF(OR(ISBLANK(tblSites[[#This Row],[Implementing Partner]]), tblSites[[#This Row],[Implementing Partner]]="-"), tblSites[[#This Row],[Site Agency]], tblSites[[#This Row],[Implementing Partner]])</f>
        <v>No SMA</v>
      </c>
      <c r="M321" s="12" t="s">
        <v>55</v>
      </c>
      <c r="N321" s="12" t="str">
        <f>tblSites[[#This Row],[FinalImplementingPartner]]</f>
        <v>No SMA</v>
      </c>
    </row>
    <row r="322" spans="1:14" x14ac:dyDescent="0.25">
      <c r="A322" s="12" t="s">
        <v>2755</v>
      </c>
      <c r="B322" s="12" t="s">
        <v>2756</v>
      </c>
      <c r="C322" s="12" t="s">
        <v>2757</v>
      </c>
      <c r="D322" t="s">
        <v>5313</v>
      </c>
      <c r="E322" s="12" t="s">
        <v>3178</v>
      </c>
      <c r="F322" s="12" t="s">
        <v>985</v>
      </c>
      <c r="G322" s="12" t="s">
        <v>5369</v>
      </c>
      <c r="H322" s="12" t="s">
        <v>2756</v>
      </c>
      <c r="I322" s="84">
        <v>2650579</v>
      </c>
      <c r="J322" s="12" t="s">
        <v>35</v>
      </c>
      <c r="L322" s="12" t="str">
        <f>IF(OR(ISBLANK(tblSites[[#This Row],[Implementing Partner]]), tblSites[[#This Row],[Implementing Partner]]="-"), tblSites[[#This Row],[Site Agency]], tblSites[[#This Row],[Implementing Partner]])</f>
        <v>NRC</v>
      </c>
      <c r="M322" s="12" t="s">
        <v>55</v>
      </c>
      <c r="N322" s="12" t="str">
        <f>tblSites[[#This Row],[FinalImplementingPartner]]</f>
        <v>NRC</v>
      </c>
    </row>
    <row r="323" spans="1:14" x14ac:dyDescent="0.25">
      <c r="A323" s="12" t="s">
        <v>2758</v>
      </c>
      <c r="B323" s="12" t="s">
        <v>2759</v>
      </c>
      <c r="C323" s="12" t="s">
        <v>2760</v>
      </c>
      <c r="D323" t="s">
        <v>5313</v>
      </c>
      <c r="E323" s="12" t="s">
        <v>3178</v>
      </c>
      <c r="F323" s="12" t="s">
        <v>985</v>
      </c>
      <c r="G323" s="12" t="s">
        <v>5345</v>
      </c>
      <c r="H323" s="12" t="s">
        <v>2759</v>
      </c>
      <c r="I323" s="84">
        <v>2650579</v>
      </c>
      <c r="J323" s="12" t="s">
        <v>5102</v>
      </c>
      <c r="K323" s="12" t="s">
        <v>389</v>
      </c>
      <c r="L323" s="12" t="str">
        <f>IF(OR(ISBLANK(tblSites[[#This Row],[Implementing Partner]]), tblSites[[#This Row],[Implementing Partner]]="-"), tblSites[[#This Row],[Site Agency]], tblSites[[#This Row],[Implementing Partner]])</f>
        <v>No SMA</v>
      </c>
      <c r="M323" s="12" t="s">
        <v>55</v>
      </c>
      <c r="N323" s="12" t="str">
        <f>tblSites[[#This Row],[FinalImplementingPartner]]</f>
        <v>No SMA</v>
      </c>
    </row>
    <row r="324" spans="1:14" x14ac:dyDescent="0.25">
      <c r="A324" s="12" t="s">
        <v>1186</v>
      </c>
      <c r="B324" s="12" t="s">
        <v>1187</v>
      </c>
      <c r="C324" s="12" t="s">
        <v>1188</v>
      </c>
      <c r="D324" t="s">
        <v>5313</v>
      </c>
      <c r="E324" s="12" t="s">
        <v>3178</v>
      </c>
      <c r="F324" s="12" t="s">
        <v>349</v>
      </c>
      <c r="G324" s="12" t="s">
        <v>5357</v>
      </c>
      <c r="H324" s="12" t="s">
        <v>1187</v>
      </c>
      <c r="I324" s="84">
        <v>26510152</v>
      </c>
      <c r="J324" s="12" t="s">
        <v>35</v>
      </c>
      <c r="L324" s="12" t="str">
        <f>IF(OR(ISBLANK(tblSites[[#This Row],[Implementing Partner]]), tblSites[[#This Row],[Implementing Partner]]="-"), tblSites[[#This Row],[Site Agency]], tblSites[[#This Row],[Implementing Partner]])</f>
        <v>NRC</v>
      </c>
      <c r="M324" s="12" t="s">
        <v>55</v>
      </c>
      <c r="N324" s="12" t="str">
        <f>tblSites[[#This Row],[FinalImplementingPartner]]</f>
        <v>NRC</v>
      </c>
    </row>
    <row r="325" spans="1:14" x14ac:dyDescent="0.25">
      <c r="A325" s="12" t="s">
        <v>2761</v>
      </c>
      <c r="B325" s="12" t="s">
        <v>483</v>
      </c>
      <c r="C325" s="12" t="s">
        <v>435</v>
      </c>
      <c r="D325" t="s">
        <v>5313</v>
      </c>
      <c r="E325" s="12" t="s">
        <v>3178</v>
      </c>
      <c r="F325" s="12" t="s">
        <v>349</v>
      </c>
      <c r="G325" s="12" t="s">
        <v>5327</v>
      </c>
      <c r="H325" s="12" t="s">
        <v>483</v>
      </c>
      <c r="I325" s="84">
        <v>26510152</v>
      </c>
      <c r="J325" s="12" t="s">
        <v>5102</v>
      </c>
      <c r="L325" s="12" t="str">
        <f>IF(OR(ISBLANK(tblSites[[#This Row],[Implementing Partner]]), tblSites[[#This Row],[Implementing Partner]]="-"), tblSites[[#This Row],[Site Agency]], tblSites[[#This Row],[Implementing Partner]])</f>
        <v>No SMA</v>
      </c>
      <c r="M325" s="12" t="s">
        <v>55</v>
      </c>
      <c r="N325" s="12" t="str">
        <f>tblSites[[#This Row],[FinalImplementingPartner]]</f>
        <v>No SMA</v>
      </c>
    </row>
    <row r="326" spans="1:14" x14ac:dyDescent="0.25">
      <c r="A326" s="12" t="s">
        <v>2762</v>
      </c>
      <c r="B326" s="12" t="s">
        <v>2763</v>
      </c>
      <c r="C326" s="12" t="s">
        <v>2764</v>
      </c>
      <c r="D326" t="s">
        <v>5313</v>
      </c>
      <c r="E326" s="12" t="s">
        <v>3178</v>
      </c>
      <c r="F326" s="12" t="s">
        <v>163</v>
      </c>
      <c r="G326" s="12" t="s">
        <v>5338</v>
      </c>
      <c r="H326" s="12" t="s">
        <v>2763</v>
      </c>
      <c r="I326" s="84">
        <v>2651093</v>
      </c>
      <c r="J326" s="12" t="s">
        <v>5102</v>
      </c>
      <c r="L326" s="12" t="str">
        <f>IF(OR(ISBLANK(tblSites[[#This Row],[Implementing Partner]]), tblSites[[#This Row],[Implementing Partner]]="-"), tblSites[[#This Row],[Site Agency]], tblSites[[#This Row],[Implementing Partner]])</f>
        <v>No SMA</v>
      </c>
      <c r="M326" s="12" t="s">
        <v>55</v>
      </c>
      <c r="N326" s="12" t="str">
        <f>tblSites[[#This Row],[FinalImplementingPartner]]</f>
        <v>No SMA</v>
      </c>
    </row>
    <row r="327" spans="1:14" x14ac:dyDescent="0.25">
      <c r="A327" s="12" t="s">
        <v>2765</v>
      </c>
      <c r="B327" s="12" t="s">
        <v>2766</v>
      </c>
      <c r="C327" s="12" t="s">
        <v>2767</v>
      </c>
      <c r="D327" t="s">
        <v>5313</v>
      </c>
      <c r="E327" s="12" t="s">
        <v>3178</v>
      </c>
      <c r="F327" s="12" t="s">
        <v>118</v>
      </c>
      <c r="G327" s="12" t="s">
        <v>5325</v>
      </c>
      <c r="H327" s="12" t="s">
        <v>2766</v>
      </c>
      <c r="I327" s="84">
        <v>2651092</v>
      </c>
      <c r="J327" s="12" t="s">
        <v>5102</v>
      </c>
      <c r="L327" s="12" t="str">
        <f>IF(OR(ISBLANK(tblSites[[#This Row],[Implementing Partner]]), tblSites[[#This Row],[Implementing Partner]]="-"), tblSites[[#This Row],[Site Agency]], tblSites[[#This Row],[Implementing Partner]])</f>
        <v>No SMA</v>
      </c>
      <c r="M327" s="12" t="s">
        <v>55</v>
      </c>
      <c r="N327" s="12" t="str">
        <f>tblSites[[#This Row],[FinalImplementingPartner]]</f>
        <v>No SMA</v>
      </c>
    </row>
    <row r="328" spans="1:14" x14ac:dyDescent="0.25">
      <c r="A328" s="12" t="s">
        <v>2768</v>
      </c>
      <c r="B328" s="12" t="s">
        <v>2769</v>
      </c>
      <c r="C328" s="12" t="s">
        <v>2770</v>
      </c>
      <c r="D328" t="s">
        <v>5313</v>
      </c>
      <c r="E328" s="12" t="s">
        <v>3178</v>
      </c>
      <c r="F328" s="12" t="s">
        <v>1698</v>
      </c>
      <c r="G328" s="12" t="s">
        <v>5383</v>
      </c>
      <c r="H328" s="12" t="s">
        <v>2769</v>
      </c>
      <c r="I328" s="84">
        <v>2650580</v>
      </c>
      <c r="J328" s="12" t="s">
        <v>35</v>
      </c>
      <c r="K328" s="12" t="s">
        <v>389</v>
      </c>
      <c r="L328" s="12" t="str">
        <f>IF(OR(ISBLANK(tblSites[[#This Row],[Implementing Partner]]), tblSites[[#This Row],[Implementing Partner]]="-"), tblSites[[#This Row],[Site Agency]], tblSites[[#This Row],[Implementing Partner]])</f>
        <v>NRC</v>
      </c>
      <c r="M328" s="12" t="s">
        <v>55</v>
      </c>
      <c r="N328" s="12" t="str">
        <f>tblSites[[#This Row],[FinalImplementingPartner]]</f>
        <v>NRC</v>
      </c>
    </row>
    <row r="329" spans="1:14" x14ac:dyDescent="0.25">
      <c r="A329" s="12" t="s">
        <v>2771</v>
      </c>
      <c r="B329" s="12" t="s">
        <v>2772</v>
      </c>
      <c r="C329" s="12" t="s">
        <v>2773</v>
      </c>
      <c r="D329" t="s">
        <v>5313</v>
      </c>
      <c r="E329" s="12" t="s">
        <v>3178</v>
      </c>
      <c r="F329" s="12" t="s">
        <v>1983</v>
      </c>
      <c r="G329" s="12" t="s">
        <v>5340</v>
      </c>
      <c r="H329" s="12" t="s">
        <v>2772</v>
      </c>
      <c r="I329" s="84">
        <v>2650582</v>
      </c>
      <c r="J329" s="12" t="s">
        <v>5102</v>
      </c>
      <c r="K329" s="12" t="s">
        <v>389</v>
      </c>
      <c r="L329" s="12" t="str">
        <f>IF(OR(ISBLANK(tblSites[[#This Row],[Implementing Partner]]), tblSites[[#This Row],[Implementing Partner]]="-"), tblSites[[#This Row],[Site Agency]], tblSites[[#This Row],[Implementing Partner]])</f>
        <v>No SMA</v>
      </c>
      <c r="M329" s="12" t="s">
        <v>55</v>
      </c>
      <c r="N329" s="12" t="str">
        <f>tblSites[[#This Row],[FinalImplementingPartner]]</f>
        <v>No SMA</v>
      </c>
    </row>
    <row r="330" spans="1:14" x14ac:dyDescent="0.25">
      <c r="A330" s="12" t="s">
        <v>2774</v>
      </c>
      <c r="B330" s="12" t="s">
        <v>2775</v>
      </c>
      <c r="C330" s="12" t="s">
        <v>2776</v>
      </c>
      <c r="D330" t="s">
        <v>5313</v>
      </c>
      <c r="E330" s="12" t="s">
        <v>3178</v>
      </c>
      <c r="F330" s="12" t="s">
        <v>118</v>
      </c>
      <c r="G330" s="12" t="s">
        <v>5325</v>
      </c>
      <c r="H330" s="12" t="s">
        <v>2775</v>
      </c>
      <c r="I330" s="84">
        <v>2651092</v>
      </c>
      <c r="J330" s="12" t="s">
        <v>5102</v>
      </c>
      <c r="L330" s="12" t="str">
        <f>IF(OR(ISBLANK(tblSites[[#This Row],[Implementing Partner]]), tblSites[[#This Row],[Implementing Partner]]="-"), tblSites[[#This Row],[Site Agency]], tblSites[[#This Row],[Implementing Partner]])</f>
        <v>No SMA</v>
      </c>
      <c r="M330" s="12" t="s">
        <v>55</v>
      </c>
      <c r="N330" s="12" t="str">
        <f>tblSites[[#This Row],[FinalImplementingPartner]]</f>
        <v>No SMA</v>
      </c>
    </row>
    <row r="331" spans="1:14" x14ac:dyDescent="0.25">
      <c r="A331" s="12" t="s">
        <v>2777</v>
      </c>
      <c r="B331" s="12" t="s">
        <v>2778</v>
      </c>
      <c r="C331" s="12" t="s">
        <v>2779</v>
      </c>
      <c r="D331" t="s">
        <v>5313</v>
      </c>
      <c r="E331" s="12" t="s">
        <v>3178</v>
      </c>
      <c r="F331" s="12" t="s">
        <v>349</v>
      </c>
      <c r="G331" s="12" t="s">
        <v>5327</v>
      </c>
      <c r="H331" s="12" t="s">
        <v>2778</v>
      </c>
      <c r="I331" s="84">
        <v>26510152</v>
      </c>
      <c r="J331" s="12" t="s">
        <v>5102</v>
      </c>
      <c r="K331" s="12" t="s">
        <v>389</v>
      </c>
      <c r="L331" s="12" t="str">
        <f>IF(OR(ISBLANK(tblSites[[#This Row],[Implementing Partner]]), tblSites[[#This Row],[Implementing Partner]]="-"), tblSites[[#This Row],[Site Agency]], tblSites[[#This Row],[Implementing Partner]])</f>
        <v>No SMA</v>
      </c>
      <c r="M331" s="12" t="s">
        <v>55</v>
      </c>
      <c r="N331" s="12" t="str">
        <f>tblSites[[#This Row],[FinalImplementingPartner]]</f>
        <v>No SMA</v>
      </c>
    </row>
    <row r="332" spans="1:14" x14ac:dyDescent="0.25">
      <c r="A332" s="12" t="s">
        <v>2780</v>
      </c>
      <c r="B332" s="12" t="s">
        <v>2781</v>
      </c>
      <c r="C332" s="12" t="s">
        <v>5277</v>
      </c>
      <c r="D332" t="s">
        <v>5313</v>
      </c>
      <c r="E332" s="12" t="s">
        <v>3178</v>
      </c>
      <c r="F332" s="12" t="s">
        <v>349</v>
      </c>
      <c r="G332" s="12" t="s">
        <v>5327</v>
      </c>
      <c r="H332" s="12" t="s">
        <v>2781</v>
      </c>
      <c r="I332" s="84">
        <v>26510152</v>
      </c>
      <c r="J332" s="12" t="s">
        <v>5102</v>
      </c>
      <c r="L332" s="12" t="str">
        <f>IF(OR(ISBLANK(tblSites[[#This Row],[Implementing Partner]]), tblSites[[#This Row],[Implementing Partner]]="-"), tblSites[[#This Row],[Site Agency]], tblSites[[#This Row],[Implementing Partner]])</f>
        <v>No SMA</v>
      </c>
      <c r="M332" s="12" t="s">
        <v>55</v>
      </c>
      <c r="N332" s="12" t="str">
        <f>tblSites[[#This Row],[FinalImplementingPartner]]</f>
        <v>No SMA</v>
      </c>
    </row>
    <row r="333" spans="1:14" x14ac:dyDescent="0.25">
      <c r="A333" s="12" t="s">
        <v>732</v>
      </c>
      <c r="B333" s="12" t="s">
        <v>733</v>
      </c>
      <c r="C333" s="12" t="s">
        <v>734</v>
      </c>
      <c r="D333" t="s">
        <v>5313</v>
      </c>
      <c r="E333" s="12" t="s">
        <v>3178</v>
      </c>
      <c r="F333" s="12" t="s">
        <v>349</v>
      </c>
      <c r="G333" s="12" t="s">
        <v>5378</v>
      </c>
      <c r="H333" s="12" t="s">
        <v>733</v>
      </c>
      <c r="I333" s="84">
        <v>26510152</v>
      </c>
      <c r="J333" s="12" t="s">
        <v>5</v>
      </c>
      <c r="K333" s="12" t="s">
        <v>731</v>
      </c>
      <c r="L333" s="12" t="str">
        <f>IF(OR(ISBLANK(tblSites[[#This Row],[Implementing Partner]]), tblSites[[#This Row],[Implementing Partner]]="-"), tblSites[[#This Row],[Site Agency]], tblSites[[#This Row],[Implementing Partner]])</f>
        <v>MAAN</v>
      </c>
      <c r="M333" s="12" t="s">
        <v>55</v>
      </c>
      <c r="N333" s="12" t="str">
        <f>tblSites[[#This Row],[FinalImplementingPartner]]</f>
        <v>MAAN</v>
      </c>
    </row>
    <row r="334" spans="1:14" x14ac:dyDescent="0.25">
      <c r="A334" s="12" t="s">
        <v>1010</v>
      </c>
      <c r="B334" s="12" t="s">
        <v>1011</v>
      </c>
      <c r="C334" s="12" t="s">
        <v>1012</v>
      </c>
      <c r="D334" t="s">
        <v>5313</v>
      </c>
      <c r="E334" s="12" t="s">
        <v>3178</v>
      </c>
      <c r="F334" s="12" t="s">
        <v>349</v>
      </c>
      <c r="G334" s="12" t="s">
        <v>5378</v>
      </c>
      <c r="H334" s="12" t="s">
        <v>1011</v>
      </c>
      <c r="I334" s="84">
        <v>26510152</v>
      </c>
      <c r="J334" s="12" t="s">
        <v>5</v>
      </c>
      <c r="K334" s="12" t="s">
        <v>731</v>
      </c>
      <c r="L334" s="12" t="str">
        <f>IF(OR(ISBLANK(tblSites[[#This Row],[Implementing Partner]]), tblSites[[#This Row],[Implementing Partner]]="-"), tblSites[[#This Row],[Site Agency]], tblSites[[#This Row],[Implementing Partner]])</f>
        <v>MAAN</v>
      </c>
      <c r="M334" s="12" t="s">
        <v>55</v>
      </c>
      <c r="N334" s="12" t="str">
        <f>tblSites[[#This Row],[FinalImplementingPartner]]</f>
        <v>MAAN</v>
      </c>
    </row>
    <row r="335" spans="1:14" x14ac:dyDescent="0.25">
      <c r="A335" s="12" t="s">
        <v>1004</v>
      </c>
      <c r="B335" s="12" t="s">
        <v>1005</v>
      </c>
      <c r="C335" s="12" t="s">
        <v>1006</v>
      </c>
      <c r="D335" t="s">
        <v>5313</v>
      </c>
      <c r="E335" s="12" t="s">
        <v>3178</v>
      </c>
      <c r="F335" s="12" t="s">
        <v>125</v>
      </c>
      <c r="G335" s="12" t="s">
        <v>5384</v>
      </c>
      <c r="H335" s="12" t="s">
        <v>1005</v>
      </c>
      <c r="I335" s="84">
        <v>2651094</v>
      </c>
      <c r="J335" s="12" t="s">
        <v>5</v>
      </c>
      <c r="K335" s="12" t="s">
        <v>731</v>
      </c>
      <c r="L335" s="12" t="str">
        <f>IF(OR(ISBLANK(tblSites[[#This Row],[Implementing Partner]]), tblSites[[#This Row],[Implementing Partner]]="-"), tblSites[[#This Row],[Site Agency]], tblSites[[#This Row],[Implementing Partner]])</f>
        <v>MAAN</v>
      </c>
      <c r="M335" s="12" t="s">
        <v>55</v>
      </c>
      <c r="N335" s="12" t="str">
        <f>tblSites[[#This Row],[FinalImplementingPartner]]</f>
        <v>MAAN</v>
      </c>
    </row>
    <row r="336" spans="1:14" x14ac:dyDescent="0.25">
      <c r="A336" s="12" t="s">
        <v>2782</v>
      </c>
      <c r="B336" s="12" t="s">
        <v>2783</v>
      </c>
      <c r="C336" s="12" t="s">
        <v>2074</v>
      </c>
      <c r="D336" t="s">
        <v>5313</v>
      </c>
      <c r="E336" s="12" t="s">
        <v>3178</v>
      </c>
      <c r="F336" s="12" t="s">
        <v>154</v>
      </c>
      <c r="G336" s="12" t="s">
        <v>5336</v>
      </c>
      <c r="H336" s="12" t="s">
        <v>2783</v>
      </c>
      <c r="I336" s="84">
        <v>26501147</v>
      </c>
      <c r="J336" s="12" t="s">
        <v>5102</v>
      </c>
      <c r="L336" s="12" t="str">
        <f>IF(OR(ISBLANK(tblSites[[#This Row],[Implementing Partner]]), tblSites[[#This Row],[Implementing Partner]]="-"), tblSites[[#This Row],[Site Agency]], tblSites[[#This Row],[Implementing Partner]])</f>
        <v>No SMA</v>
      </c>
      <c r="M336" s="12" t="s">
        <v>55</v>
      </c>
      <c r="N336" s="12" t="str">
        <f>tblSites[[#This Row],[FinalImplementingPartner]]</f>
        <v>No SMA</v>
      </c>
    </row>
    <row r="337" spans="1:14" x14ac:dyDescent="0.25">
      <c r="A337" s="12" t="s">
        <v>2784</v>
      </c>
      <c r="B337" s="12" t="s">
        <v>2785</v>
      </c>
      <c r="C337" s="12" t="s">
        <v>2786</v>
      </c>
      <c r="D337" t="s">
        <v>5313</v>
      </c>
      <c r="E337" s="12" t="s">
        <v>3178</v>
      </c>
      <c r="F337" s="12" t="s">
        <v>349</v>
      </c>
      <c r="G337" s="12" t="s">
        <v>5327</v>
      </c>
      <c r="H337" s="12" t="s">
        <v>2785</v>
      </c>
      <c r="I337" s="84">
        <v>26510152</v>
      </c>
      <c r="J337" s="12" t="s">
        <v>5102</v>
      </c>
      <c r="L337" s="12" t="str">
        <f>IF(OR(ISBLANK(tblSites[[#This Row],[Implementing Partner]]), tblSites[[#This Row],[Implementing Partner]]="-"), tblSites[[#This Row],[Site Agency]], tblSites[[#This Row],[Implementing Partner]])</f>
        <v>No SMA</v>
      </c>
      <c r="M337" s="12" t="s">
        <v>55</v>
      </c>
      <c r="N337" s="12" t="str">
        <f>tblSites[[#This Row],[FinalImplementingPartner]]</f>
        <v>No SMA</v>
      </c>
    </row>
    <row r="338" spans="1:14" x14ac:dyDescent="0.25">
      <c r="A338" s="12" t="s">
        <v>2787</v>
      </c>
      <c r="B338" s="12" t="s">
        <v>2788</v>
      </c>
      <c r="C338" s="12" t="s">
        <v>2789</v>
      </c>
      <c r="D338" t="s">
        <v>5313</v>
      </c>
      <c r="E338" s="12" t="s">
        <v>3178</v>
      </c>
      <c r="F338" s="12" t="s">
        <v>1724</v>
      </c>
      <c r="G338" s="12" t="s">
        <v>5334</v>
      </c>
      <c r="H338" s="12" t="s">
        <v>2788</v>
      </c>
      <c r="I338" s="84">
        <v>26510151</v>
      </c>
      <c r="J338" s="12" t="s">
        <v>5102</v>
      </c>
      <c r="L338" s="12" t="str">
        <f>IF(OR(ISBLANK(tblSites[[#This Row],[Implementing Partner]]), tblSites[[#This Row],[Implementing Partner]]="-"), tblSites[[#This Row],[Site Agency]], tblSites[[#This Row],[Implementing Partner]])</f>
        <v>No SMA</v>
      </c>
      <c r="M338" s="12" t="s">
        <v>55</v>
      </c>
      <c r="N338" s="12" t="str">
        <f>tblSites[[#This Row],[FinalImplementingPartner]]</f>
        <v>No SMA</v>
      </c>
    </row>
    <row r="339" spans="1:14" x14ac:dyDescent="0.25">
      <c r="A339" s="12" t="s">
        <v>2790</v>
      </c>
      <c r="B339" s="12" t="s">
        <v>3997</v>
      </c>
      <c r="C339" s="12" t="s">
        <v>2791</v>
      </c>
      <c r="D339" t="s">
        <v>5313</v>
      </c>
      <c r="E339" s="12" t="s">
        <v>3178</v>
      </c>
      <c r="F339" s="12" t="s">
        <v>349</v>
      </c>
      <c r="G339" s="12" t="s">
        <v>5350</v>
      </c>
      <c r="H339" s="12" t="s">
        <v>3997</v>
      </c>
      <c r="I339" s="84">
        <v>26510152</v>
      </c>
      <c r="J339" s="12" t="s">
        <v>5</v>
      </c>
      <c r="K339" s="12" t="s">
        <v>119</v>
      </c>
      <c r="L339" s="12" t="str">
        <f>IF(OR(ISBLANK(tblSites[[#This Row],[Implementing Partner]]), tblSites[[#This Row],[Implementing Partner]]="-"), tblSites[[#This Row],[Site Agency]], tblSites[[#This Row],[Implementing Partner]])</f>
        <v>BLDA</v>
      </c>
      <c r="M339" s="12" t="s">
        <v>55</v>
      </c>
      <c r="N339" s="12" t="str">
        <f>tblSites[[#This Row],[FinalImplementingPartner]]</f>
        <v>BLDA</v>
      </c>
    </row>
    <row r="340" spans="1:14" x14ac:dyDescent="0.25">
      <c r="A340" s="12" t="s">
        <v>2792</v>
      </c>
      <c r="B340" s="12" t="s">
        <v>2793</v>
      </c>
      <c r="C340" s="12" t="s">
        <v>2794</v>
      </c>
      <c r="D340" t="s">
        <v>5313</v>
      </c>
      <c r="E340" s="12" t="s">
        <v>3178</v>
      </c>
      <c r="F340" s="12" t="s">
        <v>1724</v>
      </c>
      <c r="G340" s="12" t="s">
        <v>5334</v>
      </c>
      <c r="H340" s="12" t="s">
        <v>2793</v>
      </c>
      <c r="I340" s="84">
        <v>26510151</v>
      </c>
      <c r="J340" s="12" t="s">
        <v>5102</v>
      </c>
      <c r="L340" s="12" t="str">
        <f>IF(OR(ISBLANK(tblSites[[#This Row],[Implementing Partner]]), tblSites[[#This Row],[Implementing Partner]]="-"), tblSites[[#This Row],[Site Agency]], tblSites[[#This Row],[Implementing Partner]])</f>
        <v>No SMA</v>
      </c>
      <c r="M340" s="12" t="s">
        <v>55</v>
      </c>
      <c r="N340" s="12" t="str">
        <f>tblSites[[#This Row],[FinalImplementingPartner]]</f>
        <v>No SMA</v>
      </c>
    </row>
    <row r="341" spans="1:14" x14ac:dyDescent="0.25">
      <c r="A341" s="12" t="s">
        <v>2795</v>
      </c>
      <c r="B341" s="12" t="s">
        <v>211</v>
      </c>
      <c r="C341" s="12" t="s">
        <v>1562</v>
      </c>
      <c r="D341" t="s">
        <v>5313</v>
      </c>
      <c r="E341" s="12" t="s">
        <v>3178</v>
      </c>
      <c r="F341" s="12" t="s">
        <v>349</v>
      </c>
      <c r="G341" s="12" t="s">
        <v>5327</v>
      </c>
      <c r="H341" s="12" t="s">
        <v>211</v>
      </c>
      <c r="I341" s="84">
        <v>26510152</v>
      </c>
      <c r="J341" s="12" t="s">
        <v>5102</v>
      </c>
      <c r="L341" s="12" t="str">
        <f>IF(OR(ISBLANK(tblSites[[#This Row],[Implementing Partner]]), tblSites[[#This Row],[Implementing Partner]]="-"), tblSites[[#This Row],[Site Agency]], tblSites[[#This Row],[Implementing Partner]])</f>
        <v>No SMA</v>
      </c>
      <c r="M341" s="12" t="s">
        <v>55</v>
      </c>
      <c r="N341" s="12" t="str">
        <f>tblSites[[#This Row],[FinalImplementingPartner]]</f>
        <v>No SMA</v>
      </c>
    </row>
    <row r="342" spans="1:14" x14ac:dyDescent="0.25">
      <c r="A342" s="12" t="s">
        <v>2796</v>
      </c>
      <c r="B342" s="12" t="s">
        <v>2797</v>
      </c>
      <c r="C342" s="12" t="s">
        <v>2798</v>
      </c>
      <c r="D342" t="s">
        <v>5313</v>
      </c>
      <c r="E342" s="12" t="s">
        <v>3178</v>
      </c>
      <c r="F342" s="12" t="s">
        <v>361</v>
      </c>
      <c r="G342" s="12" t="s">
        <v>5333</v>
      </c>
      <c r="H342" s="12" t="s">
        <v>2797</v>
      </c>
      <c r="I342" s="84">
        <v>2651099</v>
      </c>
      <c r="J342" s="12" t="s">
        <v>5102</v>
      </c>
      <c r="L342" s="12" t="str">
        <f>IF(OR(ISBLANK(tblSites[[#This Row],[Implementing Partner]]), tblSites[[#This Row],[Implementing Partner]]="-"), tblSites[[#This Row],[Site Agency]], tblSites[[#This Row],[Implementing Partner]])</f>
        <v>No SMA</v>
      </c>
      <c r="M342" s="12" t="s">
        <v>55</v>
      </c>
      <c r="N342" s="12" t="str">
        <f>tblSites[[#This Row],[FinalImplementingPartner]]</f>
        <v>No SMA</v>
      </c>
    </row>
    <row r="343" spans="1:14" x14ac:dyDescent="0.25">
      <c r="A343" s="12" t="s">
        <v>2799</v>
      </c>
      <c r="B343" s="12" t="s">
        <v>2800</v>
      </c>
      <c r="C343" s="12" t="s">
        <v>2801</v>
      </c>
      <c r="D343" t="s">
        <v>5313</v>
      </c>
      <c r="E343" s="12" t="s">
        <v>3178</v>
      </c>
      <c r="F343" s="12" t="s">
        <v>125</v>
      </c>
      <c r="G343" s="12" t="s">
        <v>5342</v>
      </c>
      <c r="H343" s="12" t="s">
        <v>2800</v>
      </c>
      <c r="I343" s="84">
        <v>2651094</v>
      </c>
      <c r="J343" s="12" t="s">
        <v>5102</v>
      </c>
      <c r="L343" s="12" t="str">
        <f>IF(OR(ISBLANK(tblSites[[#This Row],[Implementing Partner]]), tblSites[[#This Row],[Implementing Partner]]="-"), tblSites[[#This Row],[Site Agency]], tblSites[[#This Row],[Implementing Partner]])</f>
        <v>No SMA</v>
      </c>
      <c r="M343" s="12" t="s">
        <v>55</v>
      </c>
      <c r="N343" s="12" t="str">
        <f>tblSites[[#This Row],[FinalImplementingPartner]]</f>
        <v>No SMA</v>
      </c>
    </row>
    <row r="344" spans="1:14" x14ac:dyDescent="0.25">
      <c r="A344" s="12" t="s">
        <v>2802</v>
      </c>
      <c r="B344" s="12" t="s">
        <v>2803</v>
      </c>
      <c r="C344" s="12" t="s">
        <v>2804</v>
      </c>
      <c r="D344" t="s">
        <v>5313</v>
      </c>
      <c r="E344" s="12" t="s">
        <v>3178</v>
      </c>
      <c r="F344" s="12" t="s">
        <v>1724</v>
      </c>
      <c r="G344" s="12" t="s">
        <v>5334</v>
      </c>
      <c r="H344" s="12" t="s">
        <v>2803</v>
      </c>
      <c r="I344" s="84">
        <v>26510151</v>
      </c>
      <c r="J344" s="12" t="s">
        <v>5102</v>
      </c>
      <c r="L344" s="12" t="str">
        <f>IF(OR(ISBLANK(tblSites[[#This Row],[Implementing Partner]]), tblSites[[#This Row],[Implementing Partner]]="-"), tblSites[[#This Row],[Site Agency]], tblSites[[#This Row],[Implementing Partner]])</f>
        <v>No SMA</v>
      </c>
      <c r="M344" s="12" t="s">
        <v>55</v>
      </c>
      <c r="N344" s="12" t="str">
        <f>tblSites[[#This Row],[FinalImplementingPartner]]</f>
        <v>No SMA</v>
      </c>
    </row>
    <row r="345" spans="1:14" x14ac:dyDescent="0.25">
      <c r="A345" s="12" t="s">
        <v>2805</v>
      </c>
      <c r="B345" s="12" t="s">
        <v>2806</v>
      </c>
      <c r="C345" s="12" t="s">
        <v>271</v>
      </c>
      <c r="D345" t="s">
        <v>5313</v>
      </c>
      <c r="E345" s="12" t="s">
        <v>3178</v>
      </c>
      <c r="F345" s="12" t="s">
        <v>154</v>
      </c>
      <c r="G345" s="12" t="s">
        <v>5353</v>
      </c>
      <c r="H345" s="12" t="s">
        <v>2806</v>
      </c>
      <c r="I345" s="84">
        <v>26501147</v>
      </c>
      <c r="J345" s="12" t="s">
        <v>359</v>
      </c>
      <c r="K345" s="12" t="s">
        <v>389</v>
      </c>
      <c r="L345" s="12" t="str">
        <f>IF(OR(ISBLANK(tblSites[[#This Row],[Implementing Partner]]), tblSites[[#This Row],[Implementing Partner]]="-"), tblSites[[#This Row],[Site Agency]], tblSites[[#This Row],[Implementing Partner]])</f>
        <v>FAFD</v>
      </c>
      <c r="M345" s="12" t="s">
        <v>55</v>
      </c>
      <c r="N345" s="12" t="str">
        <f>tblSites[[#This Row],[FinalImplementingPartner]]</f>
        <v>FAFD</v>
      </c>
    </row>
    <row r="346" spans="1:14" x14ac:dyDescent="0.25">
      <c r="A346" s="12" t="s">
        <v>2807</v>
      </c>
      <c r="B346" s="12" t="s">
        <v>2808</v>
      </c>
      <c r="C346" s="12" t="s">
        <v>2809</v>
      </c>
      <c r="D346" t="s">
        <v>5313</v>
      </c>
      <c r="E346" s="12" t="s">
        <v>3178</v>
      </c>
      <c r="F346" s="12" t="s">
        <v>985</v>
      </c>
      <c r="G346" s="12" t="s">
        <v>5345</v>
      </c>
      <c r="H346" s="12" t="s">
        <v>2808</v>
      </c>
      <c r="I346" s="84">
        <v>2650579</v>
      </c>
      <c r="J346" s="12" t="s">
        <v>5102</v>
      </c>
      <c r="K346" s="12" t="s">
        <v>389</v>
      </c>
      <c r="L346" s="12" t="str">
        <f>IF(OR(ISBLANK(tblSites[[#This Row],[Implementing Partner]]), tblSites[[#This Row],[Implementing Partner]]="-"), tblSites[[#This Row],[Site Agency]], tblSites[[#This Row],[Implementing Partner]])</f>
        <v>No SMA</v>
      </c>
      <c r="M346" s="12" t="s">
        <v>55</v>
      </c>
      <c r="N346" s="12" t="str">
        <f>tblSites[[#This Row],[FinalImplementingPartner]]</f>
        <v>No SMA</v>
      </c>
    </row>
    <row r="347" spans="1:14" x14ac:dyDescent="0.25">
      <c r="A347" s="12" t="s">
        <v>2810</v>
      </c>
      <c r="B347" s="12" t="s">
        <v>2811</v>
      </c>
      <c r="C347" s="12" t="s">
        <v>2812</v>
      </c>
      <c r="D347" t="s">
        <v>5313</v>
      </c>
      <c r="E347" s="12" t="s">
        <v>3178</v>
      </c>
      <c r="F347" s="12" t="s">
        <v>154</v>
      </c>
      <c r="G347" s="12" t="s">
        <v>5336</v>
      </c>
      <c r="H347" s="12" t="s">
        <v>2811</v>
      </c>
      <c r="I347" s="84">
        <v>26501147</v>
      </c>
      <c r="J347" s="12" t="s">
        <v>5102</v>
      </c>
      <c r="L347" s="12" t="str">
        <f>IF(OR(ISBLANK(tblSites[[#This Row],[Implementing Partner]]), tblSites[[#This Row],[Implementing Partner]]="-"), tblSites[[#This Row],[Site Agency]], tblSites[[#This Row],[Implementing Partner]])</f>
        <v>No SMA</v>
      </c>
      <c r="M347" s="12" t="s">
        <v>55</v>
      </c>
      <c r="N347" s="12" t="str">
        <f>tblSites[[#This Row],[FinalImplementingPartner]]</f>
        <v>No SMA</v>
      </c>
    </row>
    <row r="348" spans="1:14" x14ac:dyDescent="0.25">
      <c r="A348" s="12" t="s">
        <v>2813</v>
      </c>
      <c r="B348" s="12" t="s">
        <v>2814</v>
      </c>
      <c r="C348" s="12" t="s">
        <v>2815</v>
      </c>
      <c r="D348" t="s">
        <v>5313</v>
      </c>
      <c r="E348" s="12" t="s">
        <v>3178</v>
      </c>
      <c r="F348" s="12" t="s">
        <v>2207</v>
      </c>
      <c r="G348" s="12" t="s">
        <v>5385</v>
      </c>
      <c r="H348" s="12" t="s">
        <v>2814</v>
      </c>
      <c r="I348" s="84">
        <v>26503148</v>
      </c>
      <c r="J348" s="12" t="s">
        <v>673</v>
      </c>
      <c r="L348" s="12" t="str">
        <f>IF(OR(ISBLANK(tblSites[[#This Row],[Implementing Partner]]), tblSites[[#This Row],[Implementing Partner]]="-"), tblSites[[#This Row],[Site Agency]], tblSites[[#This Row],[Implementing Partner]])</f>
        <v>FADE</v>
      </c>
      <c r="M348" s="12" t="s">
        <v>55</v>
      </c>
      <c r="N348" s="12" t="str">
        <f>tblSites[[#This Row],[FinalImplementingPartner]]</f>
        <v>FADE</v>
      </c>
    </row>
    <row r="349" spans="1:14" x14ac:dyDescent="0.25">
      <c r="A349" s="12" t="s">
        <v>2816</v>
      </c>
      <c r="B349" s="12" t="s">
        <v>2817</v>
      </c>
      <c r="C349" s="12" t="s">
        <v>5278</v>
      </c>
      <c r="D349" t="s">
        <v>5313</v>
      </c>
      <c r="E349" s="12" t="s">
        <v>3178</v>
      </c>
      <c r="F349" s="12" t="s">
        <v>2207</v>
      </c>
      <c r="G349" s="12" t="s">
        <v>5385</v>
      </c>
      <c r="H349" s="12" t="s">
        <v>2817</v>
      </c>
      <c r="I349" s="84">
        <v>26503148</v>
      </c>
      <c r="J349" s="12" t="s">
        <v>673</v>
      </c>
      <c r="L349" s="12" t="str">
        <f>IF(OR(ISBLANK(tblSites[[#This Row],[Implementing Partner]]), tblSites[[#This Row],[Implementing Partner]]="-"), tblSites[[#This Row],[Site Agency]], tblSites[[#This Row],[Implementing Partner]])</f>
        <v>FADE</v>
      </c>
      <c r="M349" s="12" t="s">
        <v>55</v>
      </c>
      <c r="N349" s="12" t="str">
        <f>tblSites[[#This Row],[FinalImplementingPartner]]</f>
        <v>FADE</v>
      </c>
    </row>
    <row r="350" spans="1:14" x14ac:dyDescent="0.25">
      <c r="A350" s="12" t="s">
        <v>2818</v>
      </c>
      <c r="B350" s="12" t="s">
        <v>2819</v>
      </c>
      <c r="C350" s="12" t="s">
        <v>1511</v>
      </c>
      <c r="D350" t="s">
        <v>5313</v>
      </c>
      <c r="E350" s="12" t="s">
        <v>3178</v>
      </c>
      <c r="F350" s="12" t="s">
        <v>2207</v>
      </c>
      <c r="G350" s="12" t="s">
        <v>5385</v>
      </c>
      <c r="H350" s="12" t="s">
        <v>2819</v>
      </c>
      <c r="I350" s="84">
        <v>26503148</v>
      </c>
      <c r="J350" s="12" t="s">
        <v>673</v>
      </c>
      <c r="L350" s="12" t="str">
        <f>IF(OR(ISBLANK(tblSites[[#This Row],[Implementing Partner]]), tblSites[[#This Row],[Implementing Partner]]="-"), tblSites[[#This Row],[Site Agency]], tblSites[[#This Row],[Implementing Partner]])</f>
        <v>FADE</v>
      </c>
      <c r="M350" s="12" t="s">
        <v>55</v>
      </c>
      <c r="N350" s="12" t="str">
        <f>tblSites[[#This Row],[FinalImplementingPartner]]</f>
        <v>FADE</v>
      </c>
    </row>
    <row r="351" spans="1:14" x14ac:dyDescent="0.25">
      <c r="A351" s="12" t="s">
        <v>2820</v>
      </c>
      <c r="B351" s="12" t="s">
        <v>2821</v>
      </c>
      <c r="C351" s="12" t="s">
        <v>2822</v>
      </c>
      <c r="D351" t="s">
        <v>5313</v>
      </c>
      <c r="E351" s="12" t="s">
        <v>3178</v>
      </c>
      <c r="F351" s="12" t="s">
        <v>2207</v>
      </c>
      <c r="G351" s="12" t="s">
        <v>5385</v>
      </c>
      <c r="H351" s="12" t="s">
        <v>2821</v>
      </c>
      <c r="I351" s="84">
        <v>26503148</v>
      </c>
      <c r="J351" s="12" t="s">
        <v>673</v>
      </c>
      <c r="L351" s="12" t="str">
        <f>IF(OR(ISBLANK(tblSites[[#This Row],[Implementing Partner]]), tblSites[[#This Row],[Implementing Partner]]="-"), tblSites[[#This Row],[Site Agency]], tblSites[[#This Row],[Implementing Partner]])</f>
        <v>FADE</v>
      </c>
      <c r="M351" s="12" t="s">
        <v>55</v>
      </c>
      <c r="N351" s="12" t="str">
        <f>tblSites[[#This Row],[FinalImplementingPartner]]</f>
        <v>FADE</v>
      </c>
    </row>
    <row r="352" spans="1:14" x14ac:dyDescent="0.25">
      <c r="A352" s="12" t="s">
        <v>2823</v>
      </c>
      <c r="B352" s="12" t="s">
        <v>2824</v>
      </c>
      <c r="C352" s="12" t="s">
        <v>2825</v>
      </c>
      <c r="D352" t="s">
        <v>5313</v>
      </c>
      <c r="E352" s="12" t="s">
        <v>3178</v>
      </c>
      <c r="F352" s="12" t="s">
        <v>2207</v>
      </c>
      <c r="G352" s="12" t="s">
        <v>5386</v>
      </c>
      <c r="H352" s="12" t="s">
        <v>2824</v>
      </c>
      <c r="I352" s="84">
        <v>26503148</v>
      </c>
      <c r="J352" s="12" t="s">
        <v>5102</v>
      </c>
      <c r="L352" s="12" t="str">
        <f>IF(OR(ISBLANK(tblSites[[#This Row],[Implementing Partner]]), tblSites[[#This Row],[Implementing Partner]]="-"), tblSites[[#This Row],[Site Agency]], tblSites[[#This Row],[Implementing Partner]])</f>
        <v>No SMA</v>
      </c>
      <c r="M352" s="12" t="s">
        <v>55</v>
      </c>
      <c r="N352" s="12" t="str">
        <f>tblSites[[#This Row],[FinalImplementingPartner]]</f>
        <v>No SMA</v>
      </c>
    </row>
    <row r="353" spans="1:14" x14ac:dyDescent="0.25">
      <c r="A353" s="12" t="s">
        <v>2826</v>
      </c>
      <c r="B353" s="12" t="s">
        <v>2827</v>
      </c>
      <c r="C353" s="12" t="s">
        <v>2828</v>
      </c>
      <c r="D353" t="s">
        <v>5313</v>
      </c>
      <c r="E353" s="12" t="s">
        <v>3178</v>
      </c>
      <c r="F353" s="12" t="s">
        <v>2207</v>
      </c>
      <c r="G353" s="12" t="s">
        <v>5385</v>
      </c>
      <c r="H353" s="12" t="s">
        <v>2827</v>
      </c>
      <c r="I353" s="84">
        <v>26503148</v>
      </c>
      <c r="J353" s="12" t="s">
        <v>673</v>
      </c>
      <c r="L353" s="12" t="str">
        <f>IF(OR(ISBLANK(tblSites[[#This Row],[Implementing Partner]]), tblSites[[#This Row],[Implementing Partner]]="-"), tblSites[[#This Row],[Site Agency]], tblSites[[#This Row],[Implementing Partner]])</f>
        <v>FADE</v>
      </c>
      <c r="M353" s="12" t="s">
        <v>55</v>
      </c>
      <c r="N353" s="12" t="str">
        <f>tblSites[[#This Row],[FinalImplementingPartner]]</f>
        <v>FADE</v>
      </c>
    </row>
    <row r="354" spans="1:14" x14ac:dyDescent="0.25">
      <c r="A354" s="12" t="s">
        <v>670</v>
      </c>
      <c r="B354" s="12" t="s">
        <v>671</v>
      </c>
      <c r="C354" s="12" t="s">
        <v>672</v>
      </c>
      <c r="D354" t="s">
        <v>5313</v>
      </c>
      <c r="E354" s="12" t="s">
        <v>3178</v>
      </c>
      <c r="F354" s="12" t="s">
        <v>154</v>
      </c>
      <c r="G354" s="12" t="s">
        <v>5336</v>
      </c>
      <c r="H354" s="12" t="s">
        <v>671</v>
      </c>
      <c r="I354" s="84">
        <v>26501147</v>
      </c>
      <c r="J354" s="12" t="s">
        <v>5102</v>
      </c>
      <c r="L354" s="12" t="str">
        <f>IF(OR(ISBLANK(tblSites[[#This Row],[Implementing Partner]]), tblSites[[#This Row],[Implementing Partner]]="-"), tblSites[[#This Row],[Site Agency]], tblSites[[#This Row],[Implementing Partner]])</f>
        <v>No SMA</v>
      </c>
      <c r="M354" s="12" t="s">
        <v>55</v>
      </c>
      <c r="N354" s="12" t="str">
        <f>tblSites[[#This Row],[FinalImplementingPartner]]</f>
        <v>No SMA</v>
      </c>
    </row>
    <row r="355" spans="1:14" x14ac:dyDescent="0.25">
      <c r="A355" s="12" t="s">
        <v>674</v>
      </c>
      <c r="B355" s="12" t="s">
        <v>675</v>
      </c>
      <c r="C355" s="12" t="s">
        <v>676</v>
      </c>
      <c r="D355" t="s">
        <v>5313</v>
      </c>
      <c r="E355" s="12" t="s">
        <v>3178</v>
      </c>
      <c r="F355" s="12" t="s">
        <v>154</v>
      </c>
      <c r="G355" s="12" t="s">
        <v>5387</v>
      </c>
      <c r="H355" s="12" t="s">
        <v>675</v>
      </c>
      <c r="I355" s="84">
        <v>26501147</v>
      </c>
      <c r="J355" s="12" t="s">
        <v>673</v>
      </c>
      <c r="K355" s="12" t="s">
        <v>389</v>
      </c>
      <c r="L355" s="12" t="str">
        <f>IF(OR(ISBLANK(tblSites[[#This Row],[Implementing Partner]]), tblSites[[#This Row],[Implementing Partner]]="-"), tblSites[[#This Row],[Site Agency]], tblSites[[#This Row],[Implementing Partner]])</f>
        <v>FADE</v>
      </c>
      <c r="M355" s="12" t="s">
        <v>55</v>
      </c>
      <c r="N355" s="12" t="str">
        <f>tblSites[[#This Row],[FinalImplementingPartner]]</f>
        <v>FADE</v>
      </c>
    </row>
    <row r="356" spans="1:14" x14ac:dyDescent="0.25">
      <c r="A356" s="12" t="s">
        <v>677</v>
      </c>
      <c r="B356" s="12" t="s">
        <v>678</v>
      </c>
      <c r="C356" s="12" t="s">
        <v>679</v>
      </c>
      <c r="D356" t="s">
        <v>5313</v>
      </c>
      <c r="E356" s="12" t="s">
        <v>3178</v>
      </c>
      <c r="F356" s="12" t="s">
        <v>154</v>
      </c>
      <c r="G356" s="12" t="s">
        <v>5387</v>
      </c>
      <c r="H356" s="12" t="s">
        <v>678</v>
      </c>
      <c r="I356" s="84">
        <v>26501147</v>
      </c>
      <c r="J356" s="12" t="s">
        <v>673</v>
      </c>
      <c r="L356" s="12" t="str">
        <f>IF(OR(ISBLANK(tblSites[[#This Row],[Implementing Partner]]), tblSites[[#This Row],[Implementing Partner]]="-"), tblSites[[#This Row],[Site Agency]], tblSites[[#This Row],[Implementing Partner]])</f>
        <v>FADE</v>
      </c>
      <c r="M356" s="12" t="s">
        <v>55</v>
      </c>
      <c r="N356" s="12" t="str">
        <f>tblSites[[#This Row],[FinalImplementingPartner]]</f>
        <v>FADE</v>
      </c>
    </row>
    <row r="357" spans="1:14" x14ac:dyDescent="0.25">
      <c r="A357" s="12" t="s">
        <v>2829</v>
      </c>
      <c r="B357" s="12" t="s">
        <v>2830</v>
      </c>
      <c r="C357" s="12" t="s">
        <v>2831</v>
      </c>
      <c r="D357" t="s">
        <v>5313</v>
      </c>
      <c r="E357" s="12" t="s">
        <v>3178</v>
      </c>
      <c r="F357" s="12" t="s">
        <v>361</v>
      </c>
      <c r="G357" s="12" t="s">
        <v>5388</v>
      </c>
      <c r="H357" s="12" t="s">
        <v>2830</v>
      </c>
      <c r="I357" s="84">
        <v>2651099</v>
      </c>
      <c r="J357" s="12" t="s">
        <v>731</v>
      </c>
      <c r="L357" s="12" t="str">
        <f>IF(OR(ISBLANK(tblSites[[#This Row],[Implementing Partner]]), tblSites[[#This Row],[Implementing Partner]]="-"), tblSites[[#This Row],[Site Agency]], tblSites[[#This Row],[Implementing Partner]])</f>
        <v>MAAN</v>
      </c>
      <c r="M357" s="12" t="s">
        <v>55</v>
      </c>
      <c r="N357" s="12" t="str">
        <f>tblSites[[#This Row],[FinalImplementingPartner]]</f>
        <v>MAAN</v>
      </c>
    </row>
    <row r="358" spans="1:14" x14ac:dyDescent="0.25">
      <c r="A358" s="12" t="s">
        <v>2832</v>
      </c>
      <c r="B358" s="12" t="s">
        <v>2833</v>
      </c>
      <c r="C358" s="12" t="s">
        <v>2834</v>
      </c>
      <c r="D358" t="s">
        <v>5313</v>
      </c>
      <c r="E358" s="12" t="s">
        <v>3178</v>
      </c>
      <c r="F358" s="12" t="s">
        <v>1724</v>
      </c>
      <c r="G358" s="12" t="s">
        <v>5334</v>
      </c>
      <c r="H358" s="12" t="s">
        <v>2833</v>
      </c>
      <c r="I358" s="84">
        <v>26510151</v>
      </c>
      <c r="J358" s="12" t="s">
        <v>5102</v>
      </c>
      <c r="L358" s="12" t="str">
        <f>IF(OR(ISBLANK(tblSites[[#This Row],[Implementing Partner]]), tblSites[[#This Row],[Implementing Partner]]="-"), tblSites[[#This Row],[Site Agency]], tblSites[[#This Row],[Implementing Partner]])</f>
        <v>No SMA</v>
      </c>
      <c r="M358" s="12" t="s">
        <v>55</v>
      </c>
      <c r="N358" s="12" t="str">
        <f>tblSites[[#This Row],[FinalImplementingPartner]]</f>
        <v>No SMA</v>
      </c>
    </row>
    <row r="359" spans="1:14" x14ac:dyDescent="0.25">
      <c r="A359" s="12" t="s">
        <v>3393</v>
      </c>
      <c r="B359" s="12" t="s">
        <v>3998</v>
      </c>
      <c r="C359" s="12" t="s">
        <v>4593</v>
      </c>
      <c r="D359" t="s">
        <v>5313</v>
      </c>
      <c r="E359" s="12" t="s">
        <v>3178</v>
      </c>
      <c r="F359" s="12" t="s">
        <v>1724</v>
      </c>
      <c r="G359" s="12" t="s">
        <v>5334</v>
      </c>
      <c r="H359" s="12" t="s">
        <v>3998</v>
      </c>
      <c r="I359" s="84">
        <v>26510151</v>
      </c>
      <c r="J359" s="12" t="s">
        <v>5102</v>
      </c>
      <c r="L359" s="12" t="str">
        <f>IF(OR(ISBLANK(tblSites[[#This Row],[Implementing Partner]]), tblSites[[#This Row],[Implementing Partner]]="-"), tblSites[[#This Row],[Site Agency]], tblSites[[#This Row],[Implementing Partner]])</f>
        <v>No SMA</v>
      </c>
      <c r="M359" s="12" t="s">
        <v>55</v>
      </c>
      <c r="N359" s="12" t="str">
        <f>tblSites[[#This Row],[FinalImplementingPartner]]</f>
        <v>No SMA</v>
      </c>
    </row>
    <row r="360" spans="1:14" x14ac:dyDescent="0.25">
      <c r="A360" s="12" t="s">
        <v>3394</v>
      </c>
      <c r="B360" s="12" t="s">
        <v>3999</v>
      </c>
      <c r="C360" s="12" t="s">
        <v>4594</v>
      </c>
      <c r="D360" t="s">
        <v>5313</v>
      </c>
      <c r="E360" s="12" t="s">
        <v>3178</v>
      </c>
      <c r="F360" s="12" t="s">
        <v>2207</v>
      </c>
      <c r="G360" s="12" t="s">
        <v>5385</v>
      </c>
      <c r="H360" s="12" t="s">
        <v>3999</v>
      </c>
      <c r="I360" s="84">
        <v>26503148</v>
      </c>
      <c r="J360" s="12" t="s">
        <v>673</v>
      </c>
      <c r="L360" s="12" t="str">
        <f>IF(OR(ISBLANK(tblSites[[#This Row],[Implementing Partner]]), tblSites[[#This Row],[Implementing Partner]]="-"), tblSites[[#This Row],[Site Agency]], tblSites[[#This Row],[Implementing Partner]])</f>
        <v>FADE</v>
      </c>
      <c r="M360" s="12" t="s">
        <v>55</v>
      </c>
      <c r="N360" s="12" t="str">
        <f>tblSites[[#This Row],[FinalImplementingPartner]]</f>
        <v>FADE</v>
      </c>
    </row>
    <row r="361" spans="1:14" x14ac:dyDescent="0.25">
      <c r="A361" s="12" t="s">
        <v>3395</v>
      </c>
      <c r="B361" s="12" t="s">
        <v>4000</v>
      </c>
      <c r="C361" s="12" t="s">
        <v>4595</v>
      </c>
      <c r="D361" t="s">
        <v>5313</v>
      </c>
      <c r="E361" s="12" t="s">
        <v>3178</v>
      </c>
      <c r="F361" s="12" t="s">
        <v>97</v>
      </c>
      <c r="G361" s="12" t="s">
        <v>5389</v>
      </c>
      <c r="H361" s="12" t="s">
        <v>4000</v>
      </c>
      <c r="I361" s="84">
        <v>2650575</v>
      </c>
      <c r="J361" s="12" t="s">
        <v>359</v>
      </c>
      <c r="K361" s="12" t="s">
        <v>389</v>
      </c>
      <c r="L361" s="12" t="str">
        <f>IF(OR(ISBLANK(tblSites[[#This Row],[Implementing Partner]]), tblSites[[#This Row],[Implementing Partner]]="-"), tblSites[[#This Row],[Site Agency]], tblSites[[#This Row],[Implementing Partner]])</f>
        <v>FAFD</v>
      </c>
      <c r="M361" s="12" t="s">
        <v>55</v>
      </c>
      <c r="N361" s="12" t="str">
        <f>tblSites[[#This Row],[FinalImplementingPartner]]</f>
        <v>FAFD</v>
      </c>
    </row>
    <row r="362" spans="1:14" x14ac:dyDescent="0.25">
      <c r="A362" s="12" t="s">
        <v>3396</v>
      </c>
      <c r="B362" s="12" t="s">
        <v>4001</v>
      </c>
      <c r="C362" s="12" t="s">
        <v>885</v>
      </c>
      <c r="D362" t="s">
        <v>5313</v>
      </c>
      <c r="E362" s="12" t="s">
        <v>3178</v>
      </c>
      <c r="F362" s="12" t="s">
        <v>2207</v>
      </c>
      <c r="G362" s="12" t="s">
        <v>5386</v>
      </c>
      <c r="H362" s="12" t="s">
        <v>4001</v>
      </c>
      <c r="I362" s="84">
        <v>26503148</v>
      </c>
      <c r="J362" s="12" t="s">
        <v>5102</v>
      </c>
      <c r="L362" s="12" t="str">
        <f>IF(OR(ISBLANK(tblSites[[#This Row],[Implementing Partner]]), tblSites[[#This Row],[Implementing Partner]]="-"), tblSites[[#This Row],[Site Agency]], tblSites[[#This Row],[Implementing Partner]])</f>
        <v>No SMA</v>
      </c>
      <c r="M362" s="12" t="s">
        <v>55</v>
      </c>
      <c r="N362" s="12" t="str">
        <f>tblSites[[#This Row],[FinalImplementingPartner]]</f>
        <v>No SMA</v>
      </c>
    </row>
    <row r="363" spans="1:14" x14ac:dyDescent="0.25">
      <c r="A363" s="12" t="s">
        <v>3397</v>
      </c>
      <c r="B363" s="12" t="s">
        <v>4002</v>
      </c>
      <c r="C363" s="12" t="s">
        <v>4596</v>
      </c>
      <c r="D363" t="s">
        <v>5313</v>
      </c>
      <c r="E363" s="12" t="s">
        <v>3178</v>
      </c>
      <c r="F363" s="12" t="s">
        <v>2207</v>
      </c>
      <c r="G363" s="12" t="s">
        <v>5386</v>
      </c>
      <c r="H363" s="12" t="s">
        <v>4002</v>
      </c>
      <c r="I363" s="84">
        <v>26503148</v>
      </c>
      <c r="J363" s="12" t="s">
        <v>5102</v>
      </c>
      <c r="L363" s="12" t="str">
        <f>IF(OR(ISBLANK(tblSites[[#This Row],[Implementing Partner]]), tblSites[[#This Row],[Implementing Partner]]="-"), tblSites[[#This Row],[Site Agency]], tblSites[[#This Row],[Implementing Partner]])</f>
        <v>No SMA</v>
      </c>
      <c r="M363" s="12" t="s">
        <v>55</v>
      </c>
      <c r="N363" s="12" t="str">
        <f>tblSites[[#This Row],[FinalImplementingPartner]]</f>
        <v>No SMA</v>
      </c>
    </row>
    <row r="364" spans="1:14" x14ac:dyDescent="0.25">
      <c r="A364" s="12" t="s">
        <v>3398</v>
      </c>
      <c r="B364" s="12" t="s">
        <v>4003</v>
      </c>
      <c r="C364" s="12" t="s">
        <v>4597</v>
      </c>
      <c r="D364" t="s">
        <v>5313</v>
      </c>
      <c r="E364" s="12" t="s">
        <v>3178</v>
      </c>
      <c r="F364" s="12" t="s">
        <v>358</v>
      </c>
      <c r="G364" s="12" t="s">
        <v>5352</v>
      </c>
      <c r="H364" s="12" t="s">
        <v>4003</v>
      </c>
      <c r="I364" s="84">
        <v>2650577</v>
      </c>
      <c r="J364" s="12" t="s">
        <v>5102</v>
      </c>
      <c r="L364" s="12" t="str">
        <f>IF(OR(ISBLANK(tblSites[[#This Row],[Implementing Partner]]), tblSites[[#This Row],[Implementing Partner]]="-"), tblSites[[#This Row],[Site Agency]], tblSites[[#This Row],[Implementing Partner]])</f>
        <v>No SMA</v>
      </c>
      <c r="M364" s="12" t="s">
        <v>55</v>
      </c>
      <c r="N364" s="12" t="str">
        <f>tblSites[[#This Row],[FinalImplementingPartner]]</f>
        <v>No SMA</v>
      </c>
    </row>
    <row r="365" spans="1:14" x14ac:dyDescent="0.25">
      <c r="A365" s="12" t="s">
        <v>3399</v>
      </c>
      <c r="B365" s="12" t="s">
        <v>3132</v>
      </c>
      <c r="C365" s="12" t="s">
        <v>3133</v>
      </c>
      <c r="D365" t="s">
        <v>5313</v>
      </c>
      <c r="E365" s="12" t="s">
        <v>3178</v>
      </c>
      <c r="F365" s="12" t="s">
        <v>349</v>
      </c>
      <c r="G365" s="12" t="s">
        <v>5390</v>
      </c>
      <c r="H365" s="12" t="s">
        <v>3132</v>
      </c>
      <c r="I365" s="84">
        <v>26510152</v>
      </c>
      <c r="J365" s="12" t="s">
        <v>359</v>
      </c>
      <c r="K365" s="12" t="s">
        <v>389</v>
      </c>
      <c r="L365" s="12" t="str">
        <f>IF(OR(ISBLANK(tblSites[[#This Row],[Implementing Partner]]), tblSites[[#This Row],[Implementing Partner]]="-"), tblSites[[#This Row],[Site Agency]], tblSites[[#This Row],[Implementing Partner]])</f>
        <v>FAFD</v>
      </c>
      <c r="M365" s="12" t="s">
        <v>55</v>
      </c>
      <c r="N365" s="12" t="str">
        <f>tblSites[[#This Row],[FinalImplementingPartner]]</f>
        <v>FAFD</v>
      </c>
    </row>
    <row r="366" spans="1:14" x14ac:dyDescent="0.25">
      <c r="A366" s="12" t="s">
        <v>3400</v>
      </c>
      <c r="B366" s="12" t="s">
        <v>4004</v>
      </c>
      <c r="C366" s="12" t="s">
        <v>331</v>
      </c>
      <c r="D366" t="s">
        <v>5313</v>
      </c>
      <c r="E366" s="12" t="s">
        <v>3178</v>
      </c>
      <c r="F366" s="12" t="s">
        <v>1212</v>
      </c>
      <c r="G366" s="12" t="s">
        <v>5335</v>
      </c>
      <c r="H366" s="12" t="s">
        <v>4004</v>
      </c>
      <c r="I366" s="84">
        <v>2650597</v>
      </c>
      <c r="J366" s="12" t="s">
        <v>5102</v>
      </c>
      <c r="L366" s="12" t="str">
        <f>IF(OR(ISBLANK(tblSites[[#This Row],[Implementing Partner]]), tblSites[[#This Row],[Implementing Partner]]="-"), tblSites[[#This Row],[Site Agency]], tblSites[[#This Row],[Implementing Partner]])</f>
        <v>No SMA</v>
      </c>
      <c r="M366" s="12" t="s">
        <v>55</v>
      </c>
      <c r="N366" s="12" t="str">
        <f>tblSites[[#This Row],[FinalImplementingPartner]]</f>
        <v>No SMA</v>
      </c>
    </row>
    <row r="367" spans="1:14" x14ac:dyDescent="0.25">
      <c r="A367" s="12" t="s">
        <v>3401</v>
      </c>
      <c r="B367" s="12" t="s">
        <v>4005</v>
      </c>
      <c r="C367" s="12" t="s">
        <v>4598</v>
      </c>
      <c r="D367" t="s">
        <v>5313</v>
      </c>
      <c r="E367" s="12" t="s">
        <v>3178</v>
      </c>
      <c r="F367" s="12" t="s">
        <v>349</v>
      </c>
      <c r="G367" s="12" t="s">
        <v>5327</v>
      </c>
      <c r="H367" s="12" t="s">
        <v>4005</v>
      </c>
      <c r="I367" s="84">
        <v>26510152</v>
      </c>
      <c r="J367" s="12" t="s">
        <v>5102</v>
      </c>
      <c r="K367" s="12" t="s">
        <v>389</v>
      </c>
      <c r="L367" s="12" t="str">
        <f>IF(OR(ISBLANK(tblSites[[#This Row],[Implementing Partner]]), tblSites[[#This Row],[Implementing Partner]]="-"), tblSites[[#This Row],[Site Agency]], tblSites[[#This Row],[Implementing Partner]])</f>
        <v>No SMA</v>
      </c>
      <c r="M367" s="12" t="s">
        <v>55</v>
      </c>
      <c r="N367" s="12" t="str">
        <f>tblSites[[#This Row],[FinalImplementingPartner]]</f>
        <v>No SMA</v>
      </c>
    </row>
    <row r="368" spans="1:14" x14ac:dyDescent="0.25">
      <c r="A368" s="12" t="s">
        <v>3402</v>
      </c>
      <c r="B368" s="12" t="s">
        <v>4006</v>
      </c>
      <c r="C368" s="12" t="s">
        <v>4599</v>
      </c>
      <c r="D368" t="s">
        <v>5313</v>
      </c>
      <c r="E368" s="12" t="s">
        <v>3178</v>
      </c>
      <c r="F368" s="12" t="s">
        <v>564</v>
      </c>
      <c r="G368" s="12" t="s">
        <v>5348</v>
      </c>
      <c r="H368" s="12" t="s">
        <v>4006</v>
      </c>
      <c r="I368" s="84">
        <v>2651090</v>
      </c>
      <c r="J368" s="12" t="s">
        <v>5102</v>
      </c>
      <c r="L368" s="12" t="str">
        <f>IF(OR(ISBLANK(tblSites[[#This Row],[Implementing Partner]]), tblSites[[#This Row],[Implementing Partner]]="-"), tblSites[[#This Row],[Site Agency]], tblSites[[#This Row],[Implementing Partner]])</f>
        <v>No SMA</v>
      </c>
      <c r="M368" s="12" t="s">
        <v>55</v>
      </c>
      <c r="N368" s="12" t="str">
        <f>tblSites[[#This Row],[FinalImplementingPartner]]</f>
        <v>No SMA</v>
      </c>
    </row>
    <row r="369" spans="1:14" x14ac:dyDescent="0.25">
      <c r="A369" s="12" t="s">
        <v>3403</v>
      </c>
      <c r="B369" s="12" t="s">
        <v>4007</v>
      </c>
      <c r="C369" s="12" t="s">
        <v>4600</v>
      </c>
      <c r="D369" t="s">
        <v>5313</v>
      </c>
      <c r="E369" s="12" t="s">
        <v>3178</v>
      </c>
      <c r="F369" s="12" t="s">
        <v>504</v>
      </c>
      <c r="G369" s="12" t="s">
        <v>5354</v>
      </c>
      <c r="H369" s="12" t="s">
        <v>4007</v>
      </c>
      <c r="I369" s="84">
        <v>2650576</v>
      </c>
      <c r="J369" s="12" t="s">
        <v>5102</v>
      </c>
      <c r="L369" s="12" t="str">
        <f>IF(OR(ISBLANK(tblSites[[#This Row],[Implementing Partner]]), tblSites[[#This Row],[Implementing Partner]]="-"), tblSites[[#This Row],[Site Agency]], tblSites[[#This Row],[Implementing Partner]])</f>
        <v>No SMA</v>
      </c>
      <c r="M369" s="12" t="s">
        <v>55</v>
      </c>
      <c r="N369" s="12" t="str">
        <f>tblSites[[#This Row],[FinalImplementingPartner]]</f>
        <v>No SMA</v>
      </c>
    </row>
    <row r="370" spans="1:14" x14ac:dyDescent="0.25">
      <c r="A370" s="12" t="s">
        <v>3404</v>
      </c>
      <c r="B370" s="12" t="s">
        <v>4008</v>
      </c>
      <c r="C370" s="12" t="s">
        <v>4601</v>
      </c>
      <c r="D370" t="s">
        <v>5313</v>
      </c>
      <c r="E370" s="12" t="s">
        <v>3178</v>
      </c>
      <c r="F370" s="12" t="s">
        <v>564</v>
      </c>
      <c r="G370" s="12" t="s">
        <v>5348</v>
      </c>
      <c r="H370" s="12" t="s">
        <v>4008</v>
      </c>
      <c r="I370" s="84">
        <v>2651090</v>
      </c>
      <c r="J370" s="12" t="s">
        <v>5102</v>
      </c>
      <c r="L370" s="12" t="str">
        <f>IF(OR(ISBLANK(tblSites[[#This Row],[Implementing Partner]]), tblSites[[#This Row],[Implementing Partner]]="-"), tblSites[[#This Row],[Site Agency]], tblSites[[#This Row],[Implementing Partner]])</f>
        <v>No SMA</v>
      </c>
      <c r="M370" s="12" t="s">
        <v>55</v>
      </c>
      <c r="N370" s="12" t="str">
        <f>tblSites[[#This Row],[FinalImplementingPartner]]</f>
        <v>No SMA</v>
      </c>
    </row>
    <row r="371" spans="1:14" x14ac:dyDescent="0.25">
      <c r="A371" s="12" t="s">
        <v>3405</v>
      </c>
      <c r="B371" s="12" t="s">
        <v>4009</v>
      </c>
      <c r="C371" s="12" t="s">
        <v>4602</v>
      </c>
      <c r="D371" t="s">
        <v>5313</v>
      </c>
      <c r="E371" s="12" t="s">
        <v>3178</v>
      </c>
      <c r="F371" s="12" t="s">
        <v>1698</v>
      </c>
      <c r="G371" s="12" t="s">
        <v>5349</v>
      </c>
      <c r="H371" s="12" t="s">
        <v>4009</v>
      </c>
      <c r="I371" s="84">
        <v>2650580</v>
      </c>
      <c r="J371" s="12" t="s">
        <v>5102</v>
      </c>
      <c r="L371" s="12" t="str">
        <f>IF(OR(ISBLANK(tblSites[[#This Row],[Implementing Partner]]), tblSites[[#This Row],[Implementing Partner]]="-"), tblSites[[#This Row],[Site Agency]], tblSites[[#This Row],[Implementing Partner]])</f>
        <v>No SMA</v>
      </c>
      <c r="M371" s="12" t="s">
        <v>55</v>
      </c>
      <c r="N371" s="12" t="str">
        <f>tblSites[[#This Row],[FinalImplementingPartner]]</f>
        <v>No SMA</v>
      </c>
    </row>
    <row r="372" spans="1:14" x14ac:dyDescent="0.25">
      <c r="A372" s="12" t="s">
        <v>3406</v>
      </c>
      <c r="B372" s="12" t="s">
        <v>4010</v>
      </c>
      <c r="C372" s="12" t="s">
        <v>4603</v>
      </c>
      <c r="D372" t="s">
        <v>5313</v>
      </c>
      <c r="E372" s="12" t="s">
        <v>3178</v>
      </c>
      <c r="F372" s="12" t="s">
        <v>2207</v>
      </c>
      <c r="G372" s="12" t="s">
        <v>5386</v>
      </c>
      <c r="H372" s="12" t="s">
        <v>4010</v>
      </c>
      <c r="I372" s="84">
        <v>26503148</v>
      </c>
      <c r="J372" s="12" t="s">
        <v>5102</v>
      </c>
      <c r="L372" s="12" t="str">
        <f>IF(OR(ISBLANK(tblSites[[#This Row],[Implementing Partner]]), tblSites[[#This Row],[Implementing Partner]]="-"), tblSites[[#This Row],[Site Agency]], tblSites[[#This Row],[Implementing Partner]])</f>
        <v>No SMA</v>
      </c>
      <c r="M372" s="12" t="s">
        <v>55</v>
      </c>
      <c r="N372" s="12" t="str">
        <f>tblSites[[#This Row],[FinalImplementingPartner]]</f>
        <v>No SMA</v>
      </c>
    </row>
    <row r="373" spans="1:14" x14ac:dyDescent="0.25">
      <c r="A373" s="12" t="s">
        <v>3407</v>
      </c>
      <c r="B373" s="12" t="s">
        <v>4011</v>
      </c>
      <c r="C373" s="12" t="s">
        <v>4604</v>
      </c>
      <c r="D373" t="s">
        <v>5313</v>
      </c>
      <c r="E373" s="12" t="s">
        <v>3178</v>
      </c>
      <c r="F373" s="12" t="s">
        <v>349</v>
      </c>
      <c r="G373" s="12" t="s">
        <v>5327</v>
      </c>
      <c r="H373" s="12" t="s">
        <v>4011</v>
      </c>
      <c r="I373" s="84">
        <v>26510152</v>
      </c>
      <c r="J373" s="12" t="s">
        <v>5102</v>
      </c>
      <c r="K373" s="12" t="s">
        <v>389</v>
      </c>
      <c r="L373" s="12" t="str">
        <f>IF(OR(ISBLANK(tblSites[[#This Row],[Implementing Partner]]), tblSites[[#This Row],[Implementing Partner]]="-"), tblSites[[#This Row],[Site Agency]], tblSites[[#This Row],[Implementing Partner]])</f>
        <v>No SMA</v>
      </c>
      <c r="M373" s="12" t="s">
        <v>55</v>
      </c>
      <c r="N373" s="12" t="str">
        <f>tblSites[[#This Row],[FinalImplementingPartner]]</f>
        <v>No SMA</v>
      </c>
    </row>
    <row r="374" spans="1:14" x14ac:dyDescent="0.25">
      <c r="A374" s="12" t="s">
        <v>3408</v>
      </c>
      <c r="B374" s="12" t="s">
        <v>4012</v>
      </c>
      <c r="C374" s="12" t="s">
        <v>4605</v>
      </c>
      <c r="D374" t="s">
        <v>5313</v>
      </c>
      <c r="E374" s="12" t="s">
        <v>3178</v>
      </c>
      <c r="F374" s="12" t="s">
        <v>154</v>
      </c>
      <c r="G374" s="12" t="s">
        <v>5336</v>
      </c>
      <c r="H374" s="12" t="s">
        <v>4012</v>
      </c>
      <c r="I374" s="84">
        <v>26501147</v>
      </c>
      <c r="J374" s="12" t="s">
        <v>5102</v>
      </c>
      <c r="L374" s="12" t="str">
        <f>IF(OR(ISBLANK(tblSites[[#This Row],[Implementing Partner]]), tblSites[[#This Row],[Implementing Partner]]="-"), tblSites[[#This Row],[Site Agency]], tblSites[[#This Row],[Implementing Partner]])</f>
        <v>No SMA</v>
      </c>
      <c r="M374" s="12" t="s">
        <v>55</v>
      </c>
      <c r="N374" s="12" t="str">
        <f>tblSites[[#This Row],[FinalImplementingPartner]]</f>
        <v>No SMA</v>
      </c>
    </row>
    <row r="375" spans="1:14" x14ac:dyDescent="0.25">
      <c r="A375" s="12" t="s">
        <v>3409</v>
      </c>
      <c r="B375" s="12" t="s">
        <v>4013</v>
      </c>
      <c r="C375" s="12" t="s">
        <v>4606</v>
      </c>
      <c r="D375" t="s">
        <v>5313</v>
      </c>
      <c r="E375" s="12" t="s">
        <v>3178</v>
      </c>
      <c r="F375" s="12" t="s">
        <v>1698</v>
      </c>
      <c r="G375" s="12" t="s">
        <v>5349</v>
      </c>
      <c r="H375" s="12" t="s">
        <v>4013</v>
      </c>
      <c r="I375" s="84">
        <v>2650580</v>
      </c>
      <c r="J375" s="12" t="s">
        <v>5102</v>
      </c>
      <c r="L375" s="12" t="str">
        <f>IF(OR(ISBLANK(tblSites[[#This Row],[Implementing Partner]]), tblSites[[#This Row],[Implementing Partner]]="-"), tblSites[[#This Row],[Site Agency]], tblSites[[#This Row],[Implementing Partner]])</f>
        <v>No SMA</v>
      </c>
      <c r="M375" s="12" t="s">
        <v>55</v>
      </c>
      <c r="N375" s="12" t="str">
        <f>tblSites[[#This Row],[FinalImplementingPartner]]</f>
        <v>No SMA</v>
      </c>
    </row>
    <row r="376" spans="1:14" x14ac:dyDescent="0.25">
      <c r="A376" s="12" t="s">
        <v>3410</v>
      </c>
      <c r="B376" s="12" t="s">
        <v>4014</v>
      </c>
      <c r="C376" s="12" t="s">
        <v>110</v>
      </c>
      <c r="D376" t="s">
        <v>5313</v>
      </c>
      <c r="E376" s="12" t="s">
        <v>3178</v>
      </c>
      <c r="F376" s="12" t="s">
        <v>2207</v>
      </c>
      <c r="G376" s="12" t="s">
        <v>5386</v>
      </c>
      <c r="H376" s="12" t="s">
        <v>4014</v>
      </c>
      <c r="I376" s="84">
        <v>26503148</v>
      </c>
      <c r="J376" s="12" t="s">
        <v>5102</v>
      </c>
      <c r="L376" s="12" t="str">
        <f>IF(OR(ISBLANK(tblSites[[#This Row],[Implementing Partner]]), tblSites[[#This Row],[Implementing Partner]]="-"), tblSites[[#This Row],[Site Agency]], tblSites[[#This Row],[Implementing Partner]])</f>
        <v>No SMA</v>
      </c>
      <c r="M376" s="12" t="s">
        <v>55</v>
      </c>
      <c r="N376" s="12" t="str">
        <f>tblSites[[#This Row],[FinalImplementingPartner]]</f>
        <v>No SMA</v>
      </c>
    </row>
    <row r="377" spans="1:14" x14ac:dyDescent="0.25">
      <c r="A377" s="12" t="s">
        <v>3411</v>
      </c>
      <c r="B377" s="12" t="s">
        <v>4015</v>
      </c>
      <c r="C377" s="12" t="s">
        <v>110</v>
      </c>
      <c r="D377" t="s">
        <v>5313</v>
      </c>
      <c r="E377" s="12" t="s">
        <v>3178</v>
      </c>
      <c r="F377" s="12" t="s">
        <v>358</v>
      </c>
      <c r="G377" s="12" t="s">
        <v>5352</v>
      </c>
      <c r="H377" s="12" t="s">
        <v>4015</v>
      </c>
      <c r="I377" s="84">
        <v>2650577</v>
      </c>
      <c r="J377" s="12" t="s">
        <v>5102</v>
      </c>
      <c r="L377" s="12" t="str">
        <f>IF(OR(ISBLANK(tblSites[[#This Row],[Implementing Partner]]), tblSites[[#This Row],[Implementing Partner]]="-"), tblSites[[#This Row],[Site Agency]], tblSites[[#This Row],[Implementing Partner]])</f>
        <v>No SMA</v>
      </c>
      <c r="M377" s="12" t="s">
        <v>55</v>
      </c>
      <c r="N377" s="12" t="str">
        <f>tblSites[[#This Row],[FinalImplementingPartner]]</f>
        <v>No SMA</v>
      </c>
    </row>
    <row r="378" spans="1:14" x14ac:dyDescent="0.25">
      <c r="A378" s="12" t="s">
        <v>3412</v>
      </c>
      <c r="B378" s="12" t="s">
        <v>4016</v>
      </c>
      <c r="C378" s="12" t="s">
        <v>4607</v>
      </c>
      <c r="D378" t="s">
        <v>5313</v>
      </c>
      <c r="E378" s="12" t="s">
        <v>3178</v>
      </c>
      <c r="F378" s="12" t="s">
        <v>974</v>
      </c>
      <c r="G378" s="12" t="s">
        <v>5362</v>
      </c>
      <c r="H378" s="12" t="s">
        <v>4016</v>
      </c>
      <c r="I378" s="84">
        <v>2651089</v>
      </c>
      <c r="J378" s="12" t="s">
        <v>5102</v>
      </c>
      <c r="L378" s="12" t="str">
        <f>IF(OR(ISBLANK(tblSites[[#This Row],[Implementing Partner]]), tblSites[[#This Row],[Implementing Partner]]="-"), tblSites[[#This Row],[Site Agency]], tblSites[[#This Row],[Implementing Partner]])</f>
        <v>No SMA</v>
      </c>
      <c r="M378" s="12" t="s">
        <v>55</v>
      </c>
      <c r="N378" s="12" t="str">
        <f>tblSites[[#This Row],[FinalImplementingPartner]]</f>
        <v>No SMA</v>
      </c>
    </row>
    <row r="379" spans="1:14" x14ac:dyDescent="0.25">
      <c r="A379" s="12" t="s">
        <v>5222</v>
      </c>
      <c r="B379" s="12" t="s">
        <v>4177</v>
      </c>
      <c r="C379" s="12" t="s">
        <v>4744</v>
      </c>
      <c r="D379" t="s">
        <v>5313</v>
      </c>
      <c r="E379" s="12" t="s">
        <v>3178</v>
      </c>
      <c r="F379" s="12" t="s">
        <v>985</v>
      </c>
      <c r="G379" s="12" t="s">
        <v>5345</v>
      </c>
      <c r="H379" s="12" t="s">
        <v>4177</v>
      </c>
      <c r="I379" s="84">
        <v>2650579</v>
      </c>
      <c r="J379" s="12" t="s">
        <v>5102</v>
      </c>
      <c r="L379" s="12" t="str">
        <f>IF(OR(ISBLANK(tblSites[[#This Row],[Implementing Partner]]), tblSites[[#This Row],[Implementing Partner]]="-"), tblSites[[#This Row],[Site Agency]], tblSites[[#This Row],[Implementing Partner]])</f>
        <v>No SMA</v>
      </c>
      <c r="M379" s="12" t="s">
        <v>55</v>
      </c>
      <c r="N379" s="12" t="str">
        <f>tblSites[[#This Row],[FinalImplementingPartner]]</f>
        <v>No SMA</v>
      </c>
    </row>
    <row r="380" spans="1:14" x14ac:dyDescent="0.25">
      <c r="A380" s="12" t="s">
        <v>3413</v>
      </c>
      <c r="B380" s="12" t="s">
        <v>4017</v>
      </c>
      <c r="C380" s="12" t="s">
        <v>4608</v>
      </c>
      <c r="D380" t="s">
        <v>5313</v>
      </c>
      <c r="E380" s="12" t="s">
        <v>3178</v>
      </c>
      <c r="F380" s="12" t="s">
        <v>1698</v>
      </c>
      <c r="G380" s="12" t="s">
        <v>5349</v>
      </c>
      <c r="H380" s="12" t="s">
        <v>4017</v>
      </c>
      <c r="I380" s="84">
        <v>2650580</v>
      </c>
      <c r="J380" s="12" t="s">
        <v>5102</v>
      </c>
      <c r="L380" s="12" t="str">
        <f>IF(OR(ISBLANK(tblSites[[#This Row],[Implementing Partner]]), tblSites[[#This Row],[Implementing Partner]]="-"), tblSites[[#This Row],[Site Agency]], tblSites[[#This Row],[Implementing Partner]])</f>
        <v>No SMA</v>
      </c>
      <c r="M380" s="12" t="s">
        <v>55</v>
      </c>
      <c r="N380" s="12" t="str">
        <f>tblSites[[#This Row],[FinalImplementingPartner]]</f>
        <v>No SMA</v>
      </c>
    </row>
    <row r="381" spans="1:14" x14ac:dyDescent="0.25">
      <c r="A381" s="12" t="s">
        <v>3414</v>
      </c>
      <c r="B381" s="12" t="s">
        <v>1196</v>
      </c>
      <c r="C381" s="12" t="s">
        <v>4609</v>
      </c>
      <c r="D381" t="s">
        <v>5313</v>
      </c>
      <c r="E381" s="12" t="s">
        <v>3178</v>
      </c>
      <c r="F381" s="12" t="s">
        <v>358</v>
      </c>
      <c r="G381" s="12" t="s">
        <v>5352</v>
      </c>
      <c r="H381" s="12" t="s">
        <v>1196</v>
      </c>
      <c r="I381" s="84">
        <v>2650577</v>
      </c>
      <c r="J381" s="12" t="s">
        <v>5102</v>
      </c>
      <c r="L381" s="12" t="str">
        <f>IF(OR(ISBLANK(tblSites[[#This Row],[Implementing Partner]]), tblSites[[#This Row],[Implementing Partner]]="-"), tblSites[[#This Row],[Site Agency]], tblSites[[#This Row],[Implementing Partner]])</f>
        <v>No SMA</v>
      </c>
      <c r="M381" s="12" t="s">
        <v>55</v>
      </c>
      <c r="N381" s="12" t="str">
        <f>tblSites[[#This Row],[FinalImplementingPartner]]</f>
        <v>No SMA</v>
      </c>
    </row>
    <row r="382" spans="1:14" x14ac:dyDescent="0.25">
      <c r="A382" s="12" t="s">
        <v>3415</v>
      </c>
      <c r="B382" s="12" t="s">
        <v>4018</v>
      </c>
      <c r="C382" s="12" t="s">
        <v>4610</v>
      </c>
      <c r="D382" t="s">
        <v>5313</v>
      </c>
      <c r="E382" s="12" t="s">
        <v>3178</v>
      </c>
      <c r="F382" s="12" t="s">
        <v>568</v>
      </c>
      <c r="G382" s="12" t="s">
        <v>5370</v>
      </c>
      <c r="H382" s="12" t="s">
        <v>4018</v>
      </c>
      <c r="I382" s="84">
        <v>2650596</v>
      </c>
      <c r="J382" s="12" t="s">
        <v>5102</v>
      </c>
      <c r="L382" s="12" t="str">
        <f>IF(OR(ISBLANK(tblSites[[#This Row],[Implementing Partner]]), tblSites[[#This Row],[Implementing Partner]]="-"), tblSites[[#This Row],[Site Agency]], tblSites[[#This Row],[Implementing Partner]])</f>
        <v>No SMA</v>
      </c>
      <c r="M382" s="12" t="s">
        <v>55</v>
      </c>
      <c r="N382" s="12" t="str">
        <f>tblSites[[#This Row],[FinalImplementingPartner]]</f>
        <v>No SMA</v>
      </c>
    </row>
    <row r="383" spans="1:14" x14ac:dyDescent="0.25">
      <c r="A383" s="12" t="s">
        <v>3416</v>
      </c>
      <c r="B383" s="12" t="s">
        <v>4019</v>
      </c>
      <c r="C383" s="12" t="s">
        <v>4611</v>
      </c>
      <c r="D383" t="s">
        <v>5313</v>
      </c>
      <c r="E383" s="12" t="s">
        <v>3178</v>
      </c>
      <c r="F383" s="12" t="s">
        <v>358</v>
      </c>
      <c r="G383" s="12" t="s">
        <v>5352</v>
      </c>
      <c r="H383" s="12" t="s">
        <v>4019</v>
      </c>
      <c r="I383" s="84">
        <v>2650577</v>
      </c>
      <c r="J383" s="12" t="s">
        <v>5102</v>
      </c>
      <c r="L383" s="12" t="str">
        <f>IF(OR(ISBLANK(tblSites[[#This Row],[Implementing Partner]]), tblSites[[#This Row],[Implementing Partner]]="-"), tblSites[[#This Row],[Site Agency]], tblSites[[#This Row],[Implementing Partner]])</f>
        <v>No SMA</v>
      </c>
      <c r="M383" s="12" t="s">
        <v>55</v>
      </c>
      <c r="N383" s="12" t="str">
        <f>tblSites[[#This Row],[FinalImplementingPartner]]</f>
        <v>No SMA</v>
      </c>
    </row>
    <row r="384" spans="1:14" x14ac:dyDescent="0.25">
      <c r="A384" s="12" t="s">
        <v>3417</v>
      </c>
      <c r="B384" s="12" t="s">
        <v>4020</v>
      </c>
      <c r="C384" s="12" t="s">
        <v>4607</v>
      </c>
      <c r="D384" t="s">
        <v>5313</v>
      </c>
      <c r="E384" s="12" t="s">
        <v>3178</v>
      </c>
      <c r="F384" s="12" t="s">
        <v>1698</v>
      </c>
      <c r="G384" s="12" t="s">
        <v>5349</v>
      </c>
      <c r="H384" s="12" t="s">
        <v>4020</v>
      </c>
      <c r="I384" s="84">
        <v>2650580</v>
      </c>
      <c r="J384" s="12" t="s">
        <v>5102</v>
      </c>
      <c r="L384" s="12" t="str">
        <f>IF(OR(ISBLANK(tblSites[[#This Row],[Implementing Partner]]), tblSites[[#This Row],[Implementing Partner]]="-"), tblSites[[#This Row],[Site Agency]], tblSites[[#This Row],[Implementing Partner]])</f>
        <v>No SMA</v>
      </c>
      <c r="M384" s="12" t="s">
        <v>55</v>
      </c>
      <c r="N384" s="12" t="str">
        <f>tblSites[[#This Row],[FinalImplementingPartner]]</f>
        <v>No SMA</v>
      </c>
    </row>
    <row r="385" spans="1:14" x14ac:dyDescent="0.25">
      <c r="A385" s="12" t="s">
        <v>3418</v>
      </c>
      <c r="B385" s="12" t="s">
        <v>4021</v>
      </c>
      <c r="C385" s="12" t="s">
        <v>4612</v>
      </c>
      <c r="D385" t="s">
        <v>5313</v>
      </c>
      <c r="E385" s="12" t="s">
        <v>3178</v>
      </c>
      <c r="F385" s="12" t="s">
        <v>564</v>
      </c>
      <c r="G385" s="12" t="s">
        <v>5348</v>
      </c>
      <c r="H385" s="12" t="s">
        <v>4021</v>
      </c>
      <c r="I385" s="84">
        <v>2651090</v>
      </c>
      <c r="J385" s="12" t="s">
        <v>5102</v>
      </c>
      <c r="L385" s="12" t="str">
        <f>IF(OR(ISBLANK(tblSites[[#This Row],[Implementing Partner]]), tblSites[[#This Row],[Implementing Partner]]="-"), tblSites[[#This Row],[Site Agency]], tblSites[[#This Row],[Implementing Partner]])</f>
        <v>No SMA</v>
      </c>
      <c r="M385" s="12" t="s">
        <v>55</v>
      </c>
      <c r="N385" s="12" t="str">
        <f>tblSites[[#This Row],[FinalImplementingPartner]]</f>
        <v>No SMA</v>
      </c>
    </row>
    <row r="386" spans="1:14" x14ac:dyDescent="0.25">
      <c r="A386" s="12" t="s">
        <v>3419</v>
      </c>
      <c r="B386" s="12" t="s">
        <v>4022</v>
      </c>
      <c r="C386" s="12" t="s">
        <v>1379</v>
      </c>
      <c r="D386" t="s">
        <v>5313</v>
      </c>
      <c r="E386" s="12" t="s">
        <v>3178</v>
      </c>
      <c r="F386" s="12" t="s">
        <v>2207</v>
      </c>
      <c r="G386" s="12" t="s">
        <v>5366</v>
      </c>
      <c r="H386" s="12" t="s">
        <v>4022</v>
      </c>
      <c r="I386" s="84">
        <v>26503148</v>
      </c>
      <c r="J386" s="12" t="s">
        <v>5103</v>
      </c>
      <c r="L386" s="12" t="str">
        <f>IF(OR(ISBLANK(tblSites[[#This Row],[Implementing Partner]]), tblSites[[#This Row],[Implementing Partner]]="-"), tblSites[[#This Row],[Site Agency]], tblSites[[#This Row],[Implementing Partner]])</f>
        <v>HEKS EPER</v>
      </c>
      <c r="M386" s="12" t="s">
        <v>55</v>
      </c>
      <c r="N386" s="12" t="str">
        <f>tblSites[[#This Row],[FinalImplementingPartner]]</f>
        <v>HEKS EPER</v>
      </c>
    </row>
    <row r="387" spans="1:14" x14ac:dyDescent="0.25">
      <c r="A387" s="12" t="s">
        <v>5223</v>
      </c>
      <c r="B387" s="12" t="s">
        <v>4485</v>
      </c>
      <c r="C387" s="12" t="s">
        <v>5005</v>
      </c>
      <c r="D387" t="s">
        <v>5313</v>
      </c>
      <c r="E387" s="12" t="s">
        <v>3178</v>
      </c>
      <c r="F387" s="12" t="s">
        <v>1212</v>
      </c>
      <c r="G387" s="12" t="s">
        <v>5335</v>
      </c>
      <c r="H387" s="12" t="s">
        <v>4485</v>
      </c>
      <c r="I387" s="84">
        <v>2650597</v>
      </c>
      <c r="J387" s="12" t="s">
        <v>5102</v>
      </c>
      <c r="L387" s="12" t="str">
        <f>IF(OR(ISBLANK(tblSites[[#This Row],[Implementing Partner]]), tblSites[[#This Row],[Implementing Partner]]="-"), tblSites[[#This Row],[Site Agency]], tblSites[[#This Row],[Implementing Partner]])</f>
        <v>No SMA</v>
      </c>
      <c r="M387" s="12" t="s">
        <v>55</v>
      </c>
      <c r="N387" s="12" t="str">
        <f>tblSites[[#This Row],[FinalImplementingPartner]]</f>
        <v>No SMA</v>
      </c>
    </row>
    <row r="388" spans="1:14" x14ac:dyDescent="0.25">
      <c r="A388" s="12" t="s">
        <v>3420</v>
      </c>
      <c r="B388" s="12" t="s">
        <v>4023</v>
      </c>
      <c r="C388" s="12" t="s">
        <v>3105</v>
      </c>
      <c r="D388" t="s">
        <v>5313</v>
      </c>
      <c r="E388" s="12" t="s">
        <v>3178</v>
      </c>
      <c r="F388" s="12" t="s">
        <v>2665</v>
      </c>
      <c r="G388" s="12" t="s">
        <v>5363</v>
      </c>
      <c r="H388" s="12" t="s">
        <v>4023</v>
      </c>
      <c r="I388" s="84">
        <v>2650581</v>
      </c>
      <c r="J388" s="12" t="s">
        <v>5102</v>
      </c>
      <c r="L388" s="12" t="str">
        <f>IF(OR(ISBLANK(tblSites[[#This Row],[Implementing Partner]]), tblSites[[#This Row],[Implementing Partner]]="-"), tblSites[[#This Row],[Site Agency]], tblSites[[#This Row],[Implementing Partner]])</f>
        <v>No SMA</v>
      </c>
      <c r="M388" s="12" t="s">
        <v>55</v>
      </c>
      <c r="N388" s="12" t="str">
        <f>tblSites[[#This Row],[FinalImplementingPartner]]</f>
        <v>No SMA</v>
      </c>
    </row>
    <row r="389" spans="1:14" x14ac:dyDescent="0.25">
      <c r="A389" s="12" t="s">
        <v>3421</v>
      </c>
      <c r="B389" s="12" t="s">
        <v>4024</v>
      </c>
      <c r="C389" s="12" t="s">
        <v>4613</v>
      </c>
      <c r="D389" t="s">
        <v>5313</v>
      </c>
      <c r="E389" s="12" t="s">
        <v>3178</v>
      </c>
      <c r="F389" s="12" t="s">
        <v>361</v>
      </c>
      <c r="G389" s="12" t="s">
        <v>5391</v>
      </c>
      <c r="H389" s="12" t="s">
        <v>4024</v>
      </c>
      <c r="I389" s="84">
        <v>2651099</v>
      </c>
      <c r="J389" s="12" t="s">
        <v>5</v>
      </c>
      <c r="K389" s="12" t="s">
        <v>119</v>
      </c>
      <c r="L389" s="12" t="str">
        <f>IF(OR(ISBLANK(tblSites[[#This Row],[Implementing Partner]]), tblSites[[#This Row],[Implementing Partner]]="-"), tblSites[[#This Row],[Site Agency]], tblSites[[#This Row],[Implementing Partner]])</f>
        <v>BLDA</v>
      </c>
      <c r="M389" s="12" t="s">
        <v>55</v>
      </c>
      <c r="N389" s="12" t="str">
        <f>tblSites[[#This Row],[FinalImplementingPartner]]</f>
        <v>BLDA</v>
      </c>
    </row>
    <row r="390" spans="1:14" x14ac:dyDescent="0.25">
      <c r="A390" s="12" t="s">
        <v>3422</v>
      </c>
      <c r="B390" s="12" t="s">
        <v>4028</v>
      </c>
      <c r="C390" s="12" t="s">
        <v>4614</v>
      </c>
      <c r="D390" t="s">
        <v>5313</v>
      </c>
      <c r="E390" s="12" t="s">
        <v>3178</v>
      </c>
      <c r="F390" s="12" t="s">
        <v>2207</v>
      </c>
      <c r="G390" s="12" t="s">
        <v>5392</v>
      </c>
      <c r="H390" s="12" t="s">
        <v>4028</v>
      </c>
      <c r="I390" s="84">
        <v>26503148</v>
      </c>
      <c r="J390" s="12" t="s">
        <v>5</v>
      </c>
      <c r="K390" s="12" t="s">
        <v>119</v>
      </c>
      <c r="L390" s="12" t="str">
        <f>IF(OR(ISBLANK(tblSites[[#This Row],[Implementing Partner]]), tblSites[[#This Row],[Implementing Partner]]="-"), tblSites[[#This Row],[Site Agency]], tblSites[[#This Row],[Implementing Partner]])</f>
        <v>BLDA</v>
      </c>
      <c r="M390" s="12" t="s">
        <v>55</v>
      </c>
      <c r="N390" s="12" t="str">
        <f>tblSites[[#This Row],[FinalImplementingPartner]]</f>
        <v>BLDA</v>
      </c>
    </row>
    <row r="391" spans="1:14" x14ac:dyDescent="0.25">
      <c r="A391" s="12" t="s">
        <v>3423</v>
      </c>
      <c r="B391" s="12" t="s">
        <v>4025</v>
      </c>
      <c r="C391" s="12" t="s">
        <v>4615</v>
      </c>
      <c r="D391" t="s">
        <v>5313</v>
      </c>
      <c r="E391" s="12" t="s">
        <v>3178</v>
      </c>
      <c r="F391" s="12" t="s">
        <v>358</v>
      </c>
      <c r="G391" s="12" t="s">
        <v>5393</v>
      </c>
      <c r="H391" s="12" t="s">
        <v>4025</v>
      </c>
      <c r="I391" s="84">
        <v>2650577</v>
      </c>
      <c r="J391" s="12" t="s">
        <v>5</v>
      </c>
      <c r="K391" s="12" t="s">
        <v>119</v>
      </c>
      <c r="L391" s="12" t="str">
        <f>IF(OR(ISBLANK(tblSites[[#This Row],[Implementing Partner]]), tblSites[[#This Row],[Implementing Partner]]="-"), tblSites[[#This Row],[Site Agency]], tblSites[[#This Row],[Implementing Partner]])</f>
        <v>BLDA</v>
      </c>
      <c r="M391" s="12" t="s">
        <v>55</v>
      </c>
      <c r="N391" s="12" t="str">
        <f>tblSites[[#This Row],[FinalImplementingPartner]]</f>
        <v>BLDA</v>
      </c>
    </row>
    <row r="392" spans="1:14" x14ac:dyDescent="0.25">
      <c r="A392" s="12" t="s">
        <v>3424</v>
      </c>
      <c r="B392" s="12" t="s">
        <v>4026</v>
      </c>
      <c r="C392" s="12" t="s">
        <v>4616</v>
      </c>
      <c r="D392" t="s">
        <v>5313</v>
      </c>
      <c r="E392" s="12" t="s">
        <v>3178</v>
      </c>
      <c r="F392" s="12" t="s">
        <v>1724</v>
      </c>
      <c r="G392" s="12" t="s">
        <v>5334</v>
      </c>
      <c r="H392" s="12" t="s">
        <v>4026</v>
      </c>
      <c r="I392" s="84">
        <v>26510151</v>
      </c>
      <c r="J392" s="12" t="s">
        <v>5102</v>
      </c>
      <c r="L392" s="12" t="str">
        <f>IF(OR(ISBLANK(tblSites[[#This Row],[Implementing Partner]]), tblSites[[#This Row],[Implementing Partner]]="-"), tblSites[[#This Row],[Site Agency]], tblSites[[#This Row],[Implementing Partner]])</f>
        <v>No SMA</v>
      </c>
      <c r="M392" s="12" t="s">
        <v>55</v>
      </c>
      <c r="N392" s="12" t="str">
        <f>tblSites[[#This Row],[FinalImplementingPartner]]</f>
        <v>No SMA</v>
      </c>
    </row>
    <row r="393" spans="1:14" x14ac:dyDescent="0.25">
      <c r="A393" s="12" t="s">
        <v>3425</v>
      </c>
      <c r="B393" s="12" t="s">
        <v>4027</v>
      </c>
      <c r="C393" s="12" t="s">
        <v>4617</v>
      </c>
      <c r="D393" t="s">
        <v>5313</v>
      </c>
      <c r="E393" s="12" t="s">
        <v>3178</v>
      </c>
      <c r="F393" s="12" t="s">
        <v>2207</v>
      </c>
      <c r="G393" s="12" t="s">
        <v>5392</v>
      </c>
      <c r="H393" s="12" t="s">
        <v>4027</v>
      </c>
      <c r="I393" s="84">
        <v>26503148</v>
      </c>
      <c r="J393" s="12" t="s">
        <v>5</v>
      </c>
      <c r="K393" s="12" t="s">
        <v>119</v>
      </c>
      <c r="L393" s="12" t="str">
        <f>IF(OR(ISBLANK(tblSites[[#This Row],[Implementing Partner]]), tblSites[[#This Row],[Implementing Partner]]="-"), tblSites[[#This Row],[Site Agency]], tblSites[[#This Row],[Implementing Partner]])</f>
        <v>BLDA</v>
      </c>
      <c r="M393" s="12" t="s">
        <v>55</v>
      </c>
      <c r="N393" s="12" t="str">
        <f>tblSites[[#This Row],[FinalImplementingPartner]]</f>
        <v>BLDA</v>
      </c>
    </row>
    <row r="394" spans="1:14" x14ac:dyDescent="0.25">
      <c r="A394" s="12" t="s">
        <v>3426</v>
      </c>
      <c r="B394" s="12" t="s">
        <v>4029</v>
      </c>
      <c r="C394" s="12" t="s">
        <v>4618</v>
      </c>
      <c r="D394" t="s">
        <v>5313</v>
      </c>
      <c r="E394" s="12" t="s">
        <v>3178</v>
      </c>
      <c r="F394" s="12" t="s">
        <v>1724</v>
      </c>
      <c r="G394" s="12" t="s">
        <v>5334</v>
      </c>
      <c r="H394" s="12" t="s">
        <v>4029</v>
      </c>
      <c r="I394" s="84">
        <v>26510151</v>
      </c>
      <c r="J394" s="12" t="s">
        <v>5102</v>
      </c>
      <c r="L394" s="12" t="str">
        <f>IF(OR(ISBLANK(tblSites[[#This Row],[Implementing Partner]]), tblSites[[#This Row],[Implementing Partner]]="-"), tblSites[[#This Row],[Site Agency]], tblSites[[#This Row],[Implementing Partner]])</f>
        <v>No SMA</v>
      </c>
      <c r="M394" s="12" t="s">
        <v>55</v>
      </c>
      <c r="N394" s="12" t="str">
        <f>tblSites[[#This Row],[FinalImplementingPartner]]</f>
        <v>No SMA</v>
      </c>
    </row>
    <row r="395" spans="1:14" x14ac:dyDescent="0.25">
      <c r="A395" s="12" t="s">
        <v>3427</v>
      </c>
      <c r="B395" s="12" t="s">
        <v>4030</v>
      </c>
      <c r="C395" s="12" t="s">
        <v>4619</v>
      </c>
      <c r="D395" t="s">
        <v>5313</v>
      </c>
      <c r="E395" s="12" t="s">
        <v>3178</v>
      </c>
      <c r="F395" s="12" t="s">
        <v>2665</v>
      </c>
      <c r="G395" s="12" t="s">
        <v>5363</v>
      </c>
      <c r="H395" s="12" t="s">
        <v>4030</v>
      </c>
      <c r="I395" s="84">
        <v>2650581</v>
      </c>
      <c r="J395" s="12" t="s">
        <v>5102</v>
      </c>
      <c r="L395" s="12" t="str">
        <f>IF(OR(ISBLANK(tblSites[[#This Row],[Implementing Partner]]), tblSites[[#This Row],[Implementing Partner]]="-"), tblSites[[#This Row],[Site Agency]], tblSites[[#This Row],[Implementing Partner]])</f>
        <v>No SMA</v>
      </c>
      <c r="M395" s="12" t="s">
        <v>55</v>
      </c>
      <c r="N395" s="12" t="str">
        <f>tblSites[[#This Row],[FinalImplementingPartner]]</f>
        <v>No SMA</v>
      </c>
    </row>
    <row r="396" spans="1:14" x14ac:dyDescent="0.25">
      <c r="A396" s="12" t="s">
        <v>3428</v>
      </c>
      <c r="B396" s="12" t="s">
        <v>4031</v>
      </c>
      <c r="C396" s="12" t="s">
        <v>4620</v>
      </c>
      <c r="D396" t="s">
        <v>5313</v>
      </c>
      <c r="E396" s="12" t="s">
        <v>3178</v>
      </c>
      <c r="F396" s="12" t="s">
        <v>358</v>
      </c>
      <c r="G396" s="12" t="s">
        <v>5352</v>
      </c>
      <c r="H396" s="12" t="s">
        <v>4031</v>
      </c>
      <c r="I396" s="84">
        <v>2650577</v>
      </c>
      <c r="J396" s="12" t="s">
        <v>5102</v>
      </c>
      <c r="L396" s="12" t="str">
        <f>IF(OR(ISBLANK(tblSites[[#This Row],[Implementing Partner]]), tblSites[[#This Row],[Implementing Partner]]="-"), tblSites[[#This Row],[Site Agency]], tblSites[[#This Row],[Implementing Partner]])</f>
        <v>No SMA</v>
      </c>
      <c r="M396" s="12" t="s">
        <v>55</v>
      </c>
      <c r="N396" s="12" t="str">
        <f>tblSites[[#This Row],[FinalImplementingPartner]]</f>
        <v>No SMA</v>
      </c>
    </row>
    <row r="397" spans="1:14" x14ac:dyDescent="0.25">
      <c r="A397" s="12" t="s">
        <v>3429</v>
      </c>
      <c r="B397" s="12" t="s">
        <v>4032</v>
      </c>
      <c r="C397" s="12" t="s">
        <v>4621</v>
      </c>
      <c r="D397" t="s">
        <v>5313</v>
      </c>
      <c r="E397" s="12" t="s">
        <v>3178</v>
      </c>
      <c r="F397" s="12" t="s">
        <v>358</v>
      </c>
      <c r="G397" s="12" t="s">
        <v>5352</v>
      </c>
      <c r="H397" s="12" t="s">
        <v>4032</v>
      </c>
      <c r="I397" s="84">
        <v>2650577</v>
      </c>
      <c r="J397" s="12" t="s">
        <v>5102</v>
      </c>
      <c r="L397" s="12" t="str">
        <f>IF(OR(ISBLANK(tblSites[[#This Row],[Implementing Partner]]), tblSites[[#This Row],[Implementing Partner]]="-"), tblSites[[#This Row],[Site Agency]], tblSites[[#This Row],[Implementing Partner]])</f>
        <v>No SMA</v>
      </c>
      <c r="M397" s="12" t="s">
        <v>55</v>
      </c>
      <c r="N397" s="12" t="str">
        <f>tblSites[[#This Row],[FinalImplementingPartner]]</f>
        <v>No SMA</v>
      </c>
    </row>
    <row r="398" spans="1:14" x14ac:dyDescent="0.25">
      <c r="A398" s="12" t="s">
        <v>3430</v>
      </c>
      <c r="B398" s="12" t="s">
        <v>4033</v>
      </c>
      <c r="C398" s="12" t="s">
        <v>4622</v>
      </c>
      <c r="D398" t="s">
        <v>5313</v>
      </c>
      <c r="E398" s="12" t="s">
        <v>3178</v>
      </c>
      <c r="F398" s="12" t="s">
        <v>1702</v>
      </c>
      <c r="G398" s="12" t="s">
        <v>5359</v>
      </c>
      <c r="H398" s="12" t="s">
        <v>4033</v>
      </c>
      <c r="I398" s="84">
        <v>2651041</v>
      </c>
      <c r="J398" s="12" t="s">
        <v>5102</v>
      </c>
      <c r="L398" s="12" t="str">
        <f>IF(OR(ISBLANK(tblSites[[#This Row],[Implementing Partner]]), tblSites[[#This Row],[Implementing Partner]]="-"), tblSites[[#This Row],[Site Agency]], tblSites[[#This Row],[Implementing Partner]])</f>
        <v>No SMA</v>
      </c>
      <c r="M398" s="12" t="s">
        <v>55</v>
      </c>
      <c r="N398" s="12" t="str">
        <f>tblSites[[#This Row],[FinalImplementingPartner]]</f>
        <v>No SMA</v>
      </c>
    </row>
    <row r="399" spans="1:14" x14ac:dyDescent="0.25">
      <c r="A399" s="12" t="s">
        <v>3431</v>
      </c>
      <c r="B399" s="12" t="s">
        <v>4034</v>
      </c>
      <c r="C399" s="12" t="s">
        <v>1276</v>
      </c>
      <c r="D399" t="s">
        <v>5313</v>
      </c>
      <c r="E399" s="12" t="s">
        <v>3178</v>
      </c>
      <c r="F399" s="12" t="s">
        <v>1228</v>
      </c>
      <c r="G399" s="12" t="s">
        <v>5394</v>
      </c>
      <c r="H399" s="12" t="s">
        <v>4034</v>
      </c>
      <c r="I399" s="84">
        <v>26504182</v>
      </c>
      <c r="J399" s="12" t="s">
        <v>5102</v>
      </c>
      <c r="L399" s="12" t="str">
        <f>IF(OR(ISBLANK(tblSites[[#This Row],[Implementing Partner]]), tblSites[[#This Row],[Implementing Partner]]="-"), tblSites[[#This Row],[Site Agency]], tblSites[[#This Row],[Implementing Partner]])</f>
        <v>No SMA</v>
      </c>
      <c r="M399" s="12" t="s">
        <v>55</v>
      </c>
      <c r="N399" s="12" t="str">
        <f>tblSites[[#This Row],[FinalImplementingPartner]]</f>
        <v>No SMA</v>
      </c>
    </row>
    <row r="400" spans="1:14" x14ac:dyDescent="0.25">
      <c r="A400" s="12" t="s">
        <v>3432</v>
      </c>
      <c r="B400" s="12" t="s">
        <v>4035</v>
      </c>
      <c r="C400" s="12" t="s">
        <v>4623</v>
      </c>
      <c r="D400" t="s">
        <v>5313</v>
      </c>
      <c r="E400" s="12" t="s">
        <v>3178</v>
      </c>
      <c r="F400" s="12" t="s">
        <v>1724</v>
      </c>
      <c r="G400" s="12" t="s">
        <v>5334</v>
      </c>
      <c r="H400" s="12" t="s">
        <v>4035</v>
      </c>
      <c r="I400" s="84">
        <v>26510151</v>
      </c>
      <c r="J400" s="12" t="s">
        <v>5102</v>
      </c>
      <c r="L400" s="12" t="str">
        <f>IF(OR(ISBLANK(tblSites[[#This Row],[Implementing Partner]]), tblSites[[#This Row],[Implementing Partner]]="-"), tblSites[[#This Row],[Site Agency]], tblSites[[#This Row],[Implementing Partner]])</f>
        <v>No SMA</v>
      </c>
      <c r="M400" s="12" t="s">
        <v>55</v>
      </c>
      <c r="N400" s="12" t="str">
        <f>tblSites[[#This Row],[FinalImplementingPartner]]</f>
        <v>No SMA</v>
      </c>
    </row>
    <row r="401" spans="1:14" x14ac:dyDescent="0.25">
      <c r="A401" s="12" t="s">
        <v>3433</v>
      </c>
      <c r="B401" s="12" t="s">
        <v>4036</v>
      </c>
      <c r="C401" s="12" t="s">
        <v>4624</v>
      </c>
      <c r="D401" t="s">
        <v>5313</v>
      </c>
      <c r="E401" s="12" t="s">
        <v>3178</v>
      </c>
      <c r="F401" s="12" t="s">
        <v>358</v>
      </c>
      <c r="G401" s="12" t="s">
        <v>5352</v>
      </c>
      <c r="H401" s="12" t="s">
        <v>4036</v>
      </c>
      <c r="I401" s="84">
        <v>2650577</v>
      </c>
      <c r="J401" s="12" t="s">
        <v>5102</v>
      </c>
      <c r="L401" s="12" t="str">
        <f>IF(OR(ISBLANK(tblSites[[#This Row],[Implementing Partner]]), tblSites[[#This Row],[Implementing Partner]]="-"), tblSites[[#This Row],[Site Agency]], tblSites[[#This Row],[Implementing Partner]])</f>
        <v>No SMA</v>
      </c>
      <c r="M401" s="12" t="s">
        <v>55</v>
      </c>
      <c r="N401" s="12" t="str">
        <f>tblSites[[#This Row],[FinalImplementingPartner]]</f>
        <v>No SMA</v>
      </c>
    </row>
    <row r="402" spans="1:14" x14ac:dyDescent="0.25">
      <c r="A402" s="12" t="s">
        <v>3434</v>
      </c>
      <c r="B402" s="12" t="s">
        <v>4037</v>
      </c>
      <c r="C402" s="12" t="s">
        <v>4625</v>
      </c>
      <c r="D402" t="s">
        <v>5313</v>
      </c>
      <c r="E402" s="12" t="s">
        <v>3178</v>
      </c>
      <c r="F402" s="12" t="s">
        <v>1698</v>
      </c>
      <c r="G402" s="12" t="s">
        <v>5349</v>
      </c>
      <c r="H402" s="12" t="s">
        <v>4037</v>
      </c>
      <c r="I402" s="84">
        <v>2650580</v>
      </c>
      <c r="J402" s="12" t="s">
        <v>5102</v>
      </c>
      <c r="L402" s="12" t="str">
        <f>IF(OR(ISBLANK(tblSites[[#This Row],[Implementing Partner]]), tblSites[[#This Row],[Implementing Partner]]="-"), tblSites[[#This Row],[Site Agency]], tblSites[[#This Row],[Implementing Partner]])</f>
        <v>No SMA</v>
      </c>
      <c r="M402" s="12" t="s">
        <v>55</v>
      </c>
      <c r="N402" s="12" t="str">
        <f>tblSites[[#This Row],[FinalImplementingPartner]]</f>
        <v>No SMA</v>
      </c>
    </row>
    <row r="403" spans="1:14" x14ac:dyDescent="0.25">
      <c r="A403" s="12" t="s">
        <v>3435</v>
      </c>
      <c r="B403" s="12" t="s">
        <v>4038</v>
      </c>
      <c r="C403" s="12" t="s">
        <v>4626</v>
      </c>
      <c r="D403" t="s">
        <v>5313</v>
      </c>
      <c r="E403" s="12" t="s">
        <v>3178</v>
      </c>
      <c r="F403" s="12" t="s">
        <v>1724</v>
      </c>
      <c r="G403" s="12" t="s">
        <v>5334</v>
      </c>
      <c r="H403" s="12" t="s">
        <v>4038</v>
      </c>
      <c r="I403" s="84">
        <v>26510151</v>
      </c>
      <c r="J403" s="12" t="s">
        <v>5102</v>
      </c>
      <c r="L403" s="12" t="str">
        <f>IF(OR(ISBLANK(tblSites[[#This Row],[Implementing Partner]]), tblSites[[#This Row],[Implementing Partner]]="-"), tblSites[[#This Row],[Site Agency]], tblSites[[#This Row],[Implementing Partner]])</f>
        <v>No SMA</v>
      </c>
      <c r="M403" s="12" t="s">
        <v>55</v>
      </c>
      <c r="N403" s="12" t="str">
        <f>tblSites[[#This Row],[FinalImplementingPartner]]</f>
        <v>No SMA</v>
      </c>
    </row>
    <row r="404" spans="1:14" x14ac:dyDescent="0.25">
      <c r="A404" s="12" t="s">
        <v>3436</v>
      </c>
      <c r="B404" s="12" t="s">
        <v>4039</v>
      </c>
      <c r="C404" s="12" t="s">
        <v>4627</v>
      </c>
      <c r="D404" t="s">
        <v>5313</v>
      </c>
      <c r="E404" s="12" t="s">
        <v>3178</v>
      </c>
      <c r="F404" s="12" t="s">
        <v>1724</v>
      </c>
      <c r="G404" s="12" t="s">
        <v>5334</v>
      </c>
      <c r="H404" s="12" t="s">
        <v>4039</v>
      </c>
      <c r="I404" s="84">
        <v>26510151</v>
      </c>
      <c r="J404" s="12" t="s">
        <v>5102</v>
      </c>
      <c r="L404" s="12" t="str">
        <f>IF(OR(ISBLANK(tblSites[[#This Row],[Implementing Partner]]), tblSites[[#This Row],[Implementing Partner]]="-"), tblSites[[#This Row],[Site Agency]], tblSites[[#This Row],[Implementing Partner]])</f>
        <v>No SMA</v>
      </c>
      <c r="M404" s="12" t="s">
        <v>55</v>
      </c>
      <c r="N404" s="12" t="str">
        <f>tblSites[[#This Row],[FinalImplementingPartner]]</f>
        <v>No SMA</v>
      </c>
    </row>
    <row r="405" spans="1:14" x14ac:dyDescent="0.25">
      <c r="A405" s="12" t="s">
        <v>3437</v>
      </c>
      <c r="B405" s="12" t="s">
        <v>4040</v>
      </c>
      <c r="C405" s="12" t="s">
        <v>4628</v>
      </c>
      <c r="D405" t="s">
        <v>5313</v>
      </c>
      <c r="E405" s="12" t="s">
        <v>3178</v>
      </c>
      <c r="F405" s="12" t="s">
        <v>985</v>
      </c>
      <c r="G405" s="12" t="s">
        <v>5345</v>
      </c>
      <c r="H405" s="12" t="s">
        <v>4040</v>
      </c>
      <c r="I405" s="84">
        <v>2650579</v>
      </c>
      <c r="J405" s="12" t="s">
        <v>5102</v>
      </c>
      <c r="K405" s="12" t="s">
        <v>389</v>
      </c>
      <c r="L405" s="12" t="str">
        <f>IF(OR(ISBLANK(tblSites[[#This Row],[Implementing Partner]]), tblSites[[#This Row],[Implementing Partner]]="-"), tblSites[[#This Row],[Site Agency]], tblSites[[#This Row],[Implementing Partner]])</f>
        <v>No SMA</v>
      </c>
      <c r="M405" s="12" t="s">
        <v>55</v>
      </c>
      <c r="N405" s="12" t="str">
        <f>tblSites[[#This Row],[FinalImplementingPartner]]</f>
        <v>No SMA</v>
      </c>
    </row>
    <row r="406" spans="1:14" x14ac:dyDescent="0.25">
      <c r="A406" s="12" t="s">
        <v>3438</v>
      </c>
      <c r="B406" s="12" t="s">
        <v>4041</v>
      </c>
      <c r="C406" s="12" t="s">
        <v>4629</v>
      </c>
      <c r="D406" t="s">
        <v>5313</v>
      </c>
      <c r="E406" s="12" t="s">
        <v>3178</v>
      </c>
      <c r="F406" s="12" t="s">
        <v>2207</v>
      </c>
      <c r="G406" s="12" t="s">
        <v>5386</v>
      </c>
      <c r="H406" s="12" t="s">
        <v>4041</v>
      </c>
      <c r="I406" s="84">
        <v>26503148</v>
      </c>
      <c r="J406" s="12" t="s">
        <v>5102</v>
      </c>
      <c r="L406" s="12" t="str">
        <f>IF(OR(ISBLANK(tblSites[[#This Row],[Implementing Partner]]), tblSites[[#This Row],[Implementing Partner]]="-"), tblSites[[#This Row],[Site Agency]], tblSites[[#This Row],[Implementing Partner]])</f>
        <v>No SMA</v>
      </c>
      <c r="M406" s="12" t="s">
        <v>55</v>
      </c>
      <c r="N406" s="12" t="str">
        <f>tblSites[[#This Row],[FinalImplementingPartner]]</f>
        <v>No SMA</v>
      </c>
    </row>
    <row r="407" spans="1:14" x14ac:dyDescent="0.25">
      <c r="A407" s="12" t="s">
        <v>3439</v>
      </c>
      <c r="B407" s="12" t="s">
        <v>4042</v>
      </c>
      <c r="C407" s="12" t="s">
        <v>4630</v>
      </c>
      <c r="D407" t="s">
        <v>5313</v>
      </c>
      <c r="E407" s="12" t="s">
        <v>3178</v>
      </c>
      <c r="F407" s="12" t="s">
        <v>2665</v>
      </c>
      <c r="G407" s="12" t="s">
        <v>5363</v>
      </c>
      <c r="H407" s="12" t="s">
        <v>4042</v>
      </c>
      <c r="I407" s="84">
        <v>2650581</v>
      </c>
      <c r="J407" s="12" t="s">
        <v>5102</v>
      </c>
      <c r="L407" s="12" t="str">
        <f>IF(OR(ISBLANK(tblSites[[#This Row],[Implementing Partner]]), tblSites[[#This Row],[Implementing Partner]]="-"), tblSites[[#This Row],[Site Agency]], tblSites[[#This Row],[Implementing Partner]])</f>
        <v>No SMA</v>
      </c>
      <c r="M407" s="12" t="s">
        <v>55</v>
      </c>
      <c r="N407" s="12" t="str">
        <f>tblSites[[#This Row],[FinalImplementingPartner]]</f>
        <v>No SMA</v>
      </c>
    </row>
    <row r="408" spans="1:14" x14ac:dyDescent="0.25">
      <c r="A408" s="47" t="s">
        <v>3440</v>
      </c>
      <c r="B408" s="12" t="s">
        <v>4043</v>
      </c>
      <c r="C408" s="12" t="s">
        <v>4631</v>
      </c>
      <c r="D408" t="s">
        <v>5313</v>
      </c>
      <c r="E408" s="12" t="s">
        <v>3178</v>
      </c>
      <c r="F408" s="47" t="s">
        <v>2207</v>
      </c>
      <c r="G408" s="12" t="s">
        <v>5386</v>
      </c>
      <c r="H408" s="12" t="s">
        <v>4043</v>
      </c>
      <c r="I408" s="84">
        <v>26503148</v>
      </c>
      <c r="J408" s="12" t="s">
        <v>5102</v>
      </c>
      <c r="L408" s="12" t="str">
        <f>IF(OR(ISBLANK(tblSites[[#This Row],[Implementing Partner]]), tblSites[[#This Row],[Implementing Partner]]="-"), tblSites[[#This Row],[Site Agency]], tblSites[[#This Row],[Implementing Partner]])</f>
        <v>No SMA</v>
      </c>
      <c r="M408" s="12" t="s">
        <v>55</v>
      </c>
      <c r="N408" s="12" t="str">
        <f>tblSites[[#This Row],[FinalImplementingPartner]]</f>
        <v>No SMA</v>
      </c>
    </row>
    <row r="409" spans="1:14" x14ac:dyDescent="0.25">
      <c r="A409" s="12" t="s">
        <v>3441</v>
      </c>
      <c r="B409" s="12" t="s">
        <v>4044</v>
      </c>
      <c r="C409" s="12" t="s">
        <v>4632</v>
      </c>
      <c r="D409" t="s">
        <v>5313</v>
      </c>
      <c r="E409" s="12" t="s">
        <v>3178</v>
      </c>
      <c r="F409" s="12" t="s">
        <v>154</v>
      </c>
      <c r="G409" s="12" t="s">
        <v>5336</v>
      </c>
      <c r="H409" s="12" t="s">
        <v>4044</v>
      </c>
      <c r="I409" s="84">
        <v>26501147</v>
      </c>
      <c r="J409" s="12" t="s">
        <v>5102</v>
      </c>
      <c r="K409" s="12" t="s">
        <v>389</v>
      </c>
      <c r="L409" s="12" t="str">
        <f>IF(OR(ISBLANK(tblSites[[#This Row],[Implementing Partner]]), tblSites[[#This Row],[Implementing Partner]]="-"), tblSites[[#This Row],[Site Agency]], tblSites[[#This Row],[Implementing Partner]])</f>
        <v>No SMA</v>
      </c>
      <c r="M409" s="12" t="s">
        <v>55</v>
      </c>
      <c r="N409" s="12" t="str">
        <f>tblSites[[#This Row],[FinalImplementingPartner]]</f>
        <v>No SMA</v>
      </c>
    </row>
    <row r="410" spans="1:14" x14ac:dyDescent="0.25">
      <c r="A410" s="12" t="s">
        <v>3442</v>
      </c>
      <c r="B410" s="12" t="s">
        <v>4045</v>
      </c>
      <c r="C410" s="12" t="s">
        <v>5279</v>
      </c>
      <c r="D410" t="s">
        <v>5313</v>
      </c>
      <c r="E410" s="12" t="s">
        <v>3178</v>
      </c>
      <c r="F410" s="12" t="s">
        <v>154</v>
      </c>
      <c r="G410" s="12" t="s">
        <v>5336</v>
      </c>
      <c r="H410" s="12" t="s">
        <v>4045</v>
      </c>
      <c r="I410" s="84">
        <v>26501147</v>
      </c>
      <c r="J410" s="12" t="s">
        <v>5102</v>
      </c>
      <c r="L410" s="12" t="str">
        <f>IF(OR(ISBLANK(tblSites[[#This Row],[Implementing Partner]]), tblSites[[#This Row],[Implementing Partner]]="-"), tblSites[[#This Row],[Site Agency]], tblSites[[#This Row],[Implementing Partner]])</f>
        <v>No SMA</v>
      </c>
      <c r="M410" s="12" t="s">
        <v>55</v>
      </c>
      <c r="N410" s="12" t="str">
        <f>tblSites[[#This Row],[FinalImplementingPartner]]</f>
        <v>No SMA</v>
      </c>
    </row>
    <row r="411" spans="1:14" x14ac:dyDescent="0.25">
      <c r="A411" s="12" t="s">
        <v>3443</v>
      </c>
      <c r="B411" s="12" t="s">
        <v>4046</v>
      </c>
      <c r="C411" s="12" t="s">
        <v>4633</v>
      </c>
      <c r="D411" t="s">
        <v>5313</v>
      </c>
      <c r="E411" s="12" t="s">
        <v>3178</v>
      </c>
      <c r="F411" s="12" t="s">
        <v>154</v>
      </c>
      <c r="G411" s="12" t="s">
        <v>5336</v>
      </c>
      <c r="H411" s="12" t="s">
        <v>4046</v>
      </c>
      <c r="I411" s="84">
        <v>26501147</v>
      </c>
      <c r="J411" s="12" t="s">
        <v>5102</v>
      </c>
      <c r="L411" s="12" t="str">
        <f>IF(OR(ISBLANK(tblSites[[#This Row],[Implementing Partner]]), tblSites[[#This Row],[Implementing Partner]]="-"), tblSites[[#This Row],[Site Agency]], tblSites[[#This Row],[Implementing Partner]])</f>
        <v>No SMA</v>
      </c>
      <c r="M411" s="12" t="s">
        <v>55</v>
      </c>
      <c r="N411" s="12" t="str">
        <f>tblSites[[#This Row],[FinalImplementingPartner]]</f>
        <v>No SMA</v>
      </c>
    </row>
    <row r="412" spans="1:14" x14ac:dyDescent="0.25">
      <c r="A412" s="12" t="s">
        <v>3444</v>
      </c>
      <c r="B412" s="12" t="s">
        <v>4047</v>
      </c>
      <c r="C412" s="12" t="s">
        <v>4634</v>
      </c>
      <c r="D412" t="s">
        <v>5313</v>
      </c>
      <c r="E412" s="12" t="s">
        <v>3178</v>
      </c>
      <c r="F412" s="12" t="s">
        <v>3219</v>
      </c>
      <c r="G412" s="12" t="s">
        <v>5337</v>
      </c>
      <c r="H412" s="12" t="s">
        <v>4047</v>
      </c>
      <c r="I412" s="84">
        <v>26502183</v>
      </c>
      <c r="J412" s="12" t="s">
        <v>5102</v>
      </c>
      <c r="L412" s="12" t="str">
        <f>IF(OR(ISBLANK(tblSites[[#This Row],[Implementing Partner]]), tblSites[[#This Row],[Implementing Partner]]="-"), tblSites[[#This Row],[Site Agency]], tblSites[[#This Row],[Implementing Partner]])</f>
        <v>No SMA</v>
      </c>
      <c r="M412" s="12" t="s">
        <v>55</v>
      </c>
      <c r="N412" s="12" t="str">
        <f>tblSites[[#This Row],[FinalImplementingPartner]]</f>
        <v>No SMA</v>
      </c>
    </row>
    <row r="413" spans="1:14" x14ac:dyDescent="0.25">
      <c r="A413" s="12" t="s">
        <v>3445</v>
      </c>
      <c r="B413" s="12" t="s">
        <v>4048</v>
      </c>
      <c r="C413" s="12" t="s">
        <v>4635</v>
      </c>
      <c r="D413" t="s">
        <v>5313</v>
      </c>
      <c r="E413" s="12" t="s">
        <v>3178</v>
      </c>
      <c r="F413" s="12" t="s">
        <v>154</v>
      </c>
      <c r="G413" s="12" t="s">
        <v>5336</v>
      </c>
      <c r="H413" s="12" t="s">
        <v>4048</v>
      </c>
      <c r="I413" s="84">
        <v>26501147</v>
      </c>
      <c r="J413" s="12" t="s">
        <v>5102</v>
      </c>
      <c r="L413" s="12" t="str">
        <f>IF(OR(ISBLANK(tblSites[[#This Row],[Implementing Partner]]), tblSites[[#This Row],[Implementing Partner]]="-"), tblSites[[#This Row],[Site Agency]], tblSites[[#This Row],[Implementing Partner]])</f>
        <v>No SMA</v>
      </c>
      <c r="M413" s="12" t="s">
        <v>55</v>
      </c>
      <c r="N413" s="12" t="str">
        <f>tblSites[[#This Row],[FinalImplementingPartner]]</f>
        <v>No SMA</v>
      </c>
    </row>
    <row r="414" spans="1:14" x14ac:dyDescent="0.25">
      <c r="A414" s="12" t="s">
        <v>3446</v>
      </c>
      <c r="B414" s="12" t="s">
        <v>2806</v>
      </c>
      <c r="C414" s="12" t="s">
        <v>271</v>
      </c>
      <c r="D414" t="s">
        <v>5313</v>
      </c>
      <c r="E414" s="12" t="s">
        <v>3178</v>
      </c>
      <c r="F414" s="12" t="s">
        <v>154</v>
      </c>
      <c r="G414" s="12" t="s">
        <v>5395</v>
      </c>
      <c r="H414" s="12" t="s">
        <v>2806</v>
      </c>
      <c r="I414" s="84">
        <v>26501147</v>
      </c>
      <c r="J414" s="12" t="s">
        <v>7</v>
      </c>
      <c r="L414" s="12" t="str">
        <f>IF(OR(ISBLANK(tblSites[[#This Row],[Implementing Partner]]), tblSites[[#This Row],[Implementing Partner]]="-"), tblSites[[#This Row],[Site Agency]], tblSites[[#This Row],[Implementing Partner]])</f>
        <v>ACTED</v>
      </c>
      <c r="M414" s="12" t="s">
        <v>55</v>
      </c>
      <c r="N414" s="12" t="str">
        <f>tblSites[[#This Row],[FinalImplementingPartner]]</f>
        <v>ACTED</v>
      </c>
    </row>
    <row r="415" spans="1:14" x14ac:dyDescent="0.25">
      <c r="A415" s="12" t="s">
        <v>3447</v>
      </c>
      <c r="B415" s="12" t="s">
        <v>4049</v>
      </c>
      <c r="C415" s="12" t="s">
        <v>4636</v>
      </c>
      <c r="D415" t="s">
        <v>5313</v>
      </c>
      <c r="E415" s="12" t="s">
        <v>3178</v>
      </c>
      <c r="F415" s="12" t="s">
        <v>154</v>
      </c>
      <c r="G415" s="12" t="s">
        <v>5336</v>
      </c>
      <c r="H415" s="12" t="s">
        <v>4049</v>
      </c>
      <c r="I415" s="84">
        <v>26501147</v>
      </c>
      <c r="J415" s="12" t="s">
        <v>5102</v>
      </c>
      <c r="K415" s="12" t="s">
        <v>389</v>
      </c>
      <c r="L415" s="12" t="str">
        <f>IF(OR(ISBLANK(tblSites[[#This Row],[Implementing Partner]]), tblSites[[#This Row],[Implementing Partner]]="-"), tblSites[[#This Row],[Site Agency]], tblSites[[#This Row],[Implementing Partner]])</f>
        <v>No SMA</v>
      </c>
      <c r="M415" s="12" t="s">
        <v>55</v>
      </c>
      <c r="N415" s="12" t="str">
        <f>tblSites[[#This Row],[FinalImplementingPartner]]</f>
        <v>No SMA</v>
      </c>
    </row>
    <row r="416" spans="1:14" x14ac:dyDescent="0.25">
      <c r="A416" s="12" t="s">
        <v>3448</v>
      </c>
      <c r="B416" s="12" t="s">
        <v>4050</v>
      </c>
      <c r="C416" s="12" t="s">
        <v>685</v>
      </c>
      <c r="D416" t="s">
        <v>5313</v>
      </c>
      <c r="E416" s="12" t="s">
        <v>3178</v>
      </c>
      <c r="F416" s="12" t="s">
        <v>154</v>
      </c>
      <c r="G416" s="12" t="s">
        <v>5396</v>
      </c>
      <c r="H416" s="12" t="s">
        <v>4050</v>
      </c>
      <c r="I416" s="84">
        <v>26501147</v>
      </c>
      <c r="J416" s="12" t="s">
        <v>5103</v>
      </c>
      <c r="L416" s="12" t="str">
        <f>IF(OR(ISBLANK(tblSites[[#This Row],[Implementing Partner]]), tblSites[[#This Row],[Implementing Partner]]="-"), tblSites[[#This Row],[Site Agency]], tblSites[[#This Row],[Implementing Partner]])</f>
        <v>HEKS EPER</v>
      </c>
      <c r="M416" s="12" t="s">
        <v>55</v>
      </c>
      <c r="N416" s="12" t="str">
        <f>tblSites[[#This Row],[FinalImplementingPartner]]</f>
        <v>HEKS EPER</v>
      </c>
    </row>
    <row r="417" spans="1:14" x14ac:dyDescent="0.25">
      <c r="A417" s="12" t="s">
        <v>3449</v>
      </c>
      <c r="B417" s="12" t="s">
        <v>4051</v>
      </c>
      <c r="C417" s="12" t="s">
        <v>4637</v>
      </c>
      <c r="D417" t="s">
        <v>5313</v>
      </c>
      <c r="E417" s="12" t="s">
        <v>3178</v>
      </c>
      <c r="F417" s="12" t="s">
        <v>154</v>
      </c>
      <c r="G417" s="12" t="s">
        <v>5336</v>
      </c>
      <c r="H417" s="12" t="s">
        <v>4051</v>
      </c>
      <c r="I417" s="84">
        <v>26501147</v>
      </c>
      <c r="J417" s="12" t="s">
        <v>5102</v>
      </c>
      <c r="L417" s="12" t="str">
        <f>IF(OR(ISBLANK(tblSites[[#This Row],[Implementing Partner]]), tblSites[[#This Row],[Implementing Partner]]="-"), tblSites[[#This Row],[Site Agency]], tblSites[[#This Row],[Implementing Partner]])</f>
        <v>No SMA</v>
      </c>
      <c r="M417" s="12" t="s">
        <v>55</v>
      </c>
      <c r="N417" s="12" t="str">
        <f>tblSites[[#This Row],[FinalImplementingPartner]]</f>
        <v>No SMA</v>
      </c>
    </row>
    <row r="418" spans="1:14" x14ac:dyDescent="0.25">
      <c r="A418" s="12" t="s">
        <v>3450</v>
      </c>
      <c r="B418" s="12" t="s">
        <v>4052</v>
      </c>
      <c r="C418" s="12" t="s">
        <v>4638</v>
      </c>
      <c r="D418" t="s">
        <v>5313</v>
      </c>
      <c r="E418" s="12" t="s">
        <v>3178</v>
      </c>
      <c r="F418" s="12" t="s">
        <v>154</v>
      </c>
      <c r="G418" s="12" t="s">
        <v>5336</v>
      </c>
      <c r="H418" s="12" t="s">
        <v>4052</v>
      </c>
      <c r="I418" s="84">
        <v>26501147</v>
      </c>
      <c r="J418" s="12" t="s">
        <v>5102</v>
      </c>
      <c r="L418" s="12" t="str">
        <f>IF(OR(ISBLANK(tblSites[[#This Row],[Implementing Partner]]), tblSites[[#This Row],[Implementing Partner]]="-"), tblSites[[#This Row],[Site Agency]], tblSites[[#This Row],[Implementing Partner]])</f>
        <v>No SMA</v>
      </c>
      <c r="M418" s="12" t="s">
        <v>55</v>
      </c>
      <c r="N418" s="12" t="str">
        <f>tblSites[[#This Row],[FinalImplementingPartner]]</f>
        <v>No SMA</v>
      </c>
    </row>
    <row r="419" spans="1:14" x14ac:dyDescent="0.25">
      <c r="A419" s="12" t="s">
        <v>3451</v>
      </c>
      <c r="B419" s="12" t="s">
        <v>4053</v>
      </c>
      <c r="C419" s="12" t="s">
        <v>1905</v>
      </c>
      <c r="D419" t="s">
        <v>5313</v>
      </c>
      <c r="E419" s="12" t="s">
        <v>3178</v>
      </c>
      <c r="F419" s="12" t="s">
        <v>154</v>
      </c>
      <c r="G419" s="12" t="s">
        <v>5336</v>
      </c>
      <c r="H419" s="12" t="s">
        <v>4053</v>
      </c>
      <c r="I419" s="84">
        <v>26501147</v>
      </c>
      <c r="J419" s="12" t="s">
        <v>5102</v>
      </c>
      <c r="L419" s="12" t="str">
        <f>IF(OR(ISBLANK(tblSites[[#This Row],[Implementing Partner]]), tblSites[[#This Row],[Implementing Partner]]="-"), tblSites[[#This Row],[Site Agency]], tblSites[[#This Row],[Implementing Partner]])</f>
        <v>No SMA</v>
      </c>
      <c r="M419" s="12" t="s">
        <v>55</v>
      </c>
      <c r="N419" s="12" t="str">
        <f>tblSites[[#This Row],[FinalImplementingPartner]]</f>
        <v>No SMA</v>
      </c>
    </row>
    <row r="420" spans="1:14" x14ac:dyDescent="0.25">
      <c r="A420" s="12" t="s">
        <v>3452</v>
      </c>
      <c r="B420" s="12" t="s">
        <v>4054</v>
      </c>
      <c r="C420" s="12" t="s">
        <v>4639</v>
      </c>
      <c r="D420" t="s">
        <v>5313</v>
      </c>
      <c r="E420" s="12" t="s">
        <v>3178</v>
      </c>
      <c r="F420" s="12" t="s">
        <v>154</v>
      </c>
      <c r="G420" s="12" t="s">
        <v>5336</v>
      </c>
      <c r="H420" s="12" t="s">
        <v>4054</v>
      </c>
      <c r="I420" s="84">
        <v>26501147</v>
      </c>
      <c r="J420" s="12" t="s">
        <v>5102</v>
      </c>
      <c r="L420" s="12" t="str">
        <f>IF(OR(ISBLANK(tblSites[[#This Row],[Implementing Partner]]), tblSites[[#This Row],[Implementing Partner]]="-"), tblSites[[#This Row],[Site Agency]], tblSites[[#This Row],[Implementing Partner]])</f>
        <v>No SMA</v>
      </c>
      <c r="M420" s="12" t="s">
        <v>55</v>
      </c>
      <c r="N420" s="12" t="str">
        <f>tblSites[[#This Row],[FinalImplementingPartner]]</f>
        <v>No SMA</v>
      </c>
    </row>
    <row r="421" spans="1:14" x14ac:dyDescent="0.25">
      <c r="A421" s="12" t="s">
        <v>3453</v>
      </c>
      <c r="B421" s="12" t="s">
        <v>4055</v>
      </c>
      <c r="C421" s="12" t="s">
        <v>4640</v>
      </c>
      <c r="D421" t="s">
        <v>5313</v>
      </c>
      <c r="E421" s="12" t="s">
        <v>3178</v>
      </c>
      <c r="F421" s="12" t="s">
        <v>154</v>
      </c>
      <c r="G421" s="12" t="s">
        <v>5336</v>
      </c>
      <c r="H421" s="12" t="s">
        <v>4055</v>
      </c>
      <c r="I421" s="84">
        <v>26501147</v>
      </c>
      <c r="J421" s="12" t="s">
        <v>5102</v>
      </c>
      <c r="L421" s="12" t="str">
        <f>IF(OR(ISBLANK(tblSites[[#This Row],[Implementing Partner]]), tblSites[[#This Row],[Implementing Partner]]="-"), tblSites[[#This Row],[Site Agency]], tblSites[[#This Row],[Implementing Partner]])</f>
        <v>No SMA</v>
      </c>
      <c r="M421" s="12" t="s">
        <v>55</v>
      </c>
      <c r="N421" s="12" t="str">
        <f>tblSites[[#This Row],[FinalImplementingPartner]]</f>
        <v>No SMA</v>
      </c>
    </row>
    <row r="422" spans="1:14" x14ac:dyDescent="0.25">
      <c r="A422" s="12" t="s">
        <v>3454</v>
      </c>
      <c r="B422" s="12" t="s">
        <v>4056</v>
      </c>
      <c r="C422" s="12" t="s">
        <v>4641</v>
      </c>
      <c r="D422" t="s">
        <v>5313</v>
      </c>
      <c r="E422" s="12" t="s">
        <v>3178</v>
      </c>
      <c r="F422" s="12" t="s">
        <v>154</v>
      </c>
      <c r="G422" s="12" t="s">
        <v>5336</v>
      </c>
      <c r="H422" s="12" t="s">
        <v>4056</v>
      </c>
      <c r="I422" s="84">
        <v>26501147</v>
      </c>
      <c r="J422" s="12" t="s">
        <v>5102</v>
      </c>
      <c r="K422" s="12" t="s">
        <v>389</v>
      </c>
      <c r="L422" s="12" t="str">
        <f>IF(OR(ISBLANK(tblSites[[#This Row],[Implementing Partner]]), tblSites[[#This Row],[Implementing Partner]]="-"), tblSites[[#This Row],[Site Agency]], tblSites[[#This Row],[Implementing Partner]])</f>
        <v>No SMA</v>
      </c>
      <c r="M422" s="12" t="s">
        <v>55</v>
      </c>
      <c r="N422" s="12" t="str">
        <f>tblSites[[#This Row],[FinalImplementingPartner]]</f>
        <v>No SMA</v>
      </c>
    </row>
    <row r="423" spans="1:14" x14ac:dyDescent="0.25">
      <c r="A423" s="12" t="s">
        <v>3455</v>
      </c>
      <c r="B423" s="12" t="s">
        <v>4057</v>
      </c>
      <c r="C423" s="12" t="s">
        <v>4642</v>
      </c>
      <c r="D423" t="s">
        <v>5313</v>
      </c>
      <c r="E423" s="12" t="s">
        <v>3178</v>
      </c>
      <c r="F423" s="12" t="s">
        <v>154</v>
      </c>
      <c r="G423" s="12" t="s">
        <v>5336</v>
      </c>
      <c r="H423" s="12" t="s">
        <v>4057</v>
      </c>
      <c r="I423" s="84">
        <v>26501147</v>
      </c>
      <c r="J423" s="12" t="s">
        <v>5102</v>
      </c>
      <c r="L423" s="12" t="str">
        <f>IF(OR(ISBLANK(tblSites[[#This Row],[Implementing Partner]]), tblSites[[#This Row],[Implementing Partner]]="-"), tblSites[[#This Row],[Site Agency]], tblSites[[#This Row],[Implementing Partner]])</f>
        <v>No SMA</v>
      </c>
      <c r="M423" s="12" t="s">
        <v>55</v>
      </c>
      <c r="N423" s="12" t="str">
        <f>tblSites[[#This Row],[FinalImplementingPartner]]</f>
        <v>No SMA</v>
      </c>
    </row>
    <row r="424" spans="1:14" x14ac:dyDescent="0.25">
      <c r="A424" s="12" t="s">
        <v>3456</v>
      </c>
      <c r="B424" s="12" t="s">
        <v>4058</v>
      </c>
      <c r="C424" s="12" t="s">
        <v>4643</v>
      </c>
      <c r="D424" t="s">
        <v>5313</v>
      </c>
      <c r="E424" s="12" t="s">
        <v>3178</v>
      </c>
      <c r="F424" s="12" t="s">
        <v>154</v>
      </c>
      <c r="G424" s="12" t="s">
        <v>5336</v>
      </c>
      <c r="H424" s="12" t="s">
        <v>4058</v>
      </c>
      <c r="I424" s="84">
        <v>26501147</v>
      </c>
      <c r="J424" s="12" t="s">
        <v>5102</v>
      </c>
      <c r="L424" s="12" t="str">
        <f>IF(OR(ISBLANK(tblSites[[#This Row],[Implementing Partner]]), tblSites[[#This Row],[Implementing Partner]]="-"), tblSites[[#This Row],[Site Agency]], tblSites[[#This Row],[Implementing Partner]])</f>
        <v>No SMA</v>
      </c>
      <c r="M424" s="12" t="s">
        <v>55</v>
      </c>
      <c r="N424" s="12" t="str">
        <f>tblSites[[#This Row],[FinalImplementingPartner]]</f>
        <v>No SMA</v>
      </c>
    </row>
    <row r="425" spans="1:14" x14ac:dyDescent="0.25">
      <c r="A425" s="12" t="s">
        <v>3457</v>
      </c>
      <c r="B425" s="12" t="s">
        <v>1658</v>
      </c>
      <c r="C425" s="12" t="s">
        <v>4644</v>
      </c>
      <c r="D425" t="s">
        <v>5313</v>
      </c>
      <c r="E425" s="12" t="s">
        <v>3178</v>
      </c>
      <c r="F425" s="12" t="s">
        <v>3219</v>
      </c>
      <c r="G425" s="12" t="s">
        <v>5337</v>
      </c>
      <c r="H425" s="12" t="s">
        <v>1658</v>
      </c>
      <c r="I425" s="84">
        <v>26502183</v>
      </c>
      <c r="J425" s="12" t="s">
        <v>5102</v>
      </c>
      <c r="L425" s="12" t="str">
        <f>IF(OR(ISBLANK(tblSites[[#This Row],[Implementing Partner]]), tblSites[[#This Row],[Implementing Partner]]="-"), tblSites[[#This Row],[Site Agency]], tblSites[[#This Row],[Implementing Partner]])</f>
        <v>No SMA</v>
      </c>
      <c r="M425" s="12" t="s">
        <v>55</v>
      </c>
      <c r="N425" s="12" t="str">
        <f>tblSites[[#This Row],[FinalImplementingPartner]]</f>
        <v>No SMA</v>
      </c>
    </row>
    <row r="426" spans="1:14" x14ac:dyDescent="0.25">
      <c r="A426" s="12" t="s">
        <v>3458</v>
      </c>
      <c r="B426" s="12" t="s">
        <v>4059</v>
      </c>
      <c r="C426" s="12" t="s">
        <v>4645</v>
      </c>
      <c r="D426" t="s">
        <v>5313</v>
      </c>
      <c r="E426" s="12" t="s">
        <v>3178</v>
      </c>
      <c r="F426" s="12" t="s">
        <v>154</v>
      </c>
      <c r="G426" s="12" t="s">
        <v>5336</v>
      </c>
      <c r="H426" s="12" t="s">
        <v>4059</v>
      </c>
      <c r="I426" s="84">
        <v>26501147</v>
      </c>
      <c r="J426" s="12" t="s">
        <v>5102</v>
      </c>
      <c r="L426" s="12" t="str">
        <f>IF(OR(ISBLANK(tblSites[[#This Row],[Implementing Partner]]), tblSites[[#This Row],[Implementing Partner]]="-"), tblSites[[#This Row],[Site Agency]], tblSites[[#This Row],[Implementing Partner]])</f>
        <v>No SMA</v>
      </c>
      <c r="M426" s="12" t="s">
        <v>55</v>
      </c>
      <c r="N426" s="12" t="str">
        <f>tblSites[[#This Row],[FinalImplementingPartner]]</f>
        <v>No SMA</v>
      </c>
    </row>
    <row r="427" spans="1:14" x14ac:dyDescent="0.25">
      <c r="A427" s="12" t="s">
        <v>3459</v>
      </c>
      <c r="B427" s="12" t="s">
        <v>4060</v>
      </c>
      <c r="C427" s="12" t="s">
        <v>4646</v>
      </c>
      <c r="D427" t="s">
        <v>5313</v>
      </c>
      <c r="E427" s="12" t="s">
        <v>3178</v>
      </c>
      <c r="F427" s="12" t="s">
        <v>154</v>
      </c>
      <c r="G427" s="12" t="s">
        <v>5336</v>
      </c>
      <c r="H427" s="12" t="s">
        <v>4060</v>
      </c>
      <c r="I427" s="84">
        <v>26501147</v>
      </c>
      <c r="J427" s="12" t="s">
        <v>5102</v>
      </c>
      <c r="L427" s="12" t="str">
        <f>IF(OR(ISBLANK(tblSites[[#This Row],[Implementing Partner]]), tblSites[[#This Row],[Implementing Partner]]="-"), tblSites[[#This Row],[Site Agency]], tblSites[[#This Row],[Implementing Partner]])</f>
        <v>No SMA</v>
      </c>
      <c r="M427" s="12" t="s">
        <v>55</v>
      </c>
      <c r="N427" s="12" t="str">
        <f>tblSites[[#This Row],[FinalImplementingPartner]]</f>
        <v>No SMA</v>
      </c>
    </row>
    <row r="428" spans="1:14" x14ac:dyDescent="0.25">
      <c r="A428" s="12" t="s">
        <v>3460</v>
      </c>
      <c r="B428" s="12" t="s">
        <v>4061</v>
      </c>
      <c r="C428" s="12" t="s">
        <v>4647</v>
      </c>
      <c r="D428" t="s">
        <v>5313</v>
      </c>
      <c r="E428" s="12" t="s">
        <v>3178</v>
      </c>
      <c r="F428" s="12" t="s">
        <v>154</v>
      </c>
      <c r="G428" s="12" t="s">
        <v>5336</v>
      </c>
      <c r="H428" s="12" t="s">
        <v>4061</v>
      </c>
      <c r="I428" s="84">
        <v>26501147</v>
      </c>
      <c r="J428" s="12" t="s">
        <v>5102</v>
      </c>
      <c r="L428" s="12" t="str">
        <f>IF(OR(ISBLANK(tblSites[[#This Row],[Implementing Partner]]), tblSites[[#This Row],[Implementing Partner]]="-"), tblSites[[#This Row],[Site Agency]], tblSites[[#This Row],[Implementing Partner]])</f>
        <v>No SMA</v>
      </c>
      <c r="M428" s="12" t="s">
        <v>55</v>
      </c>
      <c r="N428" s="12" t="str">
        <f>tblSites[[#This Row],[FinalImplementingPartner]]</f>
        <v>No SMA</v>
      </c>
    </row>
    <row r="429" spans="1:14" x14ac:dyDescent="0.25">
      <c r="A429" s="12" t="s">
        <v>3461</v>
      </c>
      <c r="B429" s="12" t="s">
        <v>4062</v>
      </c>
      <c r="C429" s="12" t="s">
        <v>4648</v>
      </c>
      <c r="D429" t="s">
        <v>5313</v>
      </c>
      <c r="E429" s="12" t="s">
        <v>3178</v>
      </c>
      <c r="F429" s="12" t="s">
        <v>163</v>
      </c>
      <c r="G429" s="12" t="s">
        <v>5338</v>
      </c>
      <c r="H429" s="12" t="s">
        <v>4062</v>
      </c>
      <c r="I429" s="84">
        <v>2651093</v>
      </c>
      <c r="J429" s="12" t="s">
        <v>5102</v>
      </c>
      <c r="L429" s="12" t="str">
        <f>IF(OR(ISBLANK(tblSites[[#This Row],[Implementing Partner]]), tblSites[[#This Row],[Implementing Partner]]="-"), tblSites[[#This Row],[Site Agency]], tblSites[[#This Row],[Implementing Partner]])</f>
        <v>No SMA</v>
      </c>
      <c r="M429" s="12" t="s">
        <v>55</v>
      </c>
      <c r="N429" s="12" t="str">
        <f>tblSites[[#This Row],[FinalImplementingPartner]]</f>
        <v>No SMA</v>
      </c>
    </row>
    <row r="430" spans="1:14" x14ac:dyDescent="0.25">
      <c r="A430" s="12" t="s">
        <v>3462</v>
      </c>
      <c r="B430" s="12" t="s">
        <v>4063</v>
      </c>
      <c r="C430" s="12" t="s">
        <v>5280</v>
      </c>
      <c r="D430" t="s">
        <v>5313</v>
      </c>
      <c r="E430" s="12" t="s">
        <v>3178</v>
      </c>
      <c r="F430" s="12" t="s">
        <v>118</v>
      </c>
      <c r="G430" s="12" t="s">
        <v>5325</v>
      </c>
      <c r="H430" s="12" t="s">
        <v>4063</v>
      </c>
      <c r="I430" s="84">
        <v>2651092</v>
      </c>
      <c r="J430" s="12" t="s">
        <v>5102</v>
      </c>
      <c r="L430" s="12" t="str">
        <f>IF(OR(ISBLANK(tblSites[[#This Row],[Implementing Partner]]), tblSites[[#This Row],[Implementing Partner]]="-"), tblSites[[#This Row],[Site Agency]], tblSites[[#This Row],[Implementing Partner]])</f>
        <v>No SMA</v>
      </c>
      <c r="M430" s="12" t="s">
        <v>55</v>
      </c>
      <c r="N430" s="12" t="str">
        <f>tblSites[[#This Row],[FinalImplementingPartner]]</f>
        <v>No SMA</v>
      </c>
    </row>
    <row r="431" spans="1:14" x14ac:dyDescent="0.25">
      <c r="A431" s="12" t="s">
        <v>3463</v>
      </c>
      <c r="B431" s="12" t="s">
        <v>2669</v>
      </c>
      <c r="C431" s="12" t="s">
        <v>1428</v>
      </c>
      <c r="D431" t="s">
        <v>5313</v>
      </c>
      <c r="E431" s="12" t="s">
        <v>3178</v>
      </c>
      <c r="F431" s="12" t="s">
        <v>163</v>
      </c>
      <c r="G431" s="12" t="s">
        <v>5338</v>
      </c>
      <c r="H431" s="12" t="s">
        <v>2669</v>
      </c>
      <c r="I431" s="84">
        <v>2651093</v>
      </c>
      <c r="J431" s="12" t="s">
        <v>5102</v>
      </c>
      <c r="L431" s="12" t="str">
        <f>IF(OR(ISBLANK(tblSites[[#This Row],[Implementing Partner]]), tblSites[[#This Row],[Implementing Partner]]="-"), tblSites[[#This Row],[Site Agency]], tblSites[[#This Row],[Implementing Partner]])</f>
        <v>No SMA</v>
      </c>
      <c r="M431" s="12" t="s">
        <v>55</v>
      </c>
      <c r="N431" s="12" t="str">
        <f>tblSites[[#This Row],[FinalImplementingPartner]]</f>
        <v>No SMA</v>
      </c>
    </row>
    <row r="432" spans="1:14" x14ac:dyDescent="0.25">
      <c r="A432" s="12" t="s">
        <v>3464</v>
      </c>
      <c r="B432" s="12" t="s">
        <v>4064</v>
      </c>
      <c r="C432" s="12" t="s">
        <v>4649</v>
      </c>
      <c r="D432" t="s">
        <v>5313</v>
      </c>
      <c r="E432" s="12" t="s">
        <v>3178</v>
      </c>
      <c r="F432" s="12" t="s">
        <v>504</v>
      </c>
      <c r="G432" s="12" t="s">
        <v>5354</v>
      </c>
      <c r="H432" s="12" t="s">
        <v>4064</v>
      </c>
      <c r="I432" s="84">
        <v>2650576</v>
      </c>
      <c r="J432" s="12" t="s">
        <v>5102</v>
      </c>
      <c r="L432" s="12" t="str">
        <f>IF(OR(ISBLANK(tblSites[[#This Row],[Implementing Partner]]), tblSites[[#This Row],[Implementing Partner]]="-"), tblSites[[#This Row],[Site Agency]], tblSites[[#This Row],[Implementing Partner]])</f>
        <v>No SMA</v>
      </c>
      <c r="M432" s="12" t="s">
        <v>55</v>
      </c>
      <c r="N432" s="12" t="str">
        <f>tblSites[[#This Row],[FinalImplementingPartner]]</f>
        <v>No SMA</v>
      </c>
    </row>
    <row r="433" spans="1:14" x14ac:dyDescent="0.25">
      <c r="A433" s="12" t="s">
        <v>3465</v>
      </c>
      <c r="B433" s="12" t="s">
        <v>4065</v>
      </c>
      <c r="C433" s="12" t="s">
        <v>4650</v>
      </c>
      <c r="D433" t="s">
        <v>5313</v>
      </c>
      <c r="E433" s="12" t="s">
        <v>3178</v>
      </c>
      <c r="F433" s="12" t="s">
        <v>349</v>
      </c>
      <c r="G433" s="12" t="s">
        <v>5327</v>
      </c>
      <c r="H433" s="12" t="s">
        <v>4065</v>
      </c>
      <c r="I433" s="84">
        <v>26510152</v>
      </c>
      <c r="J433" s="12" t="s">
        <v>5102</v>
      </c>
      <c r="K433" s="12" t="s">
        <v>389</v>
      </c>
      <c r="L433" s="12" t="str">
        <f>IF(OR(ISBLANK(tblSites[[#This Row],[Implementing Partner]]), tblSites[[#This Row],[Implementing Partner]]="-"), tblSites[[#This Row],[Site Agency]], tblSites[[#This Row],[Implementing Partner]])</f>
        <v>No SMA</v>
      </c>
      <c r="M433" s="12" t="s">
        <v>55</v>
      </c>
      <c r="N433" s="12" t="str">
        <f>tblSites[[#This Row],[FinalImplementingPartner]]</f>
        <v>No SMA</v>
      </c>
    </row>
    <row r="434" spans="1:14" x14ac:dyDescent="0.25">
      <c r="A434" s="12" t="s">
        <v>3466</v>
      </c>
      <c r="B434" s="12" t="s">
        <v>4066</v>
      </c>
      <c r="C434" s="12" t="s">
        <v>4651</v>
      </c>
      <c r="D434" t="s">
        <v>5313</v>
      </c>
      <c r="E434" s="12" t="s">
        <v>3178</v>
      </c>
      <c r="F434" s="12" t="s">
        <v>361</v>
      </c>
      <c r="G434" s="12" t="s">
        <v>5333</v>
      </c>
      <c r="H434" s="12" t="s">
        <v>4066</v>
      </c>
      <c r="I434" s="84">
        <v>2651099</v>
      </c>
      <c r="J434" s="12" t="s">
        <v>5102</v>
      </c>
      <c r="L434" s="12" t="str">
        <f>IF(OR(ISBLANK(tblSites[[#This Row],[Implementing Partner]]), tblSites[[#This Row],[Implementing Partner]]="-"), tblSites[[#This Row],[Site Agency]], tblSites[[#This Row],[Implementing Partner]])</f>
        <v>No SMA</v>
      </c>
      <c r="M434" s="12" t="s">
        <v>55</v>
      </c>
      <c r="N434" s="12" t="str">
        <f>tblSites[[#This Row],[FinalImplementingPartner]]</f>
        <v>No SMA</v>
      </c>
    </row>
    <row r="435" spans="1:14" x14ac:dyDescent="0.25">
      <c r="A435" s="12" t="s">
        <v>3467</v>
      </c>
      <c r="B435" s="12" t="s">
        <v>4068</v>
      </c>
      <c r="C435" s="12" t="s">
        <v>4653</v>
      </c>
      <c r="D435" t="s">
        <v>5313</v>
      </c>
      <c r="E435" s="12" t="s">
        <v>3178</v>
      </c>
      <c r="F435" s="12" t="s">
        <v>1983</v>
      </c>
      <c r="G435" s="12" t="s">
        <v>5340</v>
      </c>
      <c r="H435" s="12" t="s">
        <v>4068</v>
      </c>
      <c r="I435" s="84">
        <v>2650582</v>
      </c>
      <c r="J435" s="12" t="s">
        <v>5102</v>
      </c>
      <c r="L435" s="12" t="str">
        <f>IF(OR(ISBLANK(tblSites[[#This Row],[Implementing Partner]]), tblSites[[#This Row],[Implementing Partner]]="-"), tblSites[[#This Row],[Site Agency]], tblSites[[#This Row],[Implementing Partner]])</f>
        <v>No SMA</v>
      </c>
      <c r="M435" s="12" t="s">
        <v>55</v>
      </c>
      <c r="N435" s="12" t="str">
        <f>tblSites[[#This Row],[FinalImplementingPartner]]</f>
        <v>No SMA</v>
      </c>
    </row>
    <row r="436" spans="1:14" x14ac:dyDescent="0.25">
      <c r="A436" s="12" t="s">
        <v>3468</v>
      </c>
      <c r="B436" s="12" t="s">
        <v>4070</v>
      </c>
      <c r="C436" s="12" t="s">
        <v>4654</v>
      </c>
      <c r="D436" t="s">
        <v>5313</v>
      </c>
      <c r="E436" s="12" t="s">
        <v>3178</v>
      </c>
      <c r="F436" s="12" t="s">
        <v>349</v>
      </c>
      <c r="G436" s="12" t="s">
        <v>5327</v>
      </c>
      <c r="H436" s="12" t="s">
        <v>4070</v>
      </c>
      <c r="I436" s="84">
        <v>26510152</v>
      </c>
      <c r="J436" s="12" t="s">
        <v>5102</v>
      </c>
      <c r="K436" s="12" t="s">
        <v>389</v>
      </c>
      <c r="L436" s="12" t="str">
        <f>IF(OR(ISBLANK(tblSites[[#This Row],[Implementing Partner]]), tblSites[[#This Row],[Implementing Partner]]="-"), tblSites[[#This Row],[Site Agency]], tblSites[[#This Row],[Implementing Partner]])</f>
        <v>No SMA</v>
      </c>
      <c r="M436" s="12" t="s">
        <v>55</v>
      </c>
      <c r="N436" s="12" t="str">
        <f>tblSites[[#This Row],[FinalImplementingPartner]]</f>
        <v>No SMA</v>
      </c>
    </row>
    <row r="437" spans="1:14" x14ac:dyDescent="0.25">
      <c r="A437" s="12" t="s">
        <v>3469</v>
      </c>
      <c r="B437" s="12" t="s">
        <v>4071</v>
      </c>
      <c r="C437" s="12" t="s">
        <v>4655</v>
      </c>
      <c r="D437" t="s">
        <v>5313</v>
      </c>
      <c r="E437" s="12" t="s">
        <v>3178</v>
      </c>
      <c r="F437" s="12" t="s">
        <v>2557</v>
      </c>
      <c r="G437" s="12" t="s">
        <v>5397</v>
      </c>
      <c r="H437" s="12" t="s">
        <v>4071</v>
      </c>
      <c r="I437" s="84">
        <v>2650584</v>
      </c>
      <c r="J437" s="12" t="s">
        <v>5102</v>
      </c>
      <c r="L437" s="12" t="str">
        <f>IF(OR(ISBLANK(tblSites[[#This Row],[Implementing Partner]]), tblSites[[#This Row],[Implementing Partner]]="-"), tblSites[[#This Row],[Site Agency]], tblSites[[#This Row],[Implementing Partner]])</f>
        <v>No SMA</v>
      </c>
      <c r="M437" s="12" t="s">
        <v>55</v>
      </c>
      <c r="N437" s="12" t="str">
        <f>tblSites[[#This Row],[FinalImplementingPartner]]</f>
        <v>No SMA</v>
      </c>
    </row>
    <row r="438" spans="1:14" x14ac:dyDescent="0.25">
      <c r="A438" s="12" t="s">
        <v>3470</v>
      </c>
      <c r="B438" s="12" t="s">
        <v>4072</v>
      </c>
      <c r="C438" s="12" t="s">
        <v>4656</v>
      </c>
      <c r="D438" t="s">
        <v>5313</v>
      </c>
      <c r="E438" s="12" t="s">
        <v>3178</v>
      </c>
      <c r="F438" s="12" t="s">
        <v>510</v>
      </c>
      <c r="G438" s="12" t="s">
        <v>5346</v>
      </c>
      <c r="H438" s="12" t="s">
        <v>4072</v>
      </c>
      <c r="I438" s="84">
        <v>2650578</v>
      </c>
      <c r="J438" s="12" t="s">
        <v>5102</v>
      </c>
      <c r="L438" s="12" t="str">
        <f>IF(OR(ISBLANK(tblSites[[#This Row],[Implementing Partner]]), tblSites[[#This Row],[Implementing Partner]]="-"), tblSites[[#This Row],[Site Agency]], tblSites[[#This Row],[Implementing Partner]])</f>
        <v>No SMA</v>
      </c>
      <c r="M438" s="12" t="s">
        <v>55</v>
      </c>
      <c r="N438" s="12" t="str">
        <f>tblSites[[#This Row],[FinalImplementingPartner]]</f>
        <v>No SMA</v>
      </c>
    </row>
    <row r="439" spans="1:14" x14ac:dyDescent="0.25">
      <c r="A439" s="12" t="s">
        <v>3471</v>
      </c>
      <c r="B439" s="12" t="s">
        <v>4073</v>
      </c>
      <c r="C439" s="12" t="s">
        <v>4657</v>
      </c>
      <c r="D439" t="s">
        <v>5313</v>
      </c>
      <c r="E439" s="12" t="s">
        <v>3178</v>
      </c>
      <c r="F439" s="12" t="s">
        <v>510</v>
      </c>
      <c r="G439" s="12" t="s">
        <v>5346</v>
      </c>
      <c r="H439" s="12" t="s">
        <v>4073</v>
      </c>
      <c r="I439" s="84">
        <v>2650578</v>
      </c>
      <c r="J439" s="12" t="s">
        <v>5102</v>
      </c>
      <c r="L439" s="12" t="str">
        <f>IF(OR(ISBLANK(tblSites[[#This Row],[Implementing Partner]]), tblSites[[#This Row],[Implementing Partner]]="-"), tblSites[[#This Row],[Site Agency]], tblSites[[#This Row],[Implementing Partner]])</f>
        <v>No SMA</v>
      </c>
      <c r="M439" s="12" t="s">
        <v>55</v>
      </c>
      <c r="N439" s="12" t="str">
        <f>tblSites[[#This Row],[FinalImplementingPartner]]</f>
        <v>No SMA</v>
      </c>
    </row>
    <row r="440" spans="1:14" x14ac:dyDescent="0.25">
      <c r="A440" s="12" t="s">
        <v>3472</v>
      </c>
      <c r="B440" s="12" t="s">
        <v>4074</v>
      </c>
      <c r="C440" s="12" t="s">
        <v>4658</v>
      </c>
      <c r="D440" t="s">
        <v>5313</v>
      </c>
      <c r="E440" s="12" t="s">
        <v>3178</v>
      </c>
      <c r="F440" s="12" t="s">
        <v>361</v>
      </c>
      <c r="G440" s="12" t="s">
        <v>5333</v>
      </c>
      <c r="H440" s="12" t="s">
        <v>4074</v>
      </c>
      <c r="I440" s="84">
        <v>2651099</v>
      </c>
      <c r="J440" s="12" t="s">
        <v>5102</v>
      </c>
      <c r="K440" s="12" t="s">
        <v>389</v>
      </c>
      <c r="L440" s="12" t="str">
        <f>IF(OR(ISBLANK(tblSites[[#This Row],[Implementing Partner]]), tblSites[[#This Row],[Implementing Partner]]="-"), tblSites[[#This Row],[Site Agency]], tblSites[[#This Row],[Implementing Partner]])</f>
        <v>No SMA</v>
      </c>
      <c r="M440" s="12" t="s">
        <v>55</v>
      </c>
      <c r="N440" s="12" t="str">
        <f>tblSites[[#This Row],[FinalImplementingPartner]]</f>
        <v>No SMA</v>
      </c>
    </row>
    <row r="441" spans="1:14" x14ac:dyDescent="0.25">
      <c r="A441" s="12" t="s">
        <v>3473</v>
      </c>
      <c r="B441" s="12" t="s">
        <v>4075</v>
      </c>
      <c r="C441" s="12" t="s">
        <v>4659</v>
      </c>
      <c r="D441" t="s">
        <v>5313</v>
      </c>
      <c r="E441" s="12" t="s">
        <v>3178</v>
      </c>
      <c r="F441" s="12" t="s">
        <v>1789</v>
      </c>
      <c r="G441" s="12" t="s">
        <v>5364</v>
      </c>
      <c r="H441" s="12" t="s">
        <v>4075</v>
      </c>
      <c r="I441" s="84">
        <v>2651037</v>
      </c>
      <c r="J441" s="12" t="s">
        <v>5102</v>
      </c>
      <c r="L441" s="12" t="str">
        <f>IF(OR(ISBLANK(tblSites[[#This Row],[Implementing Partner]]), tblSites[[#This Row],[Implementing Partner]]="-"), tblSites[[#This Row],[Site Agency]], tblSites[[#This Row],[Implementing Partner]])</f>
        <v>No SMA</v>
      </c>
      <c r="M441" s="12" t="s">
        <v>55</v>
      </c>
      <c r="N441" s="12" t="str">
        <f>tblSites[[#This Row],[FinalImplementingPartner]]</f>
        <v>No SMA</v>
      </c>
    </row>
    <row r="442" spans="1:14" x14ac:dyDescent="0.25">
      <c r="A442" s="12" t="s">
        <v>3474</v>
      </c>
      <c r="B442" s="12" t="s">
        <v>4076</v>
      </c>
      <c r="C442" s="12" t="s">
        <v>4660</v>
      </c>
      <c r="D442" t="s">
        <v>5313</v>
      </c>
      <c r="E442" s="12" t="s">
        <v>3178</v>
      </c>
      <c r="F442" s="12" t="s">
        <v>349</v>
      </c>
      <c r="G442" s="12" t="s">
        <v>5327</v>
      </c>
      <c r="H442" s="12" t="s">
        <v>4076</v>
      </c>
      <c r="I442" s="84">
        <v>26510152</v>
      </c>
      <c r="J442" s="12" t="s">
        <v>5102</v>
      </c>
      <c r="K442" s="12" t="s">
        <v>389</v>
      </c>
      <c r="L442" s="12" t="str">
        <f>IF(OR(ISBLANK(tblSites[[#This Row],[Implementing Partner]]), tblSites[[#This Row],[Implementing Partner]]="-"), tblSites[[#This Row],[Site Agency]], tblSites[[#This Row],[Implementing Partner]])</f>
        <v>No SMA</v>
      </c>
      <c r="M442" s="12" t="s">
        <v>55</v>
      </c>
      <c r="N442" s="12" t="str">
        <f>tblSites[[#This Row],[FinalImplementingPartner]]</f>
        <v>No SMA</v>
      </c>
    </row>
    <row r="443" spans="1:14" x14ac:dyDescent="0.25">
      <c r="A443" s="12" t="s">
        <v>3475</v>
      </c>
      <c r="B443" s="12" t="s">
        <v>4077</v>
      </c>
      <c r="C443" s="12" t="s">
        <v>4661</v>
      </c>
      <c r="D443" t="s">
        <v>5313</v>
      </c>
      <c r="E443" s="12" t="s">
        <v>3178</v>
      </c>
      <c r="F443" s="12" t="s">
        <v>349</v>
      </c>
      <c r="G443" s="12" t="s">
        <v>5327</v>
      </c>
      <c r="H443" s="12" t="s">
        <v>4077</v>
      </c>
      <c r="I443" s="84">
        <v>26510152</v>
      </c>
      <c r="J443" s="12" t="s">
        <v>5102</v>
      </c>
      <c r="K443" s="12" t="s">
        <v>389</v>
      </c>
      <c r="L443" s="12" t="str">
        <f>IF(OR(ISBLANK(tblSites[[#This Row],[Implementing Partner]]), tblSites[[#This Row],[Implementing Partner]]="-"), tblSites[[#This Row],[Site Agency]], tblSites[[#This Row],[Implementing Partner]])</f>
        <v>No SMA</v>
      </c>
      <c r="M443" s="12" t="s">
        <v>55</v>
      </c>
      <c r="N443" s="12" t="str">
        <f>tblSites[[#This Row],[FinalImplementingPartner]]</f>
        <v>No SMA</v>
      </c>
    </row>
    <row r="444" spans="1:14" x14ac:dyDescent="0.25">
      <c r="A444" s="12" t="s">
        <v>3476</v>
      </c>
      <c r="B444" s="12" t="s">
        <v>4078</v>
      </c>
      <c r="C444" s="12" t="s">
        <v>4662</v>
      </c>
      <c r="D444" t="s">
        <v>5313</v>
      </c>
      <c r="E444" s="12" t="s">
        <v>3178</v>
      </c>
      <c r="F444" s="12" t="s">
        <v>510</v>
      </c>
      <c r="G444" s="12" t="s">
        <v>5346</v>
      </c>
      <c r="H444" s="12" t="s">
        <v>4078</v>
      </c>
      <c r="I444" s="84">
        <v>2650578</v>
      </c>
      <c r="J444" s="12" t="s">
        <v>5102</v>
      </c>
      <c r="L444" s="12" t="str">
        <f>IF(OR(ISBLANK(tblSites[[#This Row],[Implementing Partner]]), tblSites[[#This Row],[Implementing Partner]]="-"), tblSites[[#This Row],[Site Agency]], tblSites[[#This Row],[Implementing Partner]])</f>
        <v>No SMA</v>
      </c>
      <c r="M444" s="12" t="s">
        <v>55</v>
      </c>
      <c r="N444" s="12" t="str">
        <f>tblSites[[#This Row],[FinalImplementingPartner]]</f>
        <v>No SMA</v>
      </c>
    </row>
    <row r="445" spans="1:14" x14ac:dyDescent="0.25">
      <c r="A445" s="12" t="s">
        <v>3477</v>
      </c>
      <c r="B445" s="12" t="s">
        <v>4079</v>
      </c>
      <c r="C445" s="12" t="s">
        <v>4663</v>
      </c>
      <c r="D445" t="s">
        <v>5313</v>
      </c>
      <c r="E445" s="12" t="s">
        <v>3178</v>
      </c>
      <c r="F445" s="12" t="s">
        <v>349</v>
      </c>
      <c r="G445" s="12" t="s">
        <v>5327</v>
      </c>
      <c r="H445" s="12" t="s">
        <v>4079</v>
      </c>
      <c r="I445" s="84">
        <v>26510152</v>
      </c>
      <c r="J445" s="12" t="s">
        <v>5102</v>
      </c>
      <c r="K445" s="12" t="s">
        <v>389</v>
      </c>
      <c r="L445" s="12" t="str">
        <f>IF(OR(ISBLANK(tblSites[[#This Row],[Implementing Partner]]), tblSites[[#This Row],[Implementing Partner]]="-"), tblSites[[#This Row],[Site Agency]], tblSites[[#This Row],[Implementing Partner]])</f>
        <v>No SMA</v>
      </c>
      <c r="M445" s="12" t="s">
        <v>55</v>
      </c>
      <c r="N445" s="12" t="str">
        <f>tblSites[[#This Row],[FinalImplementingPartner]]</f>
        <v>No SMA</v>
      </c>
    </row>
    <row r="446" spans="1:14" x14ac:dyDescent="0.25">
      <c r="A446" s="12" t="s">
        <v>3478</v>
      </c>
      <c r="B446" s="12" t="s">
        <v>4080</v>
      </c>
      <c r="C446" s="12" t="s">
        <v>1191</v>
      </c>
      <c r="D446" t="s">
        <v>5313</v>
      </c>
      <c r="E446" s="12" t="s">
        <v>3178</v>
      </c>
      <c r="F446" s="12" t="s">
        <v>361</v>
      </c>
      <c r="G446" s="12" t="s">
        <v>5333</v>
      </c>
      <c r="H446" s="12" t="s">
        <v>4080</v>
      </c>
      <c r="I446" s="84">
        <v>2651099</v>
      </c>
      <c r="J446" s="12" t="s">
        <v>5102</v>
      </c>
      <c r="K446" s="12" t="s">
        <v>389</v>
      </c>
      <c r="L446" s="12" t="str">
        <f>IF(OR(ISBLANK(tblSites[[#This Row],[Implementing Partner]]), tblSites[[#This Row],[Implementing Partner]]="-"), tblSites[[#This Row],[Site Agency]], tblSites[[#This Row],[Implementing Partner]])</f>
        <v>No SMA</v>
      </c>
      <c r="M446" s="12" t="s">
        <v>55</v>
      </c>
      <c r="N446" s="12" t="str">
        <f>tblSites[[#This Row],[FinalImplementingPartner]]</f>
        <v>No SMA</v>
      </c>
    </row>
    <row r="447" spans="1:14" x14ac:dyDescent="0.25">
      <c r="A447" s="12" t="s">
        <v>3479</v>
      </c>
      <c r="B447" s="12" t="s">
        <v>4081</v>
      </c>
      <c r="C447" s="12" t="s">
        <v>4664</v>
      </c>
      <c r="D447" t="s">
        <v>5313</v>
      </c>
      <c r="E447" s="12" t="s">
        <v>3178</v>
      </c>
      <c r="F447" s="12" t="s">
        <v>163</v>
      </c>
      <c r="G447" s="12" t="s">
        <v>5338</v>
      </c>
      <c r="H447" s="12" t="s">
        <v>4081</v>
      </c>
      <c r="I447" s="84">
        <v>2651093</v>
      </c>
      <c r="J447" s="12" t="s">
        <v>5102</v>
      </c>
      <c r="K447" s="12" t="s">
        <v>389</v>
      </c>
      <c r="L447" s="12" t="str">
        <f>IF(OR(ISBLANK(tblSites[[#This Row],[Implementing Partner]]), tblSites[[#This Row],[Implementing Partner]]="-"), tblSites[[#This Row],[Site Agency]], tblSites[[#This Row],[Implementing Partner]])</f>
        <v>No SMA</v>
      </c>
      <c r="M447" s="12" t="s">
        <v>55</v>
      </c>
      <c r="N447" s="12" t="str">
        <f>tblSites[[#This Row],[FinalImplementingPartner]]</f>
        <v>No SMA</v>
      </c>
    </row>
    <row r="448" spans="1:14" x14ac:dyDescent="0.25">
      <c r="A448" s="12" t="s">
        <v>3480</v>
      </c>
      <c r="B448" s="12" t="s">
        <v>4082</v>
      </c>
      <c r="C448" s="12" t="s">
        <v>4665</v>
      </c>
      <c r="D448" t="s">
        <v>5313</v>
      </c>
      <c r="E448" s="12" t="s">
        <v>3178</v>
      </c>
      <c r="F448" s="12" t="s">
        <v>349</v>
      </c>
      <c r="G448" s="12" t="s">
        <v>5327</v>
      </c>
      <c r="H448" s="12" t="s">
        <v>4082</v>
      </c>
      <c r="I448" s="84">
        <v>26510152</v>
      </c>
      <c r="J448" s="47" t="s">
        <v>5102</v>
      </c>
      <c r="K448" s="12" t="s">
        <v>389</v>
      </c>
      <c r="L448" s="12" t="str">
        <f>IF(OR(ISBLANK(tblSites[[#This Row],[Implementing Partner]]), tblSites[[#This Row],[Implementing Partner]]="-"), tblSites[[#This Row],[Site Agency]], tblSites[[#This Row],[Implementing Partner]])</f>
        <v>No SMA</v>
      </c>
      <c r="M448" s="12" t="s">
        <v>55</v>
      </c>
      <c r="N448" s="12" t="str">
        <f>tblSites[[#This Row],[FinalImplementingPartner]]</f>
        <v>No SMA</v>
      </c>
    </row>
    <row r="449" spans="1:14" x14ac:dyDescent="0.25">
      <c r="A449" s="12" t="s">
        <v>3481</v>
      </c>
      <c r="B449" s="12" t="s">
        <v>4083</v>
      </c>
      <c r="C449" s="12" t="s">
        <v>4666</v>
      </c>
      <c r="D449" t="s">
        <v>5313</v>
      </c>
      <c r="E449" s="12" t="s">
        <v>3178</v>
      </c>
      <c r="F449" s="12" t="s">
        <v>349</v>
      </c>
      <c r="G449" s="12" t="s">
        <v>5327</v>
      </c>
      <c r="H449" s="12" t="s">
        <v>4083</v>
      </c>
      <c r="I449" s="84">
        <v>26510152</v>
      </c>
      <c r="J449" s="12" t="s">
        <v>5102</v>
      </c>
      <c r="L449" s="12" t="str">
        <f>IF(OR(ISBLANK(tblSites[[#This Row],[Implementing Partner]]), tblSites[[#This Row],[Implementing Partner]]="-"), tblSites[[#This Row],[Site Agency]], tblSites[[#This Row],[Implementing Partner]])</f>
        <v>No SMA</v>
      </c>
      <c r="M449" s="12" t="s">
        <v>55</v>
      </c>
      <c r="N449" s="12" t="str">
        <f>tblSites[[#This Row],[FinalImplementingPartner]]</f>
        <v>No SMA</v>
      </c>
    </row>
    <row r="450" spans="1:14" x14ac:dyDescent="0.25">
      <c r="A450" s="12" t="s">
        <v>3482</v>
      </c>
      <c r="B450" s="12" t="s">
        <v>4085</v>
      </c>
      <c r="C450" s="12" t="s">
        <v>4668</v>
      </c>
      <c r="D450" t="s">
        <v>5313</v>
      </c>
      <c r="E450" s="12" t="s">
        <v>3178</v>
      </c>
      <c r="F450" s="12" t="s">
        <v>349</v>
      </c>
      <c r="G450" s="12" t="s">
        <v>5327</v>
      </c>
      <c r="H450" s="12" t="s">
        <v>4085</v>
      </c>
      <c r="I450" s="84">
        <v>26510152</v>
      </c>
      <c r="J450" s="12" t="s">
        <v>5102</v>
      </c>
      <c r="L450" s="12" t="str">
        <f>IF(OR(ISBLANK(tblSites[[#This Row],[Implementing Partner]]), tblSites[[#This Row],[Implementing Partner]]="-"), tblSites[[#This Row],[Site Agency]], tblSites[[#This Row],[Implementing Partner]])</f>
        <v>No SMA</v>
      </c>
      <c r="M450" s="12" t="s">
        <v>55</v>
      </c>
      <c r="N450" s="12" t="str">
        <f>tblSites[[#This Row],[FinalImplementingPartner]]</f>
        <v>No SMA</v>
      </c>
    </row>
    <row r="451" spans="1:14" x14ac:dyDescent="0.25">
      <c r="A451" s="12" t="s">
        <v>3483</v>
      </c>
      <c r="B451" s="12" t="s">
        <v>4086</v>
      </c>
      <c r="C451" s="12" t="s">
        <v>4669</v>
      </c>
      <c r="D451" t="s">
        <v>5313</v>
      </c>
      <c r="E451" s="12" t="s">
        <v>3178</v>
      </c>
      <c r="F451" s="12" t="s">
        <v>510</v>
      </c>
      <c r="G451" s="12" t="s">
        <v>5346</v>
      </c>
      <c r="H451" s="12" t="s">
        <v>4086</v>
      </c>
      <c r="I451" s="84">
        <v>2650578</v>
      </c>
      <c r="J451" s="12" t="s">
        <v>5102</v>
      </c>
      <c r="L451" s="12" t="str">
        <f>IF(OR(ISBLANK(tblSites[[#This Row],[Implementing Partner]]), tblSites[[#This Row],[Implementing Partner]]="-"), tblSites[[#This Row],[Site Agency]], tblSites[[#This Row],[Implementing Partner]])</f>
        <v>No SMA</v>
      </c>
      <c r="M451" s="12" t="s">
        <v>55</v>
      </c>
      <c r="N451" s="12" t="str">
        <f>tblSites[[#This Row],[FinalImplementingPartner]]</f>
        <v>No SMA</v>
      </c>
    </row>
    <row r="452" spans="1:14" x14ac:dyDescent="0.25">
      <c r="A452" s="12" t="s">
        <v>3484</v>
      </c>
      <c r="B452" s="12" t="s">
        <v>4087</v>
      </c>
      <c r="C452" s="12" t="s">
        <v>4670</v>
      </c>
      <c r="D452" t="s">
        <v>5313</v>
      </c>
      <c r="E452" s="12" t="s">
        <v>3178</v>
      </c>
      <c r="F452" s="12" t="s">
        <v>1212</v>
      </c>
      <c r="G452" s="12" t="s">
        <v>5335</v>
      </c>
      <c r="H452" s="12" t="s">
        <v>4087</v>
      </c>
      <c r="I452" s="84">
        <v>2650597</v>
      </c>
      <c r="J452" s="12" t="s">
        <v>5102</v>
      </c>
      <c r="L452" s="12" t="str">
        <f>IF(OR(ISBLANK(tblSites[[#This Row],[Implementing Partner]]), tblSites[[#This Row],[Implementing Partner]]="-"), tblSites[[#This Row],[Site Agency]], tblSites[[#This Row],[Implementing Partner]])</f>
        <v>No SMA</v>
      </c>
      <c r="M452" s="12" t="s">
        <v>55</v>
      </c>
      <c r="N452" s="12" t="str">
        <f>tblSites[[#This Row],[FinalImplementingPartner]]</f>
        <v>No SMA</v>
      </c>
    </row>
    <row r="453" spans="1:14" x14ac:dyDescent="0.25">
      <c r="A453" s="12" t="s">
        <v>3485</v>
      </c>
      <c r="B453" s="12" t="s">
        <v>4088</v>
      </c>
      <c r="C453" s="12" t="s">
        <v>86</v>
      </c>
      <c r="D453" t="s">
        <v>5313</v>
      </c>
      <c r="E453" s="12" t="s">
        <v>3178</v>
      </c>
      <c r="F453" s="12" t="s">
        <v>568</v>
      </c>
      <c r="G453" s="12" t="s">
        <v>5370</v>
      </c>
      <c r="H453" s="12" t="s">
        <v>4088</v>
      </c>
      <c r="I453" s="84">
        <v>2650596</v>
      </c>
      <c r="J453" s="12" t="s">
        <v>5102</v>
      </c>
      <c r="L453" s="12" t="str">
        <f>IF(OR(ISBLANK(tblSites[[#This Row],[Implementing Partner]]), tblSites[[#This Row],[Implementing Partner]]="-"), tblSites[[#This Row],[Site Agency]], tblSites[[#This Row],[Implementing Partner]])</f>
        <v>No SMA</v>
      </c>
      <c r="M453" s="12" t="s">
        <v>55</v>
      </c>
      <c r="N453" s="12" t="str">
        <f>tblSites[[#This Row],[FinalImplementingPartner]]</f>
        <v>No SMA</v>
      </c>
    </row>
    <row r="454" spans="1:14" x14ac:dyDescent="0.25">
      <c r="A454" s="12" t="s">
        <v>3486</v>
      </c>
      <c r="B454" s="12" t="s">
        <v>261</v>
      </c>
      <c r="C454" s="12" t="s">
        <v>262</v>
      </c>
      <c r="D454" t="s">
        <v>5313</v>
      </c>
      <c r="E454" s="12" t="s">
        <v>3178</v>
      </c>
      <c r="F454" s="12" t="s">
        <v>349</v>
      </c>
      <c r="G454" s="12" t="s">
        <v>5327</v>
      </c>
      <c r="H454" s="12" t="s">
        <v>261</v>
      </c>
      <c r="I454" s="84">
        <v>26510152</v>
      </c>
      <c r="J454" s="12" t="s">
        <v>5102</v>
      </c>
      <c r="K454" s="12" t="s">
        <v>389</v>
      </c>
      <c r="L454" s="12" t="str">
        <f>IF(OR(ISBLANK(tblSites[[#This Row],[Implementing Partner]]), tblSites[[#This Row],[Implementing Partner]]="-"), tblSites[[#This Row],[Site Agency]], tblSites[[#This Row],[Implementing Partner]])</f>
        <v>No SMA</v>
      </c>
      <c r="M454" s="12" t="s">
        <v>55</v>
      </c>
      <c r="N454" s="12" t="str">
        <f>tblSites[[#This Row],[FinalImplementingPartner]]</f>
        <v>No SMA</v>
      </c>
    </row>
    <row r="455" spans="1:14" x14ac:dyDescent="0.25">
      <c r="A455" s="12" t="s">
        <v>3487</v>
      </c>
      <c r="B455" s="12" t="s">
        <v>3217</v>
      </c>
      <c r="C455" s="12" t="s">
        <v>4671</v>
      </c>
      <c r="D455" t="s">
        <v>5313</v>
      </c>
      <c r="E455" s="12" t="s">
        <v>3178</v>
      </c>
      <c r="F455" s="12" t="s">
        <v>349</v>
      </c>
      <c r="G455" s="12" t="s">
        <v>5327</v>
      </c>
      <c r="H455" s="12" t="s">
        <v>3217</v>
      </c>
      <c r="I455" s="84">
        <v>26510152</v>
      </c>
      <c r="J455" s="12" t="s">
        <v>5102</v>
      </c>
      <c r="L455" s="12" t="str">
        <f>IF(OR(ISBLANK(tblSites[[#This Row],[Implementing Partner]]), tblSites[[#This Row],[Implementing Partner]]="-"), tblSites[[#This Row],[Site Agency]], tblSites[[#This Row],[Implementing Partner]])</f>
        <v>No SMA</v>
      </c>
      <c r="M455" s="12" t="s">
        <v>55</v>
      </c>
      <c r="N455" s="12" t="str">
        <f>tblSites[[#This Row],[FinalImplementingPartner]]</f>
        <v>No SMA</v>
      </c>
    </row>
    <row r="456" spans="1:14" x14ac:dyDescent="0.25">
      <c r="A456" s="12" t="s">
        <v>3488</v>
      </c>
      <c r="B456" s="12" t="s">
        <v>4089</v>
      </c>
      <c r="C456" s="12" t="s">
        <v>4672</v>
      </c>
      <c r="D456" t="s">
        <v>5313</v>
      </c>
      <c r="E456" s="12" t="s">
        <v>3178</v>
      </c>
      <c r="F456" s="12" t="s">
        <v>361</v>
      </c>
      <c r="G456" s="12" t="s">
        <v>5333</v>
      </c>
      <c r="H456" s="12" t="s">
        <v>4089</v>
      </c>
      <c r="I456" s="84">
        <v>2651099</v>
      </c>
      <c r="J456" s="12" t="s">
        <v>5102</v>
      </c>
      <c r="L456" s="12" t="str">
        <f>IF(OR(ISBLANK(tblSites[[#This Row],[Implementing Partner]]), tblSites[[#This Row],[Implementing Partner]]="-"), tblSites[[#This Row],[Site Agency]], tblSites[[#This Row],[Implementing Partner]])</f>
        <v>No SMA</v>
      </c>
      <c r="M456" s="12" t="s">
        <v>55</v>
      </c>
      <c r="N456" s="12" t="str">
        <f>tblSites[[#This Row],[FinalImplementingPartner]]</f>
        <v>No SMA</v>
      </c>
    </row>
    <row r="457" spans="1:14" x14ac:dyDescent="0.25">
      <c r="A457" s="12" t="s">
        <v>3489</v>
      </c>
      <c r="B457" s="12" t="s">
        <v>4090</v>
      </c>
      <c r="C457" s="12" t="s">
        <v>4673</v>
      </c>
      <c r="D457" t="s">
        <v>5313</v>
      </c>
      <c r="E457" s="12" t="s">
        <v>3178</v>
      </c>
      <c r="F457" s="12" t="s">
        <v>1273</v>
      </c>
      <c r="G457" s="12" t="s">
        <v>5355</v>
      </c>
      <c r="H457" s="12" t="s">
        <v>4090</v>
      </c>
      <c r="I457" s="84">
        <v>26509185</v>
      </c>
      <c r="J457" s="12" t="s">
        <v>5102</v>
      </c>
      <c r="K457" s="12" t="s">
        <v>389</v>
      </c>
      <c r="L457" s="12" t="str">
        <f>IF(OR(ISBLANK(tblSites[[#This Row],[Implementing Partner]]), tblSites[[#This Row],[Implementing Partner]]="-"), tblSites[[#This Row],[Site Agency]], tblSites[[#This Row],[Implementing Partner]])</f>
        <v>No SMA</v>
      </c>
      <c r="M457" s="12" t="s">
        <v>55</v>
      </c>
      <c r="N457" s="12" t="str">
        <f>tblSites[[#This Row],[FinalImplementingPartner]]</f>
        <v>No SMA</v>
      </c>
    </row>
    <row r="458" spans="1:14" x14ac:dyDescent="0.25">
      <c r="A458" s="12" t="s">
        <v>3490</v>
      </c>
      <c r="B458" s="12" t="s">
        <v>4091</v>
      </c>
      <c r="C458" s="12" t="s">
        <v>4674</v>
      </c>
      <c r="D458" t="s">
        <v>5313</v>
      </c>
      <c r="E458" s="12" t="s">
        <v>3178</v>
      </c>
      <c r="F458" s="12" t="s">
        <v>2557</v>
      </c>
      <c r="G458" s="12" t="s">
        <v>5397</v>
      </c>
      <c r="H458" s="12" t="s">
        <v>4091</v>
      </c>
      <c r="I458" s="84">
        <v>2650584</v>
      </c>
      <c r="J458" s="12" t="s">
        <v>5102</v>
      </c>
      <c r="L458" s="12" t="str">
        <f>IF(OR(ISBLANK(tblSites[[#This Row],[Implementing Partner]]), tblSites[[#This Row],[Implementing Partner]]="-"), tblSites[[#This Row],[Site Agency]], tblSites[[#This Row],[Implementing Partner]])</f>
        <v>No SMA</v>
      </c>
      <c r="M458" s="12" t="s">
        <v>55</v>
      </c>
      <c r="N458" s="12" t="str">
        <f>tblSites[[#This Row],[FinalImplementingPartner]]</f>
        <v>No SMA</v>
      </c>
    </row>
    <row r="459" spans="1:14" x14ac:dyDescent="0.25">
      <c r="A459" s="12" t="s">
        <v>3491</v>
      </c>
      <c r="B459" s="12" t="s">
        <v>4092</v>
      </c>
      <c r="C459" s="12" t="s">
        <v>4675</v>
      </c>
      <c r="D459" t="s">
        <v>5313</v>
      </c>
      <c r="E459" s="12" t="s">
        <v>3178</v>
      </c>
      <c r="F459" s="12" t="s">
        <v>3223</v>
      </c>
      <c r="G459" s="12" t="s">
        <v>5398</v>
      </c>
      <c r="H459" s="12" t="s">
        <v>4092</v>
      </c>
      <c r="I459" s="84">
        <v>2650885</v>
      </c>
      <c r="J459" s="12" t="s">
        <v>5102</v>
      </c>
      <c r="L459" s="12" t="str">
        <f>IF(OR(ISBLANK(tblSites[[#This Row],[Implementing Partner]]), tblSites[[#This Row],[Implementing Partner]]="-"), tblSites[[#This Row],[Site Agency]], tblSites[[#This Row],[Implementing Partner]])</f>
        <v>No SMA</v>
      </c>
      <c r="M459" s="12" t="s">
        <v>55</v>
      </c>
      <c r="N459" s="12" t="str">
        <f>tblSites[[#This Row],[FinalImplementingPartner]]</f>
        <v>No SMA</v>
      </c>
    </row>
    <row r="460" spans="1:14" x14ac:dyDescent="0.25">
      <c r="A460" s="12" t="s">
        <v>3492</v>
      </c>
      <c r="B460" s="12" t="s">
        <v>4093</v>
      </c>
      <c r="C460" s="12" t="s">
        <v>4676</v>
      </c>
      <c r="D460" t="s">
        <v>5313</v>
      </c>
      <c r="E460" s="12" t="s">
        <v>3178</v>
      </c>
      <c r="F460" s="12" t="s">
        <v>325</v>
      </c>
      <c r="G460" s="12" t="s">
        <v>5372</v>
      </c>
      <c r="H460" s="12" t="s">
        <v>4093</v>
      </c>
      <c r="I460" s="84">
        <v>2650583</v>
      </c>
      <c r="J460" s="12" t="s">
        <v>5102</v>
      </c>
      <c r="L460" s="12" t="str">
        <f>IF(OR(ISBLANK(tblSites[[#This Row],[Implementing Partner]]), tblSites[[#This Row],[Implementing Partner]]="-"), tblSites[[#This Row],[Site Agency]], tblSites[[#This Row],[Implementing Partner]])</f>
        <v>No SMA</v>
      </c>
      <c r="M460" s="12" t="s">
        <v>55</v>
      </c>
      <c r="N460" s="12" t="str">
        <f>tblSites[[#This Row],[FinalImplementingPartner]]</f>
        <v>No SMA</v>
      </c>
    </row>
    <row r="461" spans="1:14" x14ac:dyDescent="0.25">
      <c r="A461" s="12" t="s">
        <v>3493</v>
      </c>
      <c r="B461" s="12" t="s">
        <v>4094</v>
      </c>
      <c r="C461" s="12" t="s">
        <v>2703</v>
      </c>
      <c r="D461" t="s">
        <v>5313</v>
      </c>
      <c r="E461" s="12" t="s">
        <v>3178</v>
      </c>
      <c r="F461" s="12" t="s">
        <v>361</v>
      </c>
      <c r="G461" s="12" t="s">
        <v>5333</v>
      </c>
      <c r="H461" s="12" t="s">
        <v>4094</v>
      </c>
      <c r="I461" s="84">
        <v>2651099</v>
      </c>
      <c r="J461" s="47" t="s">
        <v>5102</v>
      </c>
      <c r="K461" s="12" t="s">
        <v>389</v>
      </c>
      <c r="L461" s="12" t="str">
        <f>IF(OR(ISBLANK(tblSites[[#This Row],[Implementing Partner]]), tblSites[[#This Row],[Implementing Partner]]="-"), tblSites[[#This Row],[Site Agency]], tblSites[[#This Row],[Implementing Partner]])</f>
        <v>No SMA</v>
      </c>
      <c r="M461" s="12" t="s">
        <v>55</v>
      </c>
      <c r="N461" s="12" t="str">
        <f>tblSites[[#This Row],[FinalImplementingPartner]]</f>
        <v>No SMA</v>
      </c>
    </row>
    <row r="462" spans="1:14" x14ac:dyDescent="0.25">
      <c r="A462" s="12" t="s">
        <v>3494</v>
      </c>
      <c r="B462" s="12" t="s">
        <v>4095</v>
      </c>
      <c r="C462" s="12" t="s">
        <v>4677</v>
      </c>
      <c r="D462" t="s">
        <v>5313</v>
      </c>
      <c r="E462" s="12" t="s">
        <v>3178</v>
      </c>
      <c r="F462" s="12" t="s">
        <v>2557</v>
      </c>
      <c r="G462" s="12" t="s">
        <v>5397</v>
      </c>
      <c r="H462" s="12" t="s">
        <v>4095</v>
      </c>
      <c r="I462" s="84">
        <v>2650584</v>
      </c>
      <c r="J462" s="12" t="s">
        <v>5102</v>
      </c>
      <c r="L462" s="12" t="str">
        <f>IF(OR(ISBLANK(tblSites[[#This Row],[Implementing Partner]]), tblSites[[#This Row],[Implementing Partner]]="-"), tblSites[[#This Row],[Site Agency]], tblSites[[#This Row],[Implementing Partner]])</f>
        <v>No SMA</v>
      </c>
      <c r="M462" s="12" t="s">
        <v>55</v>
      </c>
      <c r="N462" s="12" t="str">
        <f>tblSites[[#This Row],[FinalImplementingPartner]]</f>
        <v>No SMA</v>
      </c>
    </row>
    <row r="463" spans="1:14" x14ac:dyDescent="0.25">
      <c r="A463" s="12" t="s">
        <v>3495</v>
      </c>
      <c r="B463" s="12" t="s">
        <v>4096</v>
      </c>
      <c r="C463" s="12" t="s">
        <v>4678</v>
      </c>
      <c r="D463" t="s">
        <v>5313</v>
      </c>
      <c r="E463" s="12" t="s">
        <v>3178</v>
      </c>
      <c r="F463" s="12" t="s">
        <v>349</v>
      </c>
      <c r="G463" s="12" t="s">
        <v>5327</v>
      </c>
      <c r="H463" s="12" t="s">
        <v>4096</v>
      </c>
      <c r="I463" s="84">
        <v>26510152</v>
      </c>
      <c r="J463" s="12" t="s">
        <v>5102</v>
      </c>
      <c r="K463" s="12" t="s">
        <v>389</v>
      </c>
      <c r="L463" s="12" t="str">
        <f>IF(OR(ISBLANK(tblSites[[#This Row],[Implementing Partner]]), tblSites[[#This Row],[Implementing Partner]]="-"), tblSites[[#This Row],[Site Agency]], tblSites[[#This Row],[Implementing Partner]])</f>
        <v>No SMA</v>
      </c>
      <c r="M463" s="12" t="s">
        <v>55</v>
      </c>
      <c r="N463" s="12" t="str">
        <f>tblSites[[#This Row],[FinalImplementingPartner]]</f>
        <v>No SMA</v>
      </c>
    </row>
    <row r="464" spans="1:14" x14ac:dyDescent="0.25">
      <c r="A464" s="12" t="s">
        <v>3496</v>
      </c>
      <c r="B464" s="12" t="s">
        <v>4097</v>
      </c>
      <c r="C464" s="12" t="s">
        <v>4679</v>
      </c>
      <c r="D464" t="s">
        <v>5313</v>
      </c>
      <c r="E464" s="12" t="s">
        <v>3178</v>
      </c>
      <c r="F464" s="12" t="s">
        <v>349</v>
      </c>
      <c r="G464" s="12" t="s">
        <v>5327</v>
      </c>
      <c r="H464" s="12" t="s">
        <v>4097</v>
      </c>
      <c r="I464" s="84">
        <v>26510152</v>
      </c>
      <c r="J464" s="12" t="s">
        <v>5102</v>
      </c>
      <c r="K464" s="12" t="s">
        <v>389</v>
      </c>
      <c r="L464" s="12" t="str">
        <f>IF(OR(ISBLANK(tblSites[[#This Row],[Implementing Partner]]), tblSites[[#This Row],[Implementing Partner]]="-"), tblSites[[#This Row],[Site Agency]], tblSites[[#This Row],[Implementing Partner]])</f>
        <v>No SMA</v>
      </c>
      <c r="M464" s="12" t="s">
        <v>55</v>
      </c>
      <c r="N464" s="12" t="str">
        <f>tblSites[[#This Row],[FinalImplementingPartner]]</f>
        <v>No SMA</v>
      </c>
    </row>
    <row r="465" spans="1:14" x14ac:dyDescent="0.25">
      <c r="A465" s="12" t="s">
        <v>3497</v>
      </c>
      <c r="B465" s="12" t="s">
        <v>4098</v>
      </c>
      <c r="C465" s="12" t="s">
        <v>4680</v>
      </c>
      <c r="D465" t="s">
        <v>5313</v>
      </c>
      <c r="E465" s="12" t="s">
        <v>3178</v>
      </c>
      <c r="F465" s="12" t="s">
        <v>349</v>
      </c>
      <c r="G465" s="12" t="s">
        <v>5327</v>
      </c>
      <c r="H465" s="12" t="s">
        <v>4098</v>
      </c>
      <c r="I465" s="84">
        <v>26510152</v>
      </c>
      <c r="J465" s="12" t="s">
        <v>5102</v>
      </c>
      <c r="L465" s="12" t="str">
        <f>IF(OR(ISBLANK(tblSites[[#This Row],[Implementing Partner]]), tblSites[[#This Row],[Implementing Partner]]="-"), tblSites[[#This Row],[Site Agency]], tblSites[[#This Row],[Implementing Partner]])</f>
        <v>No SMA</v>
      </c>
      <c r="M465" s="12" t="s">
        <v>55</v>
      </c>
      <c r="N465" s="12" t="str">
        <f>tblSites[[#This Row],[FinalImplementingPartner]]</f>
        <v>No SMA</v>
      </c>
    </row>
    <row r="466" spans="1:14" x14ac:dyDescent="0.25">
      <c r="A466" s="12" t="s">
        <v>3498</v>
      </c>
      <c r="B466" s="12" t="s">
        <v>4099</v>
      </c>
      <c r="C466" s="12" t="s">
        <v>4681</v>
      </c>
      <c r="D466" t="s">
        <v>5313</v>
      </c>
      <c r="E466" s="12" t="s">
        <v>3178</v>
      </c>
      <c r="F466" s="12" t="s">
        <v>1702</v>
      </c>
      <c r="G466" s="12" t="s">
        <v>5359</v>
      </c>
      <c r="H466" s="12" t="s">
        <v>4099</v>
      </c>
      <c r="I466" s="84">
        <v>2651041</v>
      </c>
      <c r="J466" s="12" t="s">
        <v>5102</v>
      </c>
      <c r="L466" s="12" t="str">
        <f>IF(OR(ISBLANK(tblSites[[#This Row],[Implementing Partner]]), tblSites[[#This Row],[Implementing Partner]]="-"), tblSites[[#This Row],[Site Agency]], tblSites[[#This Row],[Implementing Partner]])</f>
        <v>No SMA</v>
      </c>
      <c r="M466" s="12" t="s">
        <v>55</v>
      </c>
      <c r="N466" s="12" t="str">
        <f>tblSites[[#This Row],[FinalImplementingPartner]]</f>
        <v>No SMA</v>
      </c>
    </row>
    <row r="467" spans="1:14" x14ac:dyDescent="0.25">
      <c r="A467" s="12" t="s">
        <v>3499</v>
      </c>
      <c r="B467" s="12" t="s">
        <v>4100</v>
      </c>
      <c r="C467" s="12" t="s">
        <v>4682</v>
      </c>
      <c r="D467" t="s">
        <v>5313</v>
      </c>
      <c r="E467" s="12" t="s">
        <v>3178</v>
      </c>
      <c r="F467" s="12" t="s">
        <v>1724</v>
      </c>
      <c r="G467" s="12" t="s">
        <v>5334</v>
      </c>
      <c r="H467" s="12" t="s">
        <v>4100</v>
      </c>
      <c r="I467" s="84">
        <v>26510151</v>
      </c>
      <c r="J467" s="12" t="s">
        <v>5102</v>
      </c>
      <c r="L467" s="12" t="str">
        <f>IF(OR(ISBLANK(tblSites[[#This Row],[Implementing Partner]]), tblSites[[#This Row],[Implementing Partner]]="-"), tblSites[[#This Row],[Site Agency]], tblSites[[#This Row],[Implementing Partner]])</f>
        <v>No SMA</v>
      </c>
      <c r="M467" s="12" t="s">
        <v>55</v>
      </c>
      <c r="N467" s="12" t="str">
        <f>tblSites[[#This Row],[FinalImplementingPartner]]</f>
        <v>No SMA</v>
      </c>
    </row>
    <row r="468" spans="1:14" x14ac:dyDescent="0.25">
      <c r="A468" s="12" t="s">
        <v>3500</v>
      </c>
      <c r="B468" s="12" t="s">
        <v>2586</v>
      </c>
      <c r="C468" s="12" t="s">
        <v>3087</v>
      </c>
      <c r="D468" t="s">
        <v>5313</v>
      </c>
      <c r="E468" s="12" t="s">
        <v>3178</v>
      </c>
      <c r="F468" s="12" t="s">
        <v>564</v>
      </c>
      <c r="G468" s="12" t="s">
        <v>5348</v>
      </c>
      <c r="H468" s="12" t="s">
        <v>2586</v>
      </c>
      <c r="I468" s="84">
        <v>2651090</v>
      </c>
      <c r="J468" s="12" t="s">
        <v>5102</v>
      </c>
      <c r="L468" s="12" t="str">
        <f>IF(OR(ISBLANK(tblSites[[#This Row],[Implementing Partner]]), tblSites[[#This Row],[Implementing Partner]]="-"), tblSites[[#This Row],[Site Agency]], tblSites[[#This Row],[Implementing Partner]])</f>
        <v>No SMA</v>
      </c>
      <c r="M468" s="12" t="s">
        <v>55</v>
      </c>
      <c r="N468" s="12" t="str">
        <f>tblSites[[#This Row],[FinalImplementingPartner]]</f>
        <v>No SMA</v>
      </c>
    </row>
    <row r="469" spans="1:14" x14ac:dyDescent="0.25">
      <c r="A469" s="12" t="s">
        <v>3501</v>
      </c>
      <c r="B469" s="12" t="s">
        <v>4101</v>
      </c>
      <c r="C469" s="12" t="s">
        <v>4683</v>
      </c>
      <c r="D469" t="s">
        <v>5313</v>
      </c>
      <c r="E469" s="12" t="s">
        <v>3178</v>
      </c>
      <c r="F469" s="12" t="s">
        <v>349</v>
      </c>
      <c r="G469" s="12" t="s">
        <v>5327</v>
      </c>
      <c r="H469" s="12" t="s">
        <v>4101</v>
      </c>
      <c r="I469" s="84">
        <v>26510152</v>
      </c>
      <c r="J469" s="12" t="s">
        <v>5102</v>
      </c>
      <c r="K469" s="12" t="s">
        <v>389</v>
      </c>
      <c r="L469" s="12" t="str">
        <f>IF(OR(ISBLANK(tblSites[[#This Row],[Implementing Partner]]), tblSites[[#This Row],[Implementing Partner]]="-"), tblSites[[#This Row],[Site Agency]], tblSites[[#This Row],[Implementing Partner]])</f>
        <v>No SMA</v>
      </c>
      <c r="M469" s="12" t="s">
        <v>55</v>
      </c>
      <c r="N469" s="12" t="str">
        <f>tblSites[[#This Row],[FinalImplementingPartner]]</f>
        <v>No SMA</v>
      </c>
    </row>
    <row r="470" spans="1:14" x14ac:dyDescent="0.25">
      <c r="A470" s="12" t="s">
        <v>3502</v>
      </c>
      <c r="B470" s="12" t="s">
        <v>4102</v>
      </c>
      <c r="C470" s="12" t="s">
        <v>4684</v>
      </c>
      <c r="D470" t="s">
        <v>5313</v>
      </c>
      <c r="E470" s="12" t="s">
        <v>3178</v>
      </c>
      <c r="F470" s="12" t="s">
        <v>2207</v>
      </c>
      <c r="G470" s="12" t="s">
        <v>5386</v>
      </c>
      <c r="H470" s="12" t="s">
        <v>4102</v>
      </c>
      <c r="I470" s="84">
        <v>26503148</v>
      </c>
      <c r="J470" s="12" t="s">
        <v>5102</v>
      </c>
      <c r="L470" s="12" t="str">
        <f>IF(OR(ISBLANK(tblSites[[#This Row],[Implementing Partner]]), tblSites[[#This Row],[Implementing Partner]]="-"), tblSites[[#This Row],[Site Agency]], tblSites[[#This Row],[Implementing Partner]])</f>
        <v>No SMA</v>
      </c>
      <c r="M470" s="12" t="s">
        <v>55</v>
      </c>
      <c r="N470" s="12" t="str">
        <f>tblSites[[#This Row],[FinalImplementingPartner]]</f>
        <v>No SMA</v>
      </c>
    </row>
    <row r="471" spans="1:14" x14ac:dyDescent="0.25">
      <c r="A471" s="12" t="s">
        <v>3503</v>
      </c>
      <c r="B471" s="12" t="s">
        <v>4103</v>
      </c>
      <c r="C471" s="12" t="s">
        <v>4685</v>
      </c>
      <c r="D471" t="s">
        <v>5313</v>
      </c>
      <c r="E471" s="12" t="s">
        <v>3178</v>
      </c>
      <c r="F471" s="12" t="s">
        <v>568</v>
      </c>
      <c r="G471" s="12" t="s">
        <v>5370</v>
      </c>
      <c r="H471" s="12" t="s">
        <v>4103</v>
      </c>
      <c r="I471" s="84">
        <v>2650596</v>
      </c>
      <c r="J471" s="12" t="s">
        <v>5102</v>
      </c>
      <c r="L471" s="12" t="str">
        <f>IF(OR(ISBLANK(tblSites[[#This Row],[Implementing Partner]]), tblSites[[#This Row],[Implementing Partner]]="-"), tblSites[[#This Row],[Site Agency]], tblSites[[#This Row],[Implementing Partner]])</f>
        <v>No SMA</v>
      </c>
      <c r="M471" s="12" t="s">
        <v>55</v>
      </c>
      <c r="N471" s="12" t="str">
        <f>tblSites[[#This Row],[FinalImplementingPartner]]</f>
        <v>No SMA</v>
      </c>
    </row>
    <row r="472" spans="1:14" x14ac:dyDescent="0.25">
      <c r="A472" s="12" t="s">
        <v>3504</v>
      </c>
      <c r="B472" s="12" t="s">
        <v>4104</v>
      </c>
      <c r="C472" s="12" t="s">
        <v>4686</v>
      </c>
      <c r="D472" t="s">
        <v>5313</v>
      </c>
      <c r="E472" s="12" t="s">
        <v>3178</v>
      </c>
      <c r="F472" s="12" t="s">
        <v>1724</v>
      </c>
      <c r="G472" s="12" t="s">
        <v>5334</v>
      </c>
      <c r="H472" s="12" t="s">
        <v>4104</v>
      </c>
      <c r="I472" s="84">
        <v>26510151</v>
      </c>
      <c r="J472" s="12" t="s">
        <v>5102</v>
      </c>
      <c r="L472" s="12" t="str">
        <f>IF(OR(ISBLANK(tblSites[[#This Row],[Implementing Partner]]), tblSites[[#This Row],[Implementing Partner]]="-"), tblSites[[#This Row],[Site Agency]], tblSites[[#This Row],[Implementing Partner]])</f>
        <v>No SMA</v>
      </c>
      <c r="M472" s="12" t="s">
        <v>55</v>
      </c>
      <c r="N472" s="12" t="str">
        <f>tblSites[[#This Row],[FinalImplementingPartner]]</f>
        <v>No SMA</v>
      </c>
    </row>
    <row r="473" spans="1:14" x14ac:dyDescent="0.25">
      <c r="A473" s="12" t="s">
        <v>3505</v>
      </c>
      <c r="B473" s="12" t="s">
        <v>4105</v>
      </c>
      <c r="C473" s="12" t="s">
        <v>4687</v>
      </c>
      <c r="D473" t="s">
        <v>5313</v>
      </c>
      <c r="E473" s="12" t="s">
        <v>3178</v>
      </c>
      <c r="F473" s="12" t="s">
        <v>2557</v>
      </c>
      <c r="G473" s="12" t="s">
        <v>5397</v>
      </c>
      <c r="H473" s="12" t="s">
        <v>4105</v>
      </c>
      <c r="I473" s="84">
        <v>2650584</v>
      </c>
      <c r="J473" s="12" t="s">
        <v>5102</v>
      </c>
      <c r="L473" s="12" t="str">
        <f>IF(OR(ISBLANK(tblSites[[#This Row],[Implementing Partner]]), tblSites[[#This Row],[Implementing Partner]]="-"), tblSites[[#This Row],[Site Agency]], tblSites[[#This Row],[Implementing Partner]])</f>
        <v>No SMA</v>
      </c>
      <c r="M473" s="12" t="s">
        <v>55</v>
      </c>
      <c r="N473" s="12" t="str">
        <f>tblSites[[#This Row],[FinalImplementingPartner]]</f>
        <v>No SMA</v>
      </c>
    </row>
    <row r="474" spans="1:14" x14ac:dyDescent="0.25">
      <c r="A474" s="12" t="s">
        <v>3506</v>
      </c>
      <c r="B474" s="12" t="s">
        <v>4106</v>
      </c>
      <c r="C474" s="12" t="s">
        <v>4688</v>
      </c>
      <c r="D474" t="s">
        <v>5313</v>
      </c>
      <c r="E474" s="12" t="s">
        <v>3178</v>
      </c>
      <c r="F474" s="12" t="s">
        <v>358</v>
      </c>
      <c r="G474" s="12" t="s">
        <v>5352</v>
      </c>
      <c r="H474" s="12" t="s">
        <v>4106</v>
      </c>
      <c r="I474" s="84">
        <v>2650577</v>
      </c>
      <c r="J474" s="12" t="s">
        <v>5102</v>
      </c>
      <c r="L474" s="12" t="str">
        <f>IF(OR(ISBLANK(tblSites[[#This Row],[Implementing Partner]]), tblSites[[#This Row],[Implementing Partner]]="-"), tblSites[[#This Row],[Site Agency]], tblSites[[#This Row],[Implementing Partner]])</f>
        <v>No SMA</v>
      </c>
      <c r="M474" s="12" t="s">
        <v>55</v>
      </c>
      <c r="N474" s="12" t="str">
        <f>tblSites[[#This Row],[FinalImplementingPartner]]</f>
        <v>No SMA</v>
      </c>
    </row>
    <row r="475" spans="1:14" x14ac:dyDescent="0.25">
      <c r="A475" s="12" t="s">
        <v>3507</v>
      </c>
      <c r="B475" s="12" t="s">
        <v>4107</v>
      </c>
      <c r="C475" s="12" t="s">
        <v>4687</v>
      </c>
      <c r="D475" t="s">
        <v>5313</v>
      </c>
      <c r="E475" s="12" t="s">
        <v>3178</v>
      </c>
      <c r="F475" s="12" t="s">
        <v>2557</v>
      </c>
      <c r="G475" s="12" t="s">
        <v>5397</v>
      </c>
      <c r="H475" s="12" t="s">
        <v>4107</v>
      </c>
      <c r="I475" s="84">
        <v>2650584</v>
      </c>
      <c r="J475" s="12" t="s">
        <v>5102</v>
      </c>
      <c r="L475" s="12" t="str">
        <f>IF(OR(ISBLANK(tblSites[[#This Row],[Implementing Partner]]), tblSites[[#This Row],[Implementing Partner]]="-"), tblSites[[#This Row],[Site Agency]], tblSites[[#This Row],[Implementing Partner]])</f>
        <v>No SMA</v>
      </c>
      <c r="M475" s="12" t="s">
        <v>55</v>
      </c>
      <c r="N475" s="12" t="str">
        <f>tblSites[[#This Row],[FinalImplementingPartner]]</f>
        <v>No SMA</v>
      </c>
    </row>
    <row r="476" spans="1:14" x14ac:dyDescent="0.25">
      <c r="A476" s="12" t="s">
        <v>3508</v>
      </c>
      <c r="B476" s="12" t="s">
        <v>4108</v>
      </c>
      <c r="C476" s="12" t="s">
        <v>4689</v>
      </c>
      <c r="D476" t="s">
        <v>5313</v>
      </c>
      <c r="E476" s="12" t="s">
        <v>3178</v>
      </c>
      <c r="F476" s="12" t="s">
        <v>358</v>
      </c>
      <c r="G476" s="12" t="s">
        <v>5352</v>
      </c>
      <c r="H476" s="12" t="s">
        <v>4108</v>
      </c>
      <c r="I476" s="84">
        <v>2650577</v>
      </c>
      <c r="J476" s="47" t="s">
        <v>5102</v>
      </c>
      <c r="L476" s="12" t="str">
        <f>IF(OR(ISBLANK(tblSites[[#This Row],[Implementing Partner]]), tblSites[[#This Row],[Implementing Partner]]="-"), tblSites[[#This Row],[Site Agency]], tblSites[[#This Row],[Implementing Partner]])</f>
        <v>No SMA</v>
      </c>
      <c r="M476" s="12" t="s">
        <v>55</v>
      </c>
      <c r="N476" s="12" t="str">
        <f>tblSites[[#This Row],[FinalImplementingPartner]]</f>
        <v>No SMA</v>
      </c>
    </row>
    <row r="477" spans="1:14" x14ac:dyDescent="0.25">
      <c r="A477" s="12" t="s">
        <v>3509</v>
      </c>
      <c r="B477" s="12" t="s">
        <v>4109</v>
      </c>
      <c r="C477" s="12" t="s">
        <v>516</v>
      </c>
      <c r="D477" t="s">
        <v>5313</v>
      </c>
      <c r="E477" s="12" t="s">
        <v>3178</v>
      </c>
      <c r="F477" s="12" t="s">
        <v>1992</v>
      </c>
      <c r="G477" s="12" t="s">
        <v>5328</v>
      </c>
      <c r="H477" s="12" t="s">
        <v>4109</v>
      </c>
      <c r="I477" s="84">
        <v>26506150</v>
      </c>
      <c r="J477" s="12" t="s">
        <v>5102</v>
      </c>
      <c r="L477" s="12" t="str">
        <f>IF(OR(ISBLANK(tblSites[[#This Row],[Implementing Partner]]), tblSites[[#This Row],[Implementing Partner]]="-"), tblSites[[#This Row],[Site Agency]], tblSites[[#This Row],[Implementing Partner]])</f>
        <v>No SMA</v>
      </c>
      <c r="M477" s="12" t="s">
        <v>55</v>
      </c>
      <c r="N477" s="12" t="str">
        <f>tblSites[[#This Row],[FinalImplementingPartner]]</f>
        <v>No SMA</v>
      </c>
    </row>
    <row r="478" spans="1:14" x14ac:dyDescent="0.25">
      <c r="A478" s="12" t="s">
        <v>3510</v>
      </c>
      <c r="B478" s="12" t="s">
        <v>4110</v>
      </c>
      <c r="C478" s="12" t="s">
        <v>2828</v>
      </c>
      <c r="D478" t="s">
        <v>5313</v>
      </c>
      <c r="E478" s="12" t="s">
        <v>3178</v>
      </c>
      <c r="F478" s="12" t="s">
        <v>361</v>
      </c>
      <c r="G478" s="12" t="s">
        <v>5333</v>
      </c>
      <c r="H478" s="12" t="s">
        <v>4110</v>
      </c>
      <c r="I478" s="84">
        <v>2651099</v>
      </c>
      <c r="J478" s="12" t="s">
        <v>5102</v>
      </c>
      <c r="K478" s="12" t="s">
        <v>389</v>
      </c>
      <c r="L478" s="12" t="str">
        <f>IF(OR(ISBLANK(tblSites[[#This Row],[Implementing Partner]]), tblSites[[#This Row],[Implementing Partner]]="-"), tblSites[[#This Row],[Site Agency]], tblSites[[#This Row],[Implementing Partner]])</f>
        <v>No SMA</v>
      </c>
      <c r="M478" s="12" t="s">
        <v>55</v>
      </c>
      <c r="N478" s="12" t="str">
        <f>tblSites[[#This Row],[FinalImplementingPartner]]</f>
        <v>No SMA</v>
      </c>
    </row>
    <row r="479" spans="1:14" x14ac:dyDescent="0.25">
      <c r="A479" s="12" t="s">
        <v>3511</v>
      </c>
      <c r="B479" s="12" t="s">
        <v>4111</v>
      </c>
      <c r="C479" s="12" t="s">
        <v>4690</v>
      </c>
      <c r="D479" t="s">
        <v>5313</v>
      </c>
      <c r="E479" s="12" t="s">
        <v>3178</v>
      </c>
      <c r="F479" s="12" t="s">
        <v>361</v>
      </c>
      <c r="G479" s="12" t="s">
        <v>5333</v>
      </c>
      <c r="H479" s="12" t="s">
        <v>4111</v>
      </c>
      <c r="I479" s="84">
        <v>2651099</v>
      </c>
      <c r="J479" s="12" t="s">
        <v>5102</v>
      </c>
      <c r="K479" s="12" t="s">
        <v>389</v>
      </c>
      <c r="L479" s="12" t="str">
        <f>IF(OR(ISBLANK(tblSites[[#This Row],[Implementing Partner]]), tblSites[[#This Row],[Implementing Partner]]="-"), tblSites[[#This Row],[Site Agency]], tblSites[[#This Row],[Implementing Partner]])</f>
        <v>No SMA</v>
      </c>
      <c r="M479" s="12" t="s">
        <v>55</v>
      </c>
      <c r="N479" s="12" t="str">
        <f>tblSites[[#This Row],[FinalImplementingPartner]]</f>
        <v>No SMA</v>
      </c>
    </row>
    <row r="480" spans="1:14" x14ac:dyDescent="0.25">
      <c r="A480" s="12" t="s">
        <v>3512</v>
      </c>
      <c r="B480" s="12" t="s">
        <v>4112</v>
      </c>
      <c r="C480" s="12" t="s">
        <v>4691</v>
      </c>
      <c r="D480" t="s">
        <v>5313</v>
      </c>
      <c r="E480" s="12" t="s">
        <v>3178</v>
      </c>
      <c r="F480" s="12" t="s">
        <v>2207</v>
      </c>
      <c r="G480" s="12" t="s">
        <v>5386</v>
      </c>
      <c r="H480" s="12" t="s">
        <v>4112</v>
      </c>
      <c r="I480" s="84">
        <v>26503148</v>
      </c>
      <c r="J480" s="12" t="s">
        <v>5102</v>
      </c>
      <c r="L480" s="12" t="str">
        <f>IF(OR(ISBLANK(tblSites[[#This Row],[Implementing Partner]]), tblSites[[#This Row],[Implementing Partner]]="-"), tblSites[[#This Row],[Site Agency]], tblSites[[#This Row],[Implementing Partner]])</f>
        <v>No SMA</v>
      </c>
      <c r="M480" s="12" t="s">
        <v>55</v>
      </c>
      <c r="N480" s="12" t="str">
        <f>tblSites[[#This Row],[FinalImplementingPartner]]</f>
        <v>No SMA</v>
      </c>
    </row>
    <row r="481" spans="1:14" x14ac:dyDescent="0.25">
      <c r="A481" s="12" t="s">
        <v>3513</v>
      </c>
      <c r="B481" s="12" t="s">
        <v>4113</v>
      </c>
      <c r="C481" s="12" t="s">
        <v>4692</v>
      </c>
      <c r="D481" t="s">
        <v>5313</v>
      </c>
      <c r="E481" s="12" t="s">
        <v>3178</v>
      </c>
      <c r="F481" s="12" t="s">
        <v>349</v>
      </c>
      <c r="G481" s="12" t="s">
        <v>5327</v>
      </c>
      <c r="H481" s="12" t="s">
        <v>4113</v>
      </c>
      <c r="I481" s="84">
        <v>26510152</v>
      </c>
      <c r="J481" s="12" t="s">
        <v>5102</v>
      </c>
      <c r="K481" s="12" t="s">
        <v>389</v>
      </c>
      <c r="L481" s="12" t="str">
        <f>IF(OR(ISBLANK(tblSites[[#This Row],[Implementing Partner]]), tblSites[[#This Row],[Implementing Partner]]="-"), tblSites[[#This Row],[Site Agency]], tblSites[[#This Row],[Implementing Partner]])</f>
        <v>No SMA</v>
      </c>
      <c r="M481" s="12" t="s">
        <v>55</v>
      </c>
      <c r="N481" s="12" t="str">
        <f>tblSites[[#This Row],[FinalImplementingPartner]]</f>
        <v>No SMA</v>
      </c>
    </row>
    <row r="482" spans="1:14" x14ac:dyDescent="0.25">
      <c r="A482" s="12" t="s">
        <v>3514</v>
      </c>
      <c r="B482" s="12" t="s">
        <v>4114</v>
      </c>
      <c r="C482" s="12" t="s">
        <v>4693</v>
      </c>
      <c r="D482" t="s">
        <v>5313</v>
      </c>
      <c r="E482" s="12" t="s">
        <v>3178</v>
      </c>
      <c r="F482" s="12" t="s">
        <v>1983</v>
      </c>
      <c r="G482" s="12" t="s">
        <v>5340</v>
      </c>
      <c r="H482" s="12" t="s">
        <v>4114</v>
      </c>
      <c r="I482" s="84">
        <v>2650582</v>
      </c>
      <c r="J482" s="12" t="s">
        <v>5102</v>
      </c>
      <c r="L482" s="12" t="str">
        <f>IF(OR(ISBLANK(tblSites[[#This Row],[Implementing Partner]]), tblSites[[#This Row],[Implementing Partner]]="-"), tblSites[[#This Row],[Site Agency]], tblSites[[#This Row],[Implementing Partner]])</f>
        <v>No SMA</v>
      </c>
      <c r="M482" s="12" t="s">
        <v>55</v>
      </c>
      <c r="N482" s="12" t="str">
        <f>tblSites[[#This Row],[FinalImplementingPartner]]</f>
        <v>No SMA</v>
      </c>
    </row>
    <row r="483" spans="1:14" x14ac:dyDescent="0.25">
      <c r="A483" s="12" t="s">
        <v>3515</v>
      </c>
      <c r="B483" s="12" t="s">
        <v>4115</v>
      </c>
      <c r="C483" s="12" t="s">
        <v>4694</v>
      </c>
      <c r="D483" t="s">
        <v>5313</v>
      </c>
      <c r="E483" s="12" t="s">
        <v>3178</v>
      </c>
      <c r="F483" s="12" t="s">
        <v>974</v>
      </c>
      <c r="G483" s="12" t="s">
        <v>5362</v>
      </c>
      <c r="H483" s="12" t="s">
        <v>4115</v>
      </c>
      <c r="I483" s="84">
        <v>2651089</v>
      </c>
      <c r="J483" s="12" t="s">
        <v>5102</v>
      </c>
      <c r="L483" s="12" t="str">
        <f>IF(OR(ISBLANK(tblSites[[#This Row],[Implementing Partner]]), tblSites[[#This Row],[Implementing Partner]]="-"), tblSites[[#This Row],[Site Agency]], tblSites[[#This Row],[Implementing Partner]])</f>
        <v>No SMA</v>
      </c>
      <c r="M483" s="12" t="s">
        <v>55</v>
      </c>
      <c r="N483" s="12" t="str">
        <f>tblSites[[#This Row],[FinalImplementingPartner]]</f>
        <v>No SMA</v>
      </c>
    </row>
    <row r="484" spans="1:14" x14ac:dyDescent="0.25">
      <c r="A484" s="12" t="s">
        <v>3516</v>
      </c>
      <c r="B484" s="12" t="s">
        <v>4116</v>
      </c>
      <c r="C484" s="12" t="s">
        <v>4695</v>
      </c>
      <c r="D484" t="s">
        <v>5313</v>
      </c>
      <c r="E484" s="12" t="s">
        <v>3178</v>
      </c>
      <c r="F484" s="12" t="s">
        <v>97</v>
      </c>
      <c r="G484" s="12" t="s">
        <v>5343</v>
      </c>
      <c r="H484" s="12" t="s">
        <v>4116</v>
      </c>
      <c r="I484" s="84">
        <v>2650595</v>
      </c>
      <c r="J484" s="12" t="s">
        <v>5102</v>
      </c>
      <c r="L484" s="12" t="str">
        <f>IF(OR(ISBLANK(tblSites[[#This Row],[Implementing Partner]]), tblSites[[#This Row],[Implementing Partner]]="-"), tblSites[[#This Row],[Site Agency]], tblSites[[#This Row],[Implementing Partner]])</f>
        <v>No SMA</v>
      </c>
      <c r="M484" s="12" t="s">
        <v>55</v>
      </c>
      <c r="N484" s="12" t="str">
        <f>tblSites[[#This Row],[FinalImplementingPartner]]</f>
        <v>No SMA</v>
      </c>
    </row>
    <row r="485" spans="1:14" x14ac:dyDescent="0.25">
      <c r="A485" s="12" t="s">
        <v>3517</v>
      </c>
      <c r="B485" s="12" t="s">
        <v>4117</v>
      </c>
      <c r="C485" s="12" t="s">
        <v>4696</v>
      </c>
      <c r="D485" t="s">
        <v>5313</v>
      </c>
      <c r="E485" s="12" t="s">
        <v>3178</v>
      </c>
      <c r="F485" s="12" t="s">
        <v>154</v>
      </c>
      <c r="G485" s="12" t="s">
        <v>5336</v>
      </c>
      <c r="H485" s="12" t="s">
        <v>4117</v>
      </c>
      <c r="I485" s="84">
        <v>26501147</v>
      </c>
      <c r="J485" s="12" t="s">
        <v>5102</v>
      </c>
      <c r="K485" s="12" t="s">
        <v>389</v>
      </c>
      <c r="L485" s="12" t="str">
        <f>IF(OR(ISBLANK(tblSites[[#This Row],[Implementing Partner]]), tblSites[[#This Row],[Implementing Partner]]="-"), tblSites[[#This Row],[Site Agency]], tblSites[[#This Row],[Implementing Partner]])</f>
        <v>No SMA</v>
      </c>
      <c r="M485" s="12" t="s">
        <v>55</v>
      </c>
      <c r="N485" s="12" t="str">
        <f>tblSites[[#This Row],[FinalImplementingPartner]]</f>
        <v>No SMA</v>
      </c>
    </row>
    <row r="486" spans="1:14" x14ac:dyDescent="0.25">
      <c r="A486" s="12" t="s">
        <v>3518</v>
      </c>
      <c r="B486" s="12" t="s">
        <v>4118</v>
      </c>
      <c r="C486" s="12" t="s">
        <v>4697</v>
      </c>
      <c r="D486" t="s">
        <v>5313</v>
      </c>
      <c r="E486" s="12" t="s">
        <v>3178</v>
      </c>
      <c r="F486" s="12" t="s">
        <v>3223</v>
      </c>
      <c r="G486" s="12" t="s">
        <v>5398</v>
      </c>
      <c r="H486" s="12" t="s">
        <v>4118</v>
      </c>
      <c r="I486" s="84">
        <v>2650885</v>
      </c>
      <c r="J486" s="12" t="s">
        <v>5102</v>
      </c>
      <c r="L486" s="12" t="str">
        <f>IF(OR(ISBLANK(tblSites[[#This Row],[Implementing Partner]]), tblSites[[#This Row],[Implementing Partner]]="-"), tblSites[[#This Row],[Site Agency]], tblSites[[#This Row],[Implementing Partner]])</f>
        <v>No SMA</v>
      </c>
      <c r="M486" s="12" t="s">
        <v>55</v>
      </c>
      <c r="N486" s="12" t="str">
        <f>tblSites[[#This Row],[FinalImplementingPartner]]</f>
        <v>No SMA</v>
      </c>
    </row>
    <row r="487" spans="1:14" x14ac:dyDescent="0.25">
      <c r="A487" s="12" t="s">
        <v>3519</v>
      </c>
      <c r="B487" s="12" t="s">
        <v>4119</v>
      </c>
      <c r="C487" s="12" t="s">
        <v>4698</v>
      </c>
      <c r="D487" t="s">
        <v>5313</v>
      </c>
      <c r="E487" s="12" t="s">
        <v>3178</v>
      </c>
      <c r="F487" s="12" t="s">
        <v>504</v>
      </c>
      <c r="G487" s="12" t="s">
        <v>5354</v>
      </c>
      <c r="H487" s="12" t="s">
        <v>4119</v>
      </c>
      <c r="I487" s="84">
        <v>2650576</v>
      </c>
      <c r="J487" s="12" t="s">
        <v>5102</v>
      </c>
      <c r="L487" s="12" t="str">
        <f>IF(OR(ISBLANK(tblSites[[#This Row],[Implementing Partner]]), tblSites[[#This Row],[Implementing Partner]]="-"), tblSites[[#This Row],[Site Agency]], tblSites[[#This Row],[Implementing Partner]])</f>
        <v>No SMA</v>
      </c>
      <c r="M487" s="12" t="s">
        <v>55</v>
      </c>
      <c r="N487" s="12" t="str">
        <f>tblSites[[#This Row],[FinalImplementingPartner]]</f>
        <v>No SMA</v>
      </c>
    </row>
    <row r="488" spans="1:14" x14ac:dyDescent="0.25">
      <c r="A488" s="12" t="s">
        <v>3520</v>
      </c>
      <c r="B488" s="12" t="s">
        <v>4120</v>
      </c>
      <c r="C488" s="12" t="s">
        <v>1208</v>
      </c>
      <c r="D488" t="s">
        <v>5313</v>
      </c>
      <c r="E488" s="12" t="s">
        <v>3178</v>
      </c>
      <c r="F488" s="12" t="s">
        <v>163</v>
      </c>
      <c r="G488" s="12" t="s">
        <v>5338</v>
      </c>
      <c r="H488" s="12" t="s">
        <v>4120</v>
      </c>
      <c r="I488" s="84">
        <v>2651093</v>
      </c>
      <c r="J488" s="12" t="s">
        <v>5102</v>
      </c>
      <c r="L488" s="12" t="str">
        <f>IF(OR(ISBLANK(tblSites[[#This Row],[Implementing Partner]]), tblSites[[#This Row],[Implementing Partner]]="-"), tblSites[[#This Row],[Site Agency]], tblSites[[#This Row],[Implementing Partner]])</f>
        <v>No SMA</v>
      </c>
      <c r="M488" s="12" t="s">
        <v>55</v>
      </c>
      <c r="N488" s="12" t="str">
        <f>tblSites[[#This Row],[FinalImplementingPartner]]</f>
        <v>No SMA</v>
      </c>
    </row>
    <row r="489" spans="1:14" x14ac:dyDescent="0.25">
      <c r="A489" s="12" t="s">
        <v>3521</v>
      </c>
      <c r="B489" s="12" t="s">
        <v>4121</v>
      </c>
      <c r="C489" s="12" t="s">
        <v>1515</v>
      </c>
      <c r="D489" t="s">
        <v>5313</v>
      </c>
      <c r="E489" s="12" t="s">
        <v>3178</v>
      </c>
      <c r="F489" s="12" t="s">
        <v>163</v>
      </c>
      <c r="G489" s="12" t="s">
        <v>5338</v>
      </c>
      <c r="H489" s="12" t="s">
        <v>4121</v>
      </c>
      <c r="I489" s="84">
        <v>2651093</v>
      </c>
      <c r="J489" s="12" t="s">
        <v>5102</v>
      </c>
      <c r="L489" s="12" t="str">
        <f>IF(OR(ISBLANK(tblSites[[#This Row],[Implementing Partner]]), tblSites[[#This Row],[Implementing Partner]]="-"), tblSites[[#This Row],[Site Agency]], tblSites[[#This Row],[Implementing Partner]])</f>
        <v>No SMA</v>
      </c>
      <c r="M489" s="12" t="s">
        <v>55</v>
      </c>
      <c r="N489" s="12" t="str">
        <f>tblSites[[#This Row],[FinalImplementingPartner]]</f>
        <v>No SMA</v>
      </c>
    </row>
    <row r="490" spans="1:14" x14ac:dyDescent="0.25">
      <c r="A490" s="12" t="s">
        <v>3522</v>
      </c>
      <c r="B490" s="12" t="s">
        <v>4122</v>
      </c>
      <c r="C490" s="12" t="s">
        <v>4699</v>
      </c>
      <c r="D490" t="s">
        <v>5313</v>
      </c>
      <c r="E490" s="12" t="s">
        <v>3178</v>
      </c>
      <c r="F490" s="12" t="s">
        <v>104</v>
      </c>
      <c r="G490" s="12" t="s">
        <v>5339</v>
      </c>
      <c r="H490" s="12" t="s">
        <v>4122</v>
      </c>
      <c r="I490" s="84">
        <v>2651091</v>
      </c>
      <c r="J490" s="12" t="s">
        <v>5102</v>
      </c>
      <c r="L490" s="12" t="str">
        <f>IF(OR(ISBLANK(tblSites[[#This Row],[Implementing Partner]]), tblSites[[#This Row],[Implementing Partner]]="-"), tblSites[[#This Row],[Site Agency]], tblSites[[#This Row],[Implementing Partner]])</f>
        <v>No SMA</v>
      </c>
      <c r="M490" s="12" t="s">
        <v>55</v>
      </c>
      <c r="N490" s="12" t="str">
        <f>tblSites[[#This Row],[FinalImplementingPartner]]</f>
        <v>No SMA</v>
      </c>
    </row>
    <row r="491" spans="1:14" x14ac:dyDescent="0.25">
      <c r="A491" s="12" t="s">
        <v>3523</v>
      </c>
      <c r="B491" s="12" t="s">
        <v>4123</v>
      </c>
      <c r="C491" s="12" t="s">
        <v>4700</v>
      </c>
      <c r="D491" t="s">
        <v>5313</v>
      </c>
      <c r="E491" s="12" t="s">
        <v>3178</v>
      </c>
      <c r="F491" s="12" t="s">
        <v>97</v>
      </c>
      <c r="G491" s="12" t="s">
        <v>5343</v>
      </c>
      <c r="H491" s="12" t="s">
        <v>4123</v>
      </c>
      <c r="I491" s="84">
        <v>2650595</v>
      </c>
      <c r="J491" s="12" t="s">
        <v>5102</v>
      </c>
      <c r="L491" s="12" t="str">
        <f>IF(OR(ISBLANK(tblSites[[#This Row],[Implementing Partner]]), tblSites[[#This Row],[Implementing Partner]]="-"), tblSites[[#This Row],[Site Agency]], tblSites[[#This Row],[Implementing Partner]])</f>
        <v>No SMA</v>
      </c>
      <c r="M491" s="12" t="s">
        <v>55</v>
      </c>
      <c r="N491" s="12" t="str">
        <f>tblSites[[#This Row],[FinalImplementingPartner]]</f>
        <v>No SMA</v>
      </c>
    </row>
    <row r="492" spans="1:14" x14ac:dyDescent="0.25">
      <c r="A492" s="12" t="s">
        <v>3524</v>
      </c>
      <c r="B492" s="12" t="s">
        <v>4124</v>
      </c>
      <c r="C492" s="12" t="s">
        <v>4701</v>
      </c>
      <c r="D492" t="s">
        <v>5313</v>
      </c>
      <c r="E492" s="12" t="s">
        <v>3178</v>
      </c>
      <c r="F492" s="12" t="s">
        <v>154</v>
      </c>
      <c r="G492" s="12" t="s">
        <v>5336</v>
      </c>
      <c r="H492" s="12" t="s">
        <v>4124</v>
      </c>
      <c r="I492" s="84">
        <v>26501147</v>
      </c>
      <c r="J492" s="12" t="s">
        <v>5102</v>
      </c>
      <c r="K492" s="12" t="s">
        <v>389</v>
      </c>
      <c r="L492" s="12" t="str">
        <f>IF(OR(ISBLANK(tblSites[[#This Row],[Implementing Partner]]), tblSites[[#This Row],[Implementing Partner]]="-"), tblSites[[#This Row],[Site Agency]], tblSites[[#This Row],[Implementing Partner]])</f>
        <v>No SMA</v>
      </c>
      <c r="M492" s="12" t="s">
        <v>55</v>
      </c>
      <c r="N492" s="12" t="str">
        <f>tblSites[[#This Row],[FinalImplementingPartner]]</f>
        <v>No SMA</v>
      </c>
    </row>
    <row r="493" spans="1:14" x14ac:dyDescent="0.25">
      <c r="A493" s="12" t="s">
        <v>3525</v>
      </c>
      <c r="B493" s="12" t="s">
        <v>4110</v>
      </c>
      <c r="C493" s="12" t="s">
        <v>4702</v>
      </c>
      <c r="D493" t="s">
        <v>5313</v>
      </c>
      <c r="E493" s="12" t="s">
        <v>3178</v>
      </c>
      <c r="F493" s="12" t="s">
        <v>163</v>
      </c>
      <c r="G493" s="12" t="s">
        <v>5338</v>
      </c>
      <c r="H493" s="12" t="s">
        <v>4110</v>
      </c>
      <c r="I493" s="84">
        <v>2651093</v>
      </c>
      <c r="J493" s="12" t="s">
        <v>5102</v>
      </c>
      <c r="L493" s="12" t="str">
        <f>IF(OR(ISBLANK(tblSites[[#This Row],[Implementing Partner]]), tblSites[[#This Row],[Implementing Partner]]="-"), tblSites[[#This Row],[Site Agency]], tblSites[[#This Row],[Implementing Partner]])</f>
        <v>No SMA</v>
      </c>
      <c r="M493" s="12" t="s">
        <v>55</v>
      </c>
      <c r="N493" s="12" t="str">
        <f>tblSites[[#This Row],[FinalImplementingPartner]]</f>
        <v>No SMA</v>
      </c>
    </row>
    <row r="494" spans="1:14" x14ac:dyDescent="0.25">
      <c r="A494" s="12" t="s">
        <v>3526</v>
      </c>
      <c r="B494" s="12" t="s">
        <v>4125</v>
      </c>
      <c r="C494" s="12" t="s">
        <v>4703</v>
      </c>
      <c r="D494" t="s">
        <v>5313</v>
      </c>
      <c r="E494" s="12" t="s">
        <v>3178</v>
      </c>
      <c r="F494" s="12" t="s">
        <v>163</v>
      </c>
      <c r="G494" s="12" t="s">
        <v>5338</v>
      </c>
      <c r="H494" s="12" t="s">
        <v>4125</v>
      </c>
      <c r="I494" s="84">
        <v>2651093</v>
      </c>
      <c r="J494" s="12" t="s">
        <v>5102</v>
      </c>
      <c r="L494" s="12" t="str">
        <f>IF(OR(ISBLANK(tblSites[[#This Row],[Implementing Partner]]), tblSites[[#This Row],[Implementing Partner]]="-"), tblSites[[#This Row],[Site Agency]], tblSites[[#This Row],[Implementing Partner]])</f>
        <v>No SMA</v>
      </c>
      <c r="M494" s="12" t="s">
        <v>55</v>
      </c>
      <c r="N494" s="12" t="str">
        <f>tblSites[[#This Row],[FinalImplementingPartner]]</f>
        <v>No SMA</v>
      </c>
    </row>
    <row r="495" spans="1:14" x14ac:dyDescent="0.25">
      <c r="A495" s="12" t="s">
        <v>5224</v>
      </c>
      <c r="B495" s="12" t="s">
        <v>4479</v>
      </c>
      <c r="C495" s="12" t="s">
        <v>1995</v>
      </c>
      <c r="D495" t="s">
        <v>59</v>
      </c>
      <c r="E495" s="12" t="s">
        <v>3179</v>
      </c>
      <c r="F495" s="12" t="s">
        <v>60</v>
      </c>
      <c r="G495" s="12" t="s">
        <v>5145</v>
      </c>
      <c r="H495" s="12" t="s">
        <v>4479</v>
      </c>
      <c r="I495" s="84">
        <v>2600119</v>
      </c>
      <c r="J495" s="12" t="s">
        <v>35</v>
      </c>
      <c r="L495" s="12" t="str">
        <f>IF(OR(ISBLANK(tblSites[[#This Row],[Implementing Partner]]), tblSites[[#This Row],[Implementing Partner]]="-"), tblSites[[#This Row],[Site Agency]], tblSites[[#This Row],[Implementing Partner]])</f>
        <v>NRC</v>
      </c>
      <c r="M495" s="12" t="s">
        <v>55</v>
      </c>
      <c r="N495" s="12" t="str">
        <f>tblSites[[#This Row],[FinalImplementingPartner]]</f>
        <v>NRC</v>
      </c>
    </row>
    <row r="496" spans="1:14" x14ac:dyDescent="0.25">
      <c r="A496" s="12" t="s">
        <v>1932</v>
      </c>
      <c r="B496" s="12" t="s">
        <v>1933</v>
      </c>
      <c r="C496" s="12" t="s">
        <v>1934</v>
      </c>
      <c r="D496" t="s">
        <v>59</v>
      </c>
      <c r="E496" s="12" t="s">
        <v>3179</v>
      </c>
      <c r="F496" s="12" t="s">
        <v>695</v>
      </c>
      <c r="G496" s="12" t="s">
        <v>5104</v>
      </c>
      <c r="H496" s="12" t="s">
        <v>1933</v>
      </c>
      <c r="I496" s="84">
        <v>2600116</v>
      </c>
      <c r="J496" s="12" t="s">
        <v>5102</v>
      </c>
      <c r="K496" s="12" t="s">
        <v>389</v>
      </c>
      <c r="L496" s="12" t="str">
        <f>IF(OR(ISBLANK(tblSites[[#This Row],[Implementing Partner]]), tblSites[[#This Row],[Implementing Partner]]="-"), tblSites[[#This Row],[Site Agency]], tblSites[[#This Row],[Implementing Partner]])</f>
        <v>No SMA</v>
      </c>
      <c r="M496" s="12" t="s">
        <v>55</v>
      </c>
      <c r="N496" s="12" t="str">
        <f>tblSites[[#This Row],[FinalImplementingPartner]]</f>
        <v>No SMA</v>
      </c>
    </row>
    <row r="497" spans="1:14" x14ac:dyDescent="0.25">
      <c r="A497" s="47" t="s">
        <v>2011</v>
      </c>
      <c r="B497" s="12" t="s">
        <v>2012</v>
      </c>
      <c r="C497" s="12" t="s">
        <v>2012</v>
      </c>
      <c r="D497" t="s">
        <v>59</v>
      </c>
      <c r="E497" s="12" t="s">
        <v>3179</v>
      </c>
      <c r="F497" s="47" t="s">
        <v>695</v>
      </c>
      <c r="G497" s="12" t="s">
        <v>5104</v>
      </c>
      <c r="H497" s="12" t="s">
        <v>2012</v>
      </c>
      <c r="I497" s="84">
        <v>2600116</v>
      </c>
      <c r="J497" s="12" t="s">
        <v>5102</v>
      </c>
      <c r="L497" s="12" t="str">
        <f>IF(OR(ISBLANK(tblSites[[#This Row],[Implementing Partner]]), tblSites[[#This Row],[Implementing Partner]]="-"), tblSites[[#This Row],[Site Agency]], tblSites[[#This Row],[Implementing Partner]])</f>
        <v>No SMA</v>
      </c>
      <c r="M497" s="12" t="s">
        <v>55</v>
      </c>
      <c r="N497" s="12" t="str">
        <f>tblSites[[#This Row],[FinalImplementingPartner]]</f>
        <v>No SMA</v>
      </c>
    </row>
    <row r="498" spans="1:14" x14ac:dyDescent="0.25">
      <c r="A498" s="12" t="s">
        <v>1759</v>
      </c>
      <c r="B498" s="12" t="s">
        <v>1760</v>
      </c>
      <c r="C498" s="12" t="s">
        <v>389</v>
      </c>
      <c r="D498" t="s">
        <v>59</v>
      </c>
      <c r="E498" s="12" t="s">
        <v>3179</v>
      </c>
      <c r="F498" s="12" t="s">
        <v>397</v>
      </c>
      <c r="G498" s="12" t="s">
        <v>5105</v>
      </c>
      <c r="H498" s="12" t="s">
        <v>1760</v>
      </c>
      <c r="I498" s="84">
        <v>2600124</v>
      </c>
      <c r="J498" s="12" t="s">
        <v>5102</v>
      </c>
      <c r="L498" s="12" t="str">
        <f>IF(OR(ISBLANK(tblSites[[#This Row],[Implementing Partner]]), tblSites[[#This Row],[Implementing Partner]]="-"), tblSites[[#This Row],[Site Agency]], tblSites[[#This Row],[Implementing Partner]])</f>
        <v>No SMA</v>
      </c>
      <c r="M498" s="12" t="s">
        <v>55</v>
      </c>
      <c r="N498" s="12" t="str">
        <f>tblSites[[#This Row],[FinalImplementingPartner]]</f>
        <v>No SMA</v>
      </c>
    </row>
    <row r="499" spans="1:14" x14ac:dyDescent="0.25">
      <c r="A499" s="12" t="s">
        <v>1069</v>
      </c>
      <c r="B499" s="12" t="s">
        <v>1070</v>
      </c>
      <c r="C499" s="12" t="s">
        <v>4704</v>
      </c>
      <c r="D499" t="s">
        <v>59</v>
      </c>
      <c r="E499" s="12" t="s">
        <v>3179</v>
      </c>
      <c r="F499" s="12" t="s">
        <v>324</v>
      </c>
      <c r="G499" s="12" t="s">
        <v>5106</v>
      </c>
      <c r="H499" s="12" t="s">
        <v>1070</v>
      </c>
      <c r="I499" s="84">
        <v>2600120</v>
      </c>
      <c r="J499" s="12" t="s">
        <v>34</v>
      </c>
      <c r="K499" s="12" t="s">
        <v>662</v>
      </c>
      <c r="L499" s="12" t="str">
        <f>IF(OR(ISBLANK(tblSites[[#This Row],[Implementing Partner]]), tblSites[[#This Row],[Implementing Partner]]="-"), tblSites[[#This Row],[Site Agency]], tblSites[[#This Row],[Implementing Partner]])</f>
        <v>PARC</v>
      </c>
      <c r="M499" s="12" t="s">
        <v>55</v>
      </c>
      <c r="N499" s="12" t="str">
        <f>tblSites[[#This Row],[FinalImplementingPartner]]</f>
        <v>PARC</v>
      </c>
    </row>
    <row r="500" spans="1:14" x14ac:dyDescent="0.25">
      <c r="A500" s="12" t="s">
        <v>923</v>
      </c>
      <c r="B500" s="12" t="s">
        <v>924</v>
      </c>
      <c r="C500" s="12" t="s">
        <v>925</v>
      </c>
      <c r="D500" t="s">
        <v>59</v>
      </c>
      <c r="E500" s="12" t="s">
        <v>3179</v>
      </c>
      <c r="F500" s="12" t="s">
        <v>67</v>
      </c>
      <c r="G500" s="12" t="s">
        <v>5107</v>
      </c>
      <c r="H500" s="12" t="s">
        <v>924</v>
      </c>
      <c r="I500" s="84">
        <v>2600118</v>
      </c>
      <c r="J500" s="12" t="s">
        <v>34</v>
      </c>
      <c r="K500" s="12" t="s">
        <v>662</v>
      </c>
      <c r="L500" s="12" t="str">
        <f>IF(OR(ISBLANK(tblSites[[#This Row],[Implementing Partner]]), tblSites[[#This Row],[Implementing Partner]]="-"), tblSites[[#This Row],[Site Agency]], tblSites[[#This Row],[Implementing Partner]])</f>
        <v>PARC</v>
      </c>
      <c r="M500" s="12" t="s">
        <v>55</v>
      </c>
      <c r="N500" s="12" t="str">
        <f>tblSites[[#This Row],[FinalImplementingPartner]]</f>
        <v>PARC</v>
      </c>
    </row>
    <row r="501" spans="1:14" x14ac:dyDescent="0.25">
      <c r="A501" s="12" t="s">
        <v>384</v>
      </c>
      <c r="B501" s="12" t="s">
        <v>385</v>
      </c>
      <c r="C501" s="12" t="s">
        <v>386</v>
      </c>
      <c r="D501" t="s">
        <v>59</v>
      </c>
      <c r="E501" s="12" t="s">
        <v>3179</v>
      </c>
      <c r="F501" s="12" t="s">
        <v>67</v>
      </c>
      <c r="G501" s="12" t="s">
        <v>5108</v>
      </c>
      <c r="H501" s="12" t="s">
        <v>385</v>
      </c>
      <c r="I501" s="84">
        <v>2600118</v>
      </c>
      <c r="J501" s="12" t="s">
        <v>5</v>
      </c>
      <c r="K501" s="12" t="s">
        <v>83</v>
      </c>
      <c r="L501" s="12" t="str">
        <f>IF(OR(ISBLANK(tblSites[[#This Row],[Implementing Partner]]), tblSites[[#This Row],[Implementing Partner]]="-"), tblSites[[#This Row],[Site Agency]], tblSites[[#This Row],[Implementing Partner]])</f>
        <v>CESVI</v>
      </c>
      <c r="M501" s="12" t="s">
        <v>55</v>
      </c>
      <c r="N501" s="12" t="str">
        <f>tblSites[[#This Row],[FinalImplementingPartner]]</f>
        <v>CESVI</v>
      </c>
    </row>
    <row r="502" spans="1:14" x14ac:dyDescent="0.25">
      <c r="A502" s="12" t="s">
        <v>953</v>
      </c>
      <c r="B502" s="12" t="s">
        <v>954</v>
      </c>
      <c r="C502" s="12" t="s">
        <v>955</v>
      </c>
      <c r="D502" t="s">
        <v>59</v>
      </c>
      <c r="E502" s="12" t="s">
        <v>3179</v>
      </c>
      <c r="F502" s="12" t="s">
        <v>67</v>
      </c>
      <c r="G502" s="12" t="s">
        <v>5399</v>
      </c>
      <c r="H502" s="12" t="s">
        <v>954</v>
      </c>
      <c r="I502" s="84">
        <v>2600118</v>
      </c>
      <c r="J502" s="12" t="s">
        <v>7</v>
      </c>
      <c r="L502" s="12" t="str">
        <f>IF(OR(ISBLANK(tblSites[[#This Row],[Implementing Partner]]), tblSites[[#This Row],[Implementing Partner]]="-"), tblSites[[#This Row],[Site Agency]], tblSites[[#This Row],[Implementing Partner]])</f>
        <v>ACTED</v>
      </c>
      <c r="M502" s="12" t="s">
        <v>55</v>
      </c>
      <c r="N502" s="12" t="str">
        <f>tblSites[[#This Row],[FinalImplementingPartner]]</f>
        <v>ACTED</v>
      </c>
    </row>
    <row r="503" spans="1:14" x14ac:dyDescent="0.25">
      <c r="A503" s="12" t="s">
        <v>946</v>
      </c>
      <c r="B503" s="12" t="s">
        <v>947</v>
      </c>
      <c r="C503" s="12" t="s">
        <v>948</v>
      </c>
      <c r="D503" t="s">
        <v>59</v>
      </c>
      <c r="E503" s="12" t="s">
        <v>3179</v>
      </c>
      <c r="F503" s="12" t="s">
        <v>67</v>
      </c>
      <c r="G503" s="12" t="s">
        <v>5399</v>
      </c>
      <c r="H503" s="12" t="s">
        <v>947</v>
      </c>
      <c r="I503" s="84">
        <v>2600118</v>
      </c>
      <c r="J503" s="12" t="s">
        <v>7</v>
      </c>
      <c r="L503" s="12" t="str">
        <f>IF(OR(ISBLANK(tblSites[[#This Row],[Implementing Partner]]), tblSites[[#This Row],[Implementing Partner]]="-"), tblSites[[#This Row],[Site Agency]], tblSites[[#This Row],[Implementing Partner]])</f>
        <v>ACTED</v>
      </c>
      <c r="M503" s="12" t="s">
        <v>55</v>
      </c>
      <c r="N503" s="12" t="str">
        <f>tblSites[[#This Row],[FinalImplementingPartner]]</f>
        <v>ACTED</v>
      </c>
    </row>
    <row r="504" spans="1:14" x14ac:dyDescent="0.25">
      <c r="A504" s="12" t="s">
        <v>1303</v>
      </c>
      <c r="B504" s="12" t="s">
        <v>1304</v>
      </c>
      <c r="D504" t="s">
        <v>59</v>
      </c>
      <c r="E504" s="12" t="s">
        <v>3179</v>
      </c>
      <c r="F504" s="12" t="s">
        <v>1305</v>
      </c>
      <c r="G504" s="12" t="s">
        <v>5110</v>
      </c>
      <c r="H504" s="12" t="s">
        <v>1304</v>
      </c>
      <c r="I504" s="84">
        <v>26002181</v>
      </c>
      <c r="J504" s="12" t="s">
        <v>1215</v>
      </c>
      <c r="L504" s="12" t="str">
        <f>IF(OR(ISBLANK(tblSites[[#This Row],[Implementing Partner]]), tblSites[[#This Row],[Implementing Partner]]="-"), tblSites[[#This Row],[Site Agency]], tblSites[[#This Row],[Implementing Partner]])</f>
        <v>UNRWA</v>
      </c>
      <c r="M504" s="12" t="s">
        <v>55</v>
      </c>
      <c r="N504" s="12" t="str">
        <f>tblSites[[#This Row],[FinalImplementingPartner]]</f>
        <v>UNRWA</v>
      </c>
    </row>
    <row r="505" spans="1:14" x14ac:dyDescent="0.25">
      <c r="A505" s="12" t="s">
        <v>1306</v>
      </c>
      <c r="B505" s="12" t="s">
        <v>1307</v>
      </c>
      <c r="D505" t="s">
        <v>59</v>
      </c>
      <c r="E505" s="12" t="s">
        <v>3179</v>
      </c>
      <c r="F505" s="12" t="s">
        <v>1305</v>
      </c>
      <c r="G505" s="12" t="s">
        <v>5110</v>
      </c>
      <c r="H505" s="12" t="s">
        <v>1307</v>
      </c>
      <c r="I505" s="84">
        <v>26002181</v>
      </c>
      <c r="J505" s="12" t="s">
        <v>1215</v>
      </c>
      <c r="L505" s="12" t="str">
        <f>IF(OR(ISBLANK(tblSites[[#This Row],[Implementing Partner]]), tblSites[[#This Row],[Implementing Partner]]="-"), tblSites[[#This Row],[Site Agency]], tblSites[[#This Row],[Implementing Partner]])</f>
        <v>UNRWA</v>
      </c>
      <c r="M505" s="12" t="s">
        <v>55</v>
      </c>
      <c r="N505" s="12" t="str">
        <f>tblSites[[#This Row],[FinalImplementingPartner]]</f>
        <v>UNRWA</v>
      </c>
    </row>
    <row r="506" spans="1:14" x14ac:dyDescent="0.25">
      <c r="A506" s="12" t="s">
        <v>1294</v>
      </c>
      <c r="B506" s="12" t="s">
        <v>1295</v>
      </c>
      <c r="C506" s="12" t="s">
        <v>1296</v>
      </c>
      <c r="D506" t="s">
        <v>59</v>
      </c>
      <c r="E506" s="12" t="s">
        <v>3179</v>
      </c>
      <c r="F506" s="12" t="s">
        <v>67</v>
      </c>
      <c r="G506" s="12" t="s">
        <v>5111</v>
      </c>
      <c r="H506" s="12" t="s">
        <v>1295</v>
      </c>
      <c r="I506" s="84">
        <v>2600118</v>
      </c>
      <c r="J506" s="12" t="s">
        <v>1215</v>
      </c>
      <c r="L506" s="12" t="str">
        <f>IF(OR(ISBLANK(tblSites[[#This Row],[Implementing Partner]]), tblSites[[#This Row],[Implementing Partner]]="-"), tblSites[[#This Row],[Site Agency]], tblSites[[#This Row],[Implementing Partner]])</f>
        <v>UNRWA</v>
      </c>
      <c r="M506" s="12" t="s">
        <v>55</v>
      </c>
      <c r="N506" s="12" t="str">
        <f>tblSites[[#This Row],[FinalImplementingPartner]]</f>
        <v>UNRWA</v>
      </c>
    </row>
    <row r="507" spans="1:14" x14ac:dyDescent="0.25">
      <c r="A507" s="12" t="s">
        <v>1284</v>
      </c>
      <c r="B507" s="12" t="s">
        <v>1285</v>
      </c>
      <c r="D507" t="s">
        <v>59</v>
      </c>
      <c r="E507" s="12" t="s">
        <v>3179</v>
      </c>
      <c r="F507" s="12" t="s">
        <v>67</v>
      </c>
      <c r="G507" s="12" t="s">
        <v>5111</v>
      </c>
      <c r="H507" s="12" t="s">
        <v>1285</v>
      </c>
      <c r="I507" s="84">
        <v>2600118</v>
      </c>
      <c r="J507" s="12" t="s">
        <v>1215</v>
      </c>
      <c r="L507" s="12" t="str">
        <f>IF(OR(ISBLANK(tblSites[[#This Row],[Implementing Partner]]), tblSites[[#This Row],[Implementing Partner]]="-"), tblSites[[#This Row],[Site Agency]], tblSites[[#This Row],[Implementing Partner]])</f>
        <v>UNRWA</v>
      </c>
      <c r="M507" s="12" t="s">
        <v>55</v>
      </c>
      <c r="N507" s="12" t="str">
        <f>tblSites[[#This Row],[FinalImplementingPartner]]</f>
        <v>UNRWA</v>
      </c>
    </row>
    <row r="508" spans="1:14" x14ac:dyDescent="0.25">
      <c r="A508" s="12" t="s">
        <v>1308</v>
      </c>
      <c r="B508" s="12" t="s">
        <v>1309</v>
      </c>
      <c r="D508" t="s">
        <v>59</v>
      </c>
      <c r="E508" s="12" t="s">
        <v>3179</v>
      </c>
      <c r="F508" s="12" t="s">
        <v>335</v>
      </c>
      <c r="G508" s="12" t="s">
        <v>5112</v>
      </c>
      <c r="H508" s="12" t="s">
        <v>1309</v>
      </c>
      <c r="I508" s="84">
        <v>2600122</v>
      </c>
      <c r="J508" s="12" t="s">
        <v>1215</v>
      </c>
      <c r="L508" s="12" t="str">
        <f>IF(OR(ISBLANK(tblSites[[#This Row],[Implementing Partner]]), tblSites[[#This Row],[Implementing Partner]]="-"), tblSites[[#This Row],[Site Agency]], tblSites[[#This Row],[Implementing Partner]])</f>
        <v>UNRWA</v>
      </c>
      <c r="M508" s="12" t="s">
        <v>55</v>
      </c>
      <c r="N508" s="12" t="str">
        <f>tblSites[[#This Row],[FinalImplementingPartner]]</f>
        <v>UNRWA</v>
      </c>
    </row>
    <row r="509" spans="1:14" x14ac:dyDescent="0.25">
      <c r="A509" s="12" t="s">
        <v>1310</v>
      </c>
      <c r="B509" s="12" t="s">
        <v>1311</v>
      </c>
      <c r="C509" s="12" t="s">
        <v>1312</v>
      </c>
      <c r="D509" t="s">
        <v>59</v>
      </c>
      <c r="E509" s="12" t="s">
        <v>3179</v>
      </c>
      <c r="F509" s="12" t="s">
        <v>114</v>
      </c>
      <c r="G509" s="12" t="s">
        <v>5113</v>
      </c>
      <c r="H509" s="12" t="s">
        <v>1311</v>
      </c>
      <c r="I509" s="84">
        <v>2600123</v>
      </c>
      <c r="J509" s="12" t="s">
        <v>1215</v>
      </c>
      <c r="L509" s="12" t="str">
        <f>IF(OR(ISBLANK(tblSites[[#This Row],[Implementing Partner]]), tblSites[[#This Row],[Implementing Partner]]="-"), tblSites[[#This Row],[Site Agency]], tblSites[[#This Row],[Implementing Partner]])</f>
        <v>UNRWA</v>
      </c>
      <c r="M509" s="12" t="s">
        <v>55</v>
      </c>
      <c r="N509" s="12" t="str">
        <f>tblSites[[#This Row],[FinalImplementingPartner]]</f>
        <v>UNRWA</v>
      </c>
    </row>
    <row r="510" spans="1:14" x14ac:dyDescent="0.25">
      <c r="A510" s="12" t="s">
        <v>1948</v>
      </c>
      <c r="B510" s="12" t="s">
        <v>1949</v>
      </c>
      <c r="C510" s="12" t="s">
        <v>389</v>
      </c>
      <c r="D510" t="s">
        <v>59</v>
      </c>
      <c r="E510" s="12" t="s">
        <v>3179</v>
      </c>
      <c r="F510" s="12" t="s">
        <v>1305</v>
      </c>
      <c r="G510" s="12" t="s">
        <v>5110</v>
      </c>
      <c r="H510" s="12" t="s">
        <v>1949</v>
      </c>
      <c r="I510" s="84">
        <v>26002181</v>
      </c>
      <c r="J510" s="12" t="s">
        <v>1215</v>
      </c>
      <c r="L510" s="12" t="str">
        <f>IF(OR(ISBLANK(tblSites[[#This Row],[Implementing Partner]]), tblSites[[#This Row],[Implementing Partner]]="-"), tblSites[[#This Row],[Site Agency]], tblSites[[#This Row],[Implementing Partner]])</f>
        <v>UNRWA</v>
      </c>
      <c r="M510" s="12" t="s">
        <v>55</v>
      </c>
      <c r="N510" s="12" t="str">
        <f>tblSites[[#This Row],[FinalImplementingPartner]]</f>
        <v>UNRWA</v>
      </c>
    </row>
    <row r="511" spans="1:14" x14ac:dyDescent="0.25">
      <c r="A511" s="12" t="s">
        <v>1292</v>
      </c>
      <c r="B511" s="12" t="s">
        <v>1293</v>
      </c>
      <c r="D511" t="s">
        <v>59</v>
      </c>
      <c r="E511" s="12" t="s">
        <v>3179</v>
      </c>
      <c r="F511" s="12" t="s">
        <v>67</v>
      </c>
      <c r="G511" s="12" t="s">
        <v>5111</v>
      </c>
      <c r="H511" s="12" t="s">
        <v>1293</v>
      </c>
      <c r="I511" s="84">
        <v>2600118</v>
      </c>
      <c r="J511" s="12" t="s">
        <v>1215</v>
      </c>
      <c r="L511" s="12" t="str">
        <f>IF(OR(ISBLANK(tblSites[[#This Row],[Implementing Partner]]), tblSites[[#This Row],[Implementing Partner]]="-"), tblSites[[#This Row],[Site Agency]], tblSites[[#This Row],[Implementing Partner]])</f>
        <v>UNRWA</v>
      </c>
      <c r="M511" s="12" t="s">
        <v>55</v>
      </c>
      <c r="N511" s="12" t="str">
        <f>tblSites[[#This Row],[FinalImplementingPartner]]</f>
        <v>UNRWA</v>
      </c>
    </row>
    <row r="512" spans="1:14" x14ac:dyDescent="0.25">
      <c r="A512" s="12" t="s">
        <v>1259</v>
      </c>
      <c r="B512" s="12" t="s">
        <v>1260</v>
      </c>
      <c r="C512" s="12" t="s">
        <v>1261</v>
      </c>
      <c r="D512" t="s">
        <v>59</v>
      </c>
      <c r="E512" s="12" t="s">
        <v>3179</v>
      </c>
      <c r="F512" s="12" t="s">
        <v>1091</v>
      </c>
      <c r="G512" s="12" t="s">
        <v>5114</v>
      </c>
      <c r="H512" s="12" t="s">
        <v>1260</v>
      </c>
      <c r="I512" s="84">
        <v>2600115</v>
      </c>
      <c r="J512" s="12" t="s">
        <v>1215</v>
      </c>
      <c r="L512" s="12" t="str">
        <f>IF(OR(ISBLANK(tblSites[[#This Row],[Implementing Partner]]), tblSites[[#This Row],[Implementing Partner]]="-"), tblSites[[#This Row],[Site Agency]], tblSites[[#This Row],[Implementing Partner]])</f>
        <v>UNRWA</v>
      </c>
      <c r="M512" s="12" t="s">
        <v>55</v>
      </c>
      <c r="N512" s="12" t="str">
        <f>tblSites[[#This Row],[FinalImplementingPartner]]</f>
        <v>UNRWA</v>
      </c>
    </row>
    <row r="513" spans="1:14" x14ac:dyDescent="0.25">
      <c r="A513" s="12" t="s">
        <v>1073</v>
      </c>
      <c r="B513" s="12" t="s">
        <v>1074</v>
      </c>
      <c r="C513" s="12" t="s">
        <v>1075</v>
      </c>
      <c r="D513" t="s">
        <v>59</v>
      </c>
      <c r="E513" s="12" t="s">
        <v>3179</v>
      </c>
      <c r="F513" s="12" t="s">
        <v>60</v>
      </c>
      <c r="G513" s="12" t="s">
        <v>5115</v>
      </c>
      <c r="H513" s="12" t="s">
        <v>1074</v>
      </c>
      <c r="I513" s="84">
        <v>2600119</v>
      </c>
      <c r="J513" s="12" t="s">
        <v>34</v>
      </c>
      <c r="K513" s="12" t="s">
        <v>662</v>
      </c>
      <c r="L513" s="12" t="str">
        <f>IF(OR(ISBLANK(tblSites[[#This Row],[Implementing Partner]]), tblSites[[#This Row],[Implementing Partner]]="-"), tblSites[[#This Row],[Site Agency]], tblSites[[#This Row],[Implementing Partner]])</f>
        <v>PARC</v>
      </c>
      <c r="M513" s="12" t="s">
        <v>55</v>
      </c>
      <c r="N513" s="12" t="str">
        <f>tblSites[[#This Row],[FinalImplementingPartner]]</f>
        <v>PARC</v>
      </c>
    </row>
    <row r="514" spans="1:14" x14ac:dyDescent="0.25">
      <c r="A514" s="12" t="s">
        <v>1289</v>
      </c>
      <c r="B514" s="12" t="s">
        <v>1290</v>
      </c>
      <c r="C514" s="12" t="s">
        <v>1291</v>
      </c>
      <c r="D514" t="s">
        <v>59</v>
      </c>
      <c r="E514" s="12" t="s">
        <v>3179</v>
      </c>
      <c r="F514" s="12" t="s">
        <v>60</v>
      </c>
      <c r="G514" s="12" t="s">
        <v>5116</v>
      </c>
      <c r="H514" s="12" t="s">
        <v>1290</v>
      </c>
      <c r="I514" s="84">
        <v>2600119</v>
      </c>
      <c r="J514" s="12" t="s">
        <v>1215</v>
      </c>
      <c r="L514" s="12" t="str">
        <f>IF(OR(ISBLANK(tblSites[[#This Row],[Implementing Partner]]), tblSites[[#This Row],[Implementing Partner]]="-"), tblSites[[#This Row],[Site Agency]], tblSites[[#This Row],[Implementing Partner]])</f>
        <v>UNRWA</v>
      </c>
      <c r="M514" s="12" t="s">
        <v>55</v>
      </c>
      <c r="N514" s="12" t="str">
        <f>tblSites[[#This Row],[FinalImplementingPartner]]</f>
        <v>UNRWA</v>
      </c>
    </row>
    <row r="515" spans="1:14" x14ac:dyDescent="0.25">
      <c r="A515" s="12" t="s">
        <v>2349</v>
      </c>
      <c r="B515" s="12" t="s">
        <v>2350</v>
      </c>
      <c r="C515" s="12" t="s">
        <v>389</v>
      </c>
      <c r="D515" t="s">
        <v>59</v>
      </c>
      <c r="E515" s="12" t="s">
        <v>3179</v>
      </c>
      <c r="F515" s="12" t="s">
        <v>695</v>
      </c>
      <c r="G515" s="12" t="s">
        <v>5104</v>
      </c>
      <c r="H515" s="12" t="s">
        <v>2350</v>
      </c>
      <c r="I515" s="84">
        <v>2600116</v>
      </c>
      <c r="J515" s="12" t="s">
        <v>5102</v>
      </c>
      <c r="L515" s="12" t="str">
        <f>IF(OR(ISBLANK(tblSites[[#This Row],[Implementing Partner]]), tblSites[[#This Row],[Implementing Partner]]="-"), tblSites[[#This Row],[Site Agency]], tblSites[[#This Row],[Implementing Partner]])</f>
        <v>No SMA</v>
      </c>
      <c r="M515" s="12" t="s">
        <v>55</v>
      </c>
      <c r="N515" s="12" t="str">
        <f>tblSites[[#This Row],[FinalImplementingPartner]]</f>
        <v>No SMA</v>
      </c>
    </row>
    <row r="516" spans="1:14" x14ac:dyDescent="0.25">
      <c r="A516" s="12" t="s">
        <v>1811</v>
      </c>
      <c r="B516" s="12" t="s">
        <v>1812</v>
      </c>
      <c r="C516" s="12" t="s">
        <v>1813</v>
      </c>
      <c r="D516" t="s">
        <v>59</v>
      </c>
      <c r="E516" s="12" t="s">
        <v>3179</v>
      </c>
      <c r="F516" s="12" t="s">
        <v>60</v>
      </c>
      <c r="G516" s="12" t="s">
        <v>5119</v>
      </c>
      <c r="H516" s="12" t="s">
        <v>1812</v>
      </c>
      <c r="I516" s="84">
        <v>2600119</v>
      </c>
      <c r="J516" s="12" t="s">
        <v>5102</v>
      </c>
      <c r="L516" s="12" t="str">
        <f>IF(OR(ISBLANK(tblSites[[#This Row],[Implementing Partner]]), tblSites[[#This Row],[Implementing Partner]]="-"), tblSites[[#This Row],[Site Agency]], tblSites[[#This Row],[Implementing Partner]])</f>
        <v>No SMA</v>
      </c>
      <c r="M516" s="12" t="s">
        <v>55</v>
      </c>
      <c r="N516" s="12" t="str">
        <f>tblSites[[#This Row],[FinalImplementingPartner]]</f>
        <v>No SMA</v>
      </c>
    </row>
    <row r="517" spans="1:14" x14ac:dyDescent="0.25">
      <c r="A517" s="12" t="s">
        <v>1313</v>
      </c>
      <c r="B517" s="12" t="s">
        <v>1314</v>
      </c>
      <c r="D517" t="s">
        <v>59</v>
      </c>
      <c r="E517" s="12" t="s">
        <v>3179</v>
      </c>
      <c r="F517" s="12" t="s">
        <v>67</v>
      </c>
      <c r="G517" s="12" t="s">
        <v>5111</v>
      </c>
      <c r="H517" s="12" t="s">
        <v>1314</v>
      </c>
      <c r="I517" s="84">
        <v>2600118</v>
      </c>
      <c r="J517" s="12" t="s">
        <v>1215</v>
      </c>
      <c r="L517" s="12" t="str">
        <f>IF(OR(ISBLANK(tblSites[[#This Row],[Implementing Partner]]), tblSites[[#This Row],[Implementing Partner]]="-"), tblSites[[#This Row],[Site Agency]], tblSites[[#This Row],[Implementing Partner]])</f>
        <v>UNRWA</v>
      </c>
      <c r="M517" s="12" t="s">
        <v>55</v>
      </c>
      <c r="N517" s="12" t="str">
        <f>tblSites[[#This Row],[FinalImplementingPartner]]</f>
        <v>UNRWA</v>
      </c>
    </row>
    <row r="518" spans="1:14" x14ac:dyDescent="0.25">
      <c r="A518" s="12" t="s">
        <v>1618</v>
      </c>
      <c r="B518" s="12" t="s">
        <v>1619</v>
      </c>
      <c r="C518" s="12" t="s">
        <v>1620</v>
      </c>
      <c r="D518" t="s">
        <v>59</v>
      </c>
      <c r="E518" s="12" t="s">
        <v>3179</v>
      </c>
      <c r="F518" s="12" t="s">
        <v>324</v>
      </c>
      <c r="G518" s="12" t="s">
        <v>5118</v>
      </c>
      <c r="H518" s="12" t="s">
        <v>1619</v>
      </c>
      <c r="I518" s="84">
        <v>2600120</v>
      </c>
      <c r="J518" s="12" t="s">
        <v>5102</v>
      </c>
      <c r="L518" s="12" t="str">
        <f>IF(OR(ISBLANK(tblSites[[#This Row],[Implementing Partner]]), tblSites[[#This Row],[Implementing Partner]]="-"), tblSites[[#This Row],[Site Agency]], tblSites[[#This Row],[Implementing Partner]])</f>
        <v>No SMA</v>
      </c>
      <c r="M518" s="12" t="s">
        <v>55</v>
      </c>
      <c r="N518" s="12" t="str">
        <f>tblSites[[#This Row],[FinalImplementingPartner]]</f>
        <v>No SMA</v>
      </c>
    </row>
    <row r="519" spans="1:14" x14ac:dyDescent="0.25">
      <c r="A519" s="12" t="s">
        <v>1095</v>
      </c>
      <c r="B519" s="12" t="s">
        <v>1096</v>
      </c>
      <c r="C519" s="12" t="s">
        <v>1097</v>
      </c>
      <c r="D519" t="s">
        <v>59</v>
      </c>
      <c r="E519" s="12" t="s">
        <v>3179</v>
      </c>
      <c r="F519" s="12" t="s">
        <v>324</v>
      </c>
      <c r="G519" s="12" t="s">
        <v>5106</v>
      </c>
      <c r="H519" s="12" t="s">
        <v>1096</v>
      </c>
      <c r="I519" s="84">
        <v>2600120</v>
      </c>
      <c r="J519" s="12" t="s">
        <v>34</v>
      </c>
      <c r="K519" s="12" t="s">
        <v>662</v>
      </c>
      <c r="L519" s="12" t="str">
        <f>IF(OR(ISBLANK(tblSites[[#This Row],[Implementing Partner]]), tblSites[[#This Row],[Implementing Partner]]="-"), tblSites[[#This Row],[Site Agency]], tblSites[[#This Row],[Implementing Partner]])</f>
        <v>PARC</v>
      </c>
      <c r="M519" s="12" t="s">
        <v>55</v>
      </c>
      <c r="N519" s="12" t="str">
        <f>tblSites[[#This Row],[FinalImplementingPartner]]</f>
        <v>PARC</v>
      </c>
    </row>
    <row r="520" spans="1:14" x14ac:dyDescent="0.25">
      <c r="A520" s="12" t="s">
        <v>2058</v>
      </c>
      <c r="B520" s="12" t="s">
        <v>2059</v>
      </c>
      <c r="C520" s="12" t="s">
        <v>2060</v>
      </c>
      <c r="D520" t="s">
        <v>59</v>
      </c>
      <c r="E520" s="12" t="s">
        <v>3179</v>
      </c>
      <c r="F520" s="12" t="s">
        <v>60</v>
      </c>
      <c r="G520" s="12" t="s">
        <v>5119</v>
      </c>
      <c r="H520" s="12" t="s">
        <v>2059</v>
      </c>
      <c r="I520" s="84">
        <v>2600119</v>
      </c>
      <c r="J520" s="12" t="s">
        <v>5102</v>
      </c>
      <c r="L520" s="12" t="str">
        <f>IF(OR(ISBLANK(tblSites[[#This Row],[Implementing Partner]]), tblSites[[#This Row],[Implementing Partner]]="-"), tblSites[[#This Row],[Site Agency]], tblSites[[#This Row],[Implementing Partner]])</f>
        <v>No SMA</v>
      </c>
      <c r="M520" s="12" t="s">
        <v>55</v>
      </c>
      <c r="N520" s="12" t="str">
        <f>tblSites[[#This Row],[FinalImplementingPartner]]</f>
        <v>No SMA</v>
      </c>
    </row>
    <row r="521" spans="1:14" x14ac:dyDescent="0.25">
      <c r="A521" s="12" t="s">
        <v>2835</v>
      </c>
      <c r="B521" s="12" t="s">
        <v>2836</v>
      </c>
      <c r="C521" s="12" t="s">
        <v>2837</v>
      </c>
      <c r="D521" t="s">
        <v>59</v>
      </c>
      <c r="E521" s="12" t="s">
        <v>3179</v>
      </c>
      <c r="F521" s="12" t="s">
        <v>1091</v>
      </c>
      <c r="G521" s="12" t="s">
        <v>5120</v>
      </c>
      <c r="H521" s="12" t="s">
        <v>2836</v>
      </c>
      <c r="I521" s="84">
        <v>2600115</v>
      </c>
      <c r="J521" s="12" t="s">
        <v>5102</v>
      </c>
      <c r="L521" s="12" t="str">
        <f>IF(OR(ISBLANK(tblSites[[#This Row],[Implementing Partner]]), tblSites[[#This Row],[Implementing Partner]]="-"), tblSites[[#This Row],[Site Agency]], tblSites[[#This Row],[Implementing Partner]])</f>
        <v>No SMA</v>
      </c>
      <c r="M521" s="12" t="s">
        <v>55</v>
      </c>
      <c r="N521" s="12" t="str">
        <f>tblSites[[#This Row],[FinalImplementingPartner]]</f>
        <v>No SMA</v>
      </c>
    </row>
    <row r="522" spans="1:14" x14ac:dyDescent="0.25">
      <c r="A522" s="12" t="s">
        <v>2163</v>
      </c>
      <c r="B522" s="12" t="s">
        <v>2164</v>
      </c>
      <c r="C522" s="12" t="s">
        <v>2165</v>
      </c>
      <c r="D522" t="s">
        <v>59</v>
      </c>
      <c r="E522" s="12" t="s">
        <v>3179</v>
      </c>
      <c r="F522" s="12" t="s">
        <v>1091</v>
      </c>
      <c r="G522" s="12" t="s">
        <v>5120</v>
      </c>
      <c r="H522" s="12" t="s">
        <v>2164</v>
      </c>
      <c r="I522" s="84">
        <v>2600115</v>
      </c>
      <c r="J522" s="12" t="s">
        <v>5102</v>
      </c>
      <c r="L522" s="12" t="str">
        <f>IF(OR(ISBLANK(tblSites[[#This Row],[Implementing Partner]]), tblSites[[#This Row],[Implementing Partner]]="-"), tblSites[[#This Row],[Site Agency]], tblSites[[#This Row],[Implementing Partner]])</f>
        <v>No SMA</v>
      </c>
      <c r="M522" s="12" t="s">
        <v>55</v>
      </c>
      <c r="N522" s="12" t="str">
        <f>tblSites[[#This Row],[FinalImplementingPartner]]</f>
        <v>No SMA</v>
      </c>
    </row>
    <row r="523" spans="1:14" x14ac:dyDescent="0.25">
      <c r="A523" s="12" t="s">
        <v>1297</v>
      </c>
      <c r="B523" s="12" t="s">
        <v>1298</v>
      </c>
      <c r="D523" t="s">
        <v>59</v>
      </c>
      <c r="E523" s="12" t="s">
        <v>3179</v>
      </c>
      <c r="F523" s="12" t="s">
        <v>67</v>
      </c>
      <c r="G523" s="12" t="s">
        <v>5111</v>
      </c>
      <c r="H523" s="12" t="s">
        <v>1298</v>
      </c>
      <c r="I523" s="84">
        <v>2600118</v>
      </c>
      <c r="J523" s="12" t="s">
        <v>1215</v>
      </c>
      <c r="L523" s="12" t="str">
        <f>IF(OR(ISBLANK(tblSites[[#This Row],[Implementing Partner]]), tblSites[[#This Row],[Implementing Partner]]="-"), tblSites[[#This Row],[Site Agency]], tblSites[[#This Row],[Implementing Partner]])</f>
        <v>UNRWA</v>
      </c>
      <c r="M523" s="12" t="s">
        <v>55</v>
      </c>
      <c r="N523" s="12" t="str">
        <f>tblSites[[#This Row],[FinalImplementingPartner]]</f>
        <v>UNRWA</v>
      </c>
    </row>
    <row r="524" spans="1:14" x14ac:dyDescent="0.25">
      <c r="A524" s="12" t="s">
        <v>2021</v>
      </c>
      <c r="B524" s="12" t="s">
        <v>2022</v>
      </c>
      <c r="C524" s="12" t="s">
        <v>2023</v>
      </c>
      <c r="D524" t="s">
        <v>59</v>
      </c>
      <c r="E524" s="12" t="s">
        <v>3179</v>
      </c>
      <c r="F524" s="12" t="s">
        <v>695</v>
      </c>
      <c r="G524" s="12" t="s">
        <v>5104</v>
      </c>
      <c r="H524" s="12" t="s">
        <v>2022</v>
      </c>
      <c r="I524" s="84">
        <v>2600116</v>
      </c>
      <c r="J524" s="12" t="s">
        <v>5102</v>
      </c>
      <c r="L524" s="12" t="str">
        <f>IF(OR(ISBLANK(tblSites[[#This Row],[Implementing Partner]]), tblSites[[#This Row],[Implementing Partner]]="-"), tblSites[[#This Row],[Site Agency]], tblSites[[#This Row],[Implementing Partner]])</f>
        <v>No SMA</v>
      </c>
      <c r="M524" s="12" t="s">
        <v>55</v>
      </c>
      <c r="N524" s="12" t="str">
        <f>tblSites[[#This Row],[FinalImplementingPartner]]</f>
        <v>No SMA</v>
      </c>
    </row>
    <row r="525" spans="1:14" x14ac:dyDescent="0.25">
      <c r="A525" s="12" t="s">
        <v>2838</v>
      </c>
      <c r="B525" s="12" t="s">
        <v>523</v>
      </c>
      <c r="D525" t="s">
        <v>59</v>
      </c>
      <c r="E525" s="12" t="s">
        <v>3179</v>
      </c>
      <c r="F525" s="12" t="s">
        <v>695</v>
      </c>
      <c r="G525" s="12" t="s">
        <v>5104</v>
      </c>
      <c r="H525" s="12" t="s">
        <v>523</v>
      </c>
      <c r="I525" s="84">
        <v>2600116</v>
      </c>
      <c r="J525" s="12" t="s">
        <v>5102</v>
      </c>
      <c r="L525" s="12" t="str">
        <f>IF(OR(ISBLANK(tblSites[[#This Row],[Implementing Partner]]), tblSites[[#This Row],[Implementing Partner]]="-"), tblSites[[#This Row],[Site Agency]], tblSites[[#This Row],[Implementing Partner]])</f>
        <v>No SMA</v>
      </c>
      <c r="M525" s="12" t="s">
        <v>55</v>
      </c>
      <c r="N525" s="12" t="str">
        <f>tblSites[[#This Row],[FinalImplementingPartner]]</f>
        <v>No SMA</v>
      </c>
    </row>
    <row r="526" spans="1:14" x14ac:dyDescent="0.25">
      <c r="A526" s="12" t="s">
        <v>1262</v>
      </c>
      <c r="B526" s="12" t="s">
        <v>1263</v>
      </c>
      <c r="C526" s="12" t="s">
        <v>1264</v>
      </c>
      <c r="D526" t="s">
        <v>59</v>
      </c>
      <c r="E526" s="12" t="s">
        <v>3179</v>
      </c>
      <c r="F526" s="12" t="s">
        <v>1091</v>
      </c>
      <c r="G526" s="12" t="s">
        <v>5114</v>
      </c>
      <c r="H526" s="12" t="s">
        <v>1263</v>
      </c>
      <c r="I526" s="84">
        <v>2600115</v>
      </c>
      <c r="J526" s="12" t="s">
        <v>1215</v>
      </c>
      <c r="L526" s="12" t="str">
        <f>IF(OR(ISBLANK(tblSites[[#This Row],[Implementing Partner]]), tblSites[[#This Row],[Implementing Partner]]="-"), tblSites[[#This Row],[Site Agency]], tblSites[[#This Row],[Implementing Partner]])</f>
        <v>UNRWA</v>
      </c>
      <c r="M526" s="12" t="s">
        <v>55</v>
      </c>
      <c r="N526" s="12" t="str">
        <f>tblSites[[#This Row],[FinalImplementingPartner]]</f>
        <v>UNRWA</v>
      </c>
    </row>
    <row r="527" spans="1:14" x14ac:dyDescent="0.25">
      <c r="A527" s="12" t="s">
        <v>1299</v>
      </c>
      <c r="B527" s="12" t="s">
        <v>1300</v>
      </c>
      <c r="D527" t="s">
        <v>59</v>
      </c>
      <c r="E527" s="12" t="s">
        <v>3179</v>
      </c>
      <c r="F527" s="12" t="s">
        <v>335</v>
      </c>
      <c r="G527" s="12" t="s">
        <v>5112</v>
      </c>
      <c r="H527" s="12" t="s">
        <v>1300</v>
      </c>
      <c r="I527" s="84">
        <v>2600122</v>
      </c>
      <c r="J527" s="12" t="s">
        <v>1215</v>
      </c>
      <c r="L527" s="12" t="str">
        <f>IF(OR(ISBLANK(tblSites[[#This Row],[Implementing Partner]]), tblSites[[#This Row],[Implementing Partner]]="-"), tblSites[[#This Row],[Site Agency]], tblSites[[#This Row],[Implementing Partner]])</f>
        <v>UNRWA</v>
      </c>
      <c r="M527" s="12" t="s">
        <v>55</v>
      </c>
      <c r="N527" s="12" t="str">
        <f>tblSites[[#This Row],[FinalImplementingPartner]]</f>
        <v>UNRWA</v>
      </c>
    </row>
    <row r="528" spans="1:14" x14ac:dyDescent="0.25">
      <c r="A528" s="12" t="s">
        <v>901</v>
      </c>
      <c r="B528" s="12" t="s">
        <v>902</v>
      </c>
      <c r="C528" s="12" t="s">
        <v>903</v>
      </c>
      <c r="D528" t="s">
        <v>59</v>
      </c>
      <c r="E528" s="12" t="s">
        <v>3179</v>
      </c>
      <c r="F528" s="12" t="s">
        <v>67</v>
      </c>
      <c r="G528" s="12" t="s">
        <v>5399</v>
      </c>
      <c r="H528" s="12" t="s">
        <v>902</v>
      </c>
      <c r="I528" s="84">
        <v>2600118</v>
      </c>
      <c r="J528" s="12" t="s">
        <v>7</v>
      </c>
      <c r="L528" s="12" t="str">
        <f>IF(OR(ISBLANK(tblSites[[#This Row],[Implementing Partner]]), tblSites[[#This Row],[Implementing Partner]]="-"), tblSites[[#This Row],[Site Agency]], tblSites[[#This Row],[Implementing Partner]])</f>
        <v>ACTED</v>
      </c>
      <c r="M528" s="12" t="s">
        <v>55</v>
      </c>
      <c r="N528" s="12" t="str">
        <f>tblSites[[#This Row],[FinalImplementingPartner]]</f>
        <v>ACTED</v>
      </c>
    </row>
    <row r="529" spans="1:14" x14ac:dyDescent="0.25">
      <c r="A529" s="12" t="s">
        <v>2236</v>
      </c>
      <c r="B529" s="12" t="s">
        <v>2237</v>
      </c>
      <c r="C529" s="12" t="s">
        <v>2238</v>
      </c>
      <c r="D529" t="s">
        <v>59</v>
      </c>
      <c r="E529" s="12" t="s">
        <v>3179</v>
      </c>
      <c r="F529" s="12" t="s">
        <v>1689</v>
      </c>
      <c r="G529" s="12" t="s">
        <v>5121</v>
      </c>
      <c r="H529" s="12" t="s">
        <v>2237</v>
      </c>
      <c r="I529" s="84">
        <v>2600121</v>
      </c>
      <c r="J529" s="12" t="s">
        <v>5102</v>
      </c>
      <c r="L529" s="12" t="str">
        <f>IF(OR(ISBLANK(tblSites[[#This Row],[Implementing Partner]]), tblSites[[#This Row],[Implementing Partner]]="-"), tblSites[[#This Row],[Site Agency]], tblSites[[#This Row],[Implementing Partner]])</f>
        <v>No SMA</v>
      </c>
      <c r="M529" s="12" t="s">
        <v>55</v>
      </c>
      <c r="N529" s="12" t="str">
        <f>tblSites[[#This Row],[FinalImplementingPartner]]</f>
        <v>No SMA</v>
      </c>
    </row>
    <row r="530" spans="1:14" x14ac:dyDescent="0.25">
      <c r="A530" s="12" t="s">
        <v>1808</v>
      </c>
      <c r="B530" s="12" t="s">
        <v>1809</v>
      </c>
      <c r="C530" s="12" t="s">
        <v>1810</v>
      </c>
      <c r="D530" t="s">
        <v>59</v>
      </c>
      <c r="E530" s="12" t="s">
        <v>3179</v>
      </c>
      <c r="F530" s="12" t="s">
        <v>67</v>
      </c>
      <c r="G530" s="12" t="s">
        <v>5109</v>
      </c>
      <c r="H530" s="12" t="s">
        <v>1809</v>
      </c>
      <c r="I530" s="84">
        <v>2600118</v>
      </c>
      <c r="J530" s="12" t="s">
        <v>5102</v>
      </c>
      <c r="L530" s="12" t="str">
        <f>IF(OR(ISBLANK(tblSites[[#This Row],[Implementing Partner]]), tblSites[[#This Row],[Implementing Partner]]="-"), tblSites[[#This Row],[Site Agency]], tblSites[[#This Row],[Implementing Partner]])</f>
        <v>No SMA</v>
      </c>
      <c r="M530" s="12" t="s">
        <v>55</v>
      </c>
      <c r="N530" s="12" t="str">
        <f>tblSites[[#This Row],[FinalImplementingPartner]]</f>
        <v>No SMA</v>
      </c>
    </row>
    <row r="531" spans="1:14" x14ac:dyDescent="0.25">
      <c r="A531" s="12" t="s">
        <v>2187</v>
      </c>
      <c r="B531" s="12" t="s">
        <v>2188</v>
      </c>
      <c r="C531" s="12" t="s">
        <v>2189</v>
      </c>
      <c r="D531" t="s">
        <v>59</v>
      </c>
      <c r="E531" s="12" t="s">
        <v>3179</v>
      </c>
      <c r="F531" s="12" t="s">
        <v>114</v>
      </c>
      <c r="G531" s="12" t="s">
        <v>5122</v>
      </c>
      <c r="H531" s="12" t="s">
        <v>2188</v>
      </c>
      <c r="I531" s="84">
        <v>2600123</v>
      </c>
      <c r="J531" s="12" t="s">
        <v>5102</v>
      </c>
      <c r="L531" s="12" t="str">
        <f>IF(OR(ISBLANK(tblSites[[#This Row],[Implementing Partner]]), tblSites[[#This Row],[Implementing Partner]]="-"), tblSites[[#This Row],[Site Agency]], tblSites[[#This Row],[Implementing Partner]])</f>
        <v>No SMA</v>
      </c>
      <c r="M531" s="12" t="s">
        <v>55</v>
      </c>
      <c r="N531" s="12" t="str">
        <f>tblSites[[#This Row],[FinalImplementingPartner]]</f>
        <v>No SMA</v>
      </c>
    </row>
    <row r="532" spans="1:14" x14ac:dyDescent="0.25">
      <c r="A532" s="12" t="s">
        <v>1950</v>
      </c>
      <c r="B532" s="12" t="s">
        <v>1951</v>
      </c>
      <c r="C532" s="12" t="s">
        <v>1952</v>
      </c>
      <c r="D532" t="s">
        <v>59</v>
      </c>
      <c r="E532" s="12" t="s">
        <v>3179</v>
      </c>
      <c r="F532" s="12" t="s">
        <v>67</v>
      </c>
      <c r="G532" s="12" t="s">
        <v>5111</v>
      </c>
      <c r="H532" s="12" t="s">
        <v>1951</v>
      </c>
      <c r="I532" s="84">
        <v>2600118</v>
      </c>
      <c r="J532" s="12" t="s">
        <v>1215</v>
      </c>
      <c r="L532" s="12" t="str">
        <f>IF(OR(ISBLANK(tblSites[[#This Row],[Implementing Partner]]), tblSites[[#This Row],[Implementing Partner]]="-"), tblSites[[#This Row],[Site Agency]], tblSites[[#This Row],[Implementing Partner]])</f>
        <v>UNRWA</v>
      </c>
      <c r="M532" s="12" t="s">
        <v>55</v>
      </c>
      <c r="N532" s="12" t="str">
        <f>tblSites[[#This Row],[FinalImplementingPartner]]</f>
        <v>UNRWA</v>
      </c>
    </row>
    <row r="533" spans="1:14" x14ac:dyDescent="0.25">
      <c r="A533" s="12" t="s">
        <v>926</v>
      </c>
      <c r="B533" s="12" t="s">
        <v>927</v>
      </c>
      <c r="C533" s="12" t="s">
        <v>928</v>
      </c>
      <c r="D533" t="s">
        <v>59</v>
      </c>
      <c r="E533" s="12" t="s">
        <v>3179</v>
      </c>
      <c r="F533" s="12" t="s">
        <v>67</v>
      </c>
      <c r="G533" s="12" t="s">
        <v>5109</v>
      </c>
      <c r="H533" s="12" t="s">
        <v>927</v>
      </c>
      <c r="I533" s="84">
        <v>2600118</v>
      </c>
      <c r="J533" s="12" t="s">
        <v>5102</v>
      </c>
      <c r="L533" s="12" t="str">
        <f>IF(OR(ISBLANK(tblSites[[#This Row],[Implementing Partner]]), tblSites[[#This Row],[Implementing Partner]]="-"), tblSites[[#This Row],[Site Agency]], tblSites[[#This Row],[Implementing Partner]])</f>
        <v>No SMA</v>
      </c>
      <c r="M533" s="12" t="s">
        <v>55</v>
      </c>
      <c r="N533" s="12" t="str">
        <f>tblSites[[#This Row],[FinalImplementingPartner]]</f>
        <v>No SMA</v>
      </c>
    </row>
    <row r="534" spans="1:14" x14ac:dyDescent="0.25">
      <c r="A534" s="12" t="s">
        <v>2239</v>
      </c>
      <c r="B534" s="12" t="s">
        <v>4126</v>
      </c>
      <c r="C534" s="12" t="s">
        <v>4705</v>
      </c>
      <c r="D534" t="s">
        <v>59</v>
      </c>
      <c r="E534" s="12" t="s">
        <v>3179</v>
      </c>
      <c r="F534" s="12" t="s">
        <v>1689</v>
      </c>
      <c r="G534" s="12" t="s">
        <v>5121</v>
      </c>
      <c r="H534" s="12" t="s">
        <v>4126</v>
      </c>
      <c r="I534" s="84">
        <v>2600121</v>
      </c>
      <c r="J534" s="12" t="s">
        <v>5102</v>
      </c>
      <c r="L534" s="12" t="str">
        <f>IF(OR(ISBLANK(tblSites[[#This Row],[Implementing Partner]]), tblSites[[#This Row],[Implementing Partner]]="-"), tblSites[[#This Row],[Site Agency]], tblSites[[#This Row],[Implementing Partner]])</f>
        <v>No SMA</v>
      </c>
      <c r="M534" s="12" t="s">
        <v>55</v>
      </c>
      <c r="N534" s="12" t="str">
        <f>tblSites[[#This Row],[FinalImplementingPartner]]</f>
        <v>No SMA</v>
      </c>
    </row>
    <row r="535" spans="1:14" x14ac:dyDescent="0.25">
      <c r="A535" s="12" t="s">
        <v>2158</v>
      </c>
      <c r="B535" s="12" t="s">
        <v>2159</v>
      </c>
      <c r="C535" s="12" t="s">
        <v>5281</v>
      </c>
      <c r="D535" t="s">
        <v>59</v>
      </c>
      <c r="E535" s="12" t="s">
        <v>3179</v>
      </c>
      <c r="F535" s="12" t="s">
        <v>114</v>
      </c>
      <c r="G535" s="12" t="s">
        <v>5122</v>
      </c>
      <c r="H535" s="12" t="s">
        <v>2159</v>
      </c>
      <c r="I535" s="84">
        <v>2600123</v>
      </c>
      <c r="J535" s="12" t="s">
        <v>5102</v>
      </c>
      <c r="L535" s="12" t="str">
        <f>IF(OR(ISBLANK(tblSites[[#This Row],[Implementing Partner]]), tblSites[[#This Row],[Implementing Partner]]="-"), tblSites[[#This Row],[Site Agency]], tblSites[[#This Row],[Implementing Partner]])</f>
        <v>No SMA</v>
      </c>
      <c r="M535" s="12" t="s">
        <v>55</v>
      </c>
      <c r="N535" s="12" t="str">
        <f>tblSites[[#This Row],[FinalImplementingPartner]]</f>
        <v>No SMA</v>
      </c>
    </row>
    <row r="536" spans="1:14" x14ac:dyDescent="0.25">
      <c r="A536" s="12" t="s">
        <v>2166</v>
      </c>
      <c r="B536" s="12" t="s">
        <v>2167</v>
      </c>
      <c r="C536" s="12" t="s">
        <v>2168</v>
      </c>
      <c r="D536" t="s">
        <v>59</v>
      </c>
      <c r="E536" s="12" t="s">
        <v>3179</v>
      </c>
      <c r="F536" s="12" t="s">
        <v>114</v>
      </c>
      <c r="G536" s="12" t="s">
        <v>5122</v>
      </c>
      <c r="H536" s="12" t="s">
        <v>2167</v>
      </c>
      <c r="I536" s="84">
        <v>2600123</v>
      </c>
      <c r="J536" s="12" t="s">
        <v>5102</v>
      </c>
      <c r="L536" s="12" t="str">
        <f>IF(OR(ISBLANK(tblSites[[#This Row],[Implementing Partner]]), tblSites[[#This Row],[Implementing Partner]]="-"), tblSites[[#This Row],[Site Agency]], tblSites[[#This Row],[Implementing Partner]])</f>
        <v>No SMA</v>
      </c>
      <c r="M536" s="12" t="s">
        <v>55</v>
      </c>
      <c r="N536" s="12" t="str">
        <f>tblSites[[#This Row],[FinalImplementingPartner]]</f>
        <v>No SMA</v>
      </c>
    </row>
    <row r="537" spans="1:14" x14ac:dyDescent="0.25">
      <c r="A537" s="12" t="s">
        <v>450</v>
      </c>
      <c r="B537" s="12" t="s">
        <v>451</v>
      </c>
      <c r="C537" s="12" t="s">
        <v>452</v>
      </c>
      <c r="D537" t="s">
        <v>59</v>
      </c>
      <c r="E537" s="12" t="s">
        <v>3179</v>
      </c>
      <c r="F537" s="12" t="s">
        <v>67</v>
      </c>
      <c r="G537" s="12" t="s">
        <v>5108</v>
      </c>
      <c r="H537" s="12" t="s">
        <v>451</v>
      </c>
      <c r="I537" s="84">
        <v>2600118</v>
      </c>
      <c r="J537" s="12" t="s">
        <v>5</v>
      </c>
      <c r="K537" s="12" t="s">
        <v>83</v>
      </c>
      <c r="L537" s="12" t="str">
        <f>IF(OR(ISBLANK(tblSites[[#This Row],[Implementing Partner]]), tblSites[[#This Row],[Implementing Partner]]="-"), tblSites[[#This Row],[Site Agency]], tblSites[[#This Row],[Implementing Partner]])</f>
        <v>CESVI</v>
      </c>
      <c r="M537" s="12" t="s">
        <v>55</v>
      </c>
      <c r="N537" s="12" t="str">
        <f>tblSites[[#This Row],[FinalImplementingPartner]]</f>
        <v>CESVI</v>
      </c>
    </row>
    <row r="538" spans="1:14" x14ac:dyDescent="0.25">
      <c r="A538" s="12" t="s">
        <v>962</v>
      </c>
      <c r="B538" s="12" t="s">
        <v>963</v>
      </c>
      <c r="C538" s="12" t="s">
        <v>964</v>
      </c>
      <c r="D538" t="s">
        <v>59</v>
      </c>
      <c r="E538" s="12" t="s">
        <v>3179</v>
      </c>
      <c r="F538" s="12" t="s">
        <v>67</v>
      </c>
      <c r="G538" s="12" t="s">
        <v>5109</v>
      </c>
      <c r="H538" s="12" t="s">
        <v>963</v>
      </c>
      <c r="I538" s="84">
        <v>2600118</v>
      </c>
      <c r="J538" s="12" t="s">
        <v>5102</v>
      </c>
      <c r="L538" s="12" t="str">
        <f>IF(OR(ISBLANK(tblSites[[#This Row],[Implementing Partner]]), tblSites[[#This Row],[Implementing Partner]]="-"), tblSites[[#This Row],[Site Agency]], tblSites[[#This Row],[Implementing Partner]])</f>
        <v>No SMA</v>
      </c>
      <c r="M538" s="12" t="s">
        <v>55</v>
      </c>
      <c r="N538" s="12" t="str">
        <f>tblSites[[#This Row],[FinalImplementingPartner]]</f>
        <v>No SMA</v>
      </c>
    </row>
    <row r="539" spans="1:14" x14ac:dyDescent="0.25">
      <c r="A539" s="12" t="s">
        <v>1859</v>
      </c>
      <c r="B539" s="12" t="s">
        <v>1860</v>
      </c>
      <c r="C539" s="12" t="s">
        <v>1861</v>
      </c>
      <c r="D539" t="s">
        <v>59</v>
      </c>
      <c r="E539" s="12" t="s">
        <v>3179</v>
      </c>
      <c r="F539" s="12" t="s">
        <v>67</v>
      </c>
      <c r="G539" s="12" t="s">
        <v>5109</v>
      </c>
      <c r="H539" s="12" t="s">
        <v>1860</v>
      </c>
      <c r="I539" s="84">
        <v>2600118</v>
      </c>
      <c r="J539" s="12" t="s">
        <v>5102</v>
      </c>
      <c r="L539" s="12" t="str">
        <f>IF(OR(ISBLANK(tblSites[[#This Row],[Implementing Partner]]), tblSites[[#This Row],[Implementing Partner]]="-"), tblSites[[#This Row],[Site Agency]], tblSites[[#This Row],[Implementing Partner]])</f>
        <v>No SMA</v>
      </c>
      <c r="M539" s="12" t="s">
        <v>55</v>
      </c>
      <c r="N539" s="12" t="str">
        <f>tblSites[[#This Row],[FinalImplementingPartner]]</f>
        <v>No SMA</v>
      </c>
    </row>
    <row r="540" spans="1:14" x14ac:dyDescent="0.25">
      <c r="A540" s="12" t="s">
        <v>1282</v>
      </c>
      <c r="B540" s="12" t="s">
        <v>1283</v>
      </c>
      <c r="D540" t="s">
        <v>59</v>
      </c>
      <c r="E540" s="12" t="s">
        <v>3179</v>
      </c>
      <c r="F540" s="12" t="s">
        <v>60</v>
      </c>
      <c r="G540" s="12" t="s">
        <v>5116</v>
      </c>
      <c r="H540" s="12" t="s">
        <v>1283</v>
      </c>
      <c r="I540" s="84">
        <v>2600119</v>
      </c>
      <c r="J540" s="12" t="s">
        <v>1215</v>
      </c>
      <c r="L540" s="12" t="str">
        <f>IF(OR(ISBLANK(tblSites[[#This Row],[Implementing Partner]]), tblSites[[#This Row],[Implementing Partner]]="-"), tblSites[[#This Row],[Site Agency]], tblSites[[#This Row],[Implementing Partner]])</f>
        <v>UNRWA</v>
      </c>
      <c r="M540" s="12" t="s">
        <v>55</v>
      </c>
      <c r="N540" s="12" t="str">
        <f>tblSites[[#This Row],[FinalImplementingPartner]]</f>
        <v>UNRWA</v>
      </c>
    </row>
    <row r="541" spans="1:14" x14ac:dyDescent="0.25">
      <c r="A541" s="12" t="s">
        <v>1301</v>
      </c>
      <c r="B541" s="12" t="s">
        <v>1302</v>
      </c>
      <c r="D541" t="s">
        <v>59</v>
      </c>
      <c r="E541" s="12" t="s">
        <v>3179</v>
      </c>
      <c r="F541" s="12" t="s">
        <v>67</v>
      </c>
      <c r="G541" s="12" t="s">
        <v>5111</v>
      </c>
      <c r="H541" s="12" t="s">
        <v>1302</v>
      </c>
      <c r="I541" s="84">
        <v>2600118</v>
      </c>
      <c r="J541" s="12" t="s">
        <v>1215</v>
      </c>
      <c r="L541" s="12" t="str">
        <f>IF(OR(ISBLANK(tblSites[[#This Row],[Implementing Partner]]), tblSites[[#This Row],[Implementing Partner]]="-"), tblSites[[#This Row],[Site Agency]], tblSites[[#This Row],[Implementing Partner]])</f>
        <v>UNRWA</v>
      </c>
      <c r="M541" s="12" t="s">
        <v>55</v>
      </c>
      <c r="N541" s="12" t="str">
        <f>tblSites[[#This Row],[FinalImplementingPartner]]</f>
        <v>UNRWA</v>
      </c>
    </row>
    <row r="542" spans="1:14" x14ac:dyDescent="0.25">
      <c r="A542" s="12" t="s">
        <v>1315</v>
      </c>
      <c r="B542" s="12" t="s">
        <v>1316</v>
      </c>
      <c r="D542" t="s">
        <v>59</v>
      </c>
      <c r="E542" s="12" t="s">
        <v>3179</v>
      </c>
      <c r="F542" s="12" t="s">
        <v>67</v>
      </c>
      <c r="G542" s="12" t="s">
        <v>5111</v>
      </c>
      <c r="H542" s="12" t="s">
        <v>1316</v>
      </c>
      <c r="I542" s="84">
        <v>2600118</v>
      </c>
      <c r="J542" s="12" t="s">
        <v>1215</v>
      </c>
      <c r="L542" s="12" t="str">
        <f>IF(OR(ISBLANK(tblSites[[#This Row],[Implementing Partner]]), tblSites[[#This Row],[Implementing Partner]]="-"), tblSites[[#This Row],[Site Agency]], tblSites[[#This Row],[Implementing Partner]])</f>
        <v>UNRWA</v>
      </c>
      <c r="M542" s="12" t="s">
        <v>55</v>
      </c>
      <c r="N542" s="12" t="str">
        <f>tblSites[[#This Row],[FinalImplementingPartner]]</f>
        <v>UNRWA</v>
      </c>
    </row>
    <row r="543" spans="1:14" x14ac:dyDescent="0.25">
      <c r="A543" s="12" t="s">
        <v>1317</v>
      </c>
      <c r="B543" s="12" t="s">
        <v>1318</v>
      </c>
      <c r="D543" t="s">
        <v>59</v>
      </c>
      <c r="E543" s="12" t="s">
        <v>3179</v>
      </c>
      <c r="F543" s="12" t="s">
        <v>1305</v>
      </c>
      <c r="G543" s="12" t="s">
        <v>5110</v>
      </c>
      <c r="H543" s="12" t="s">
        <v>1318</v>
      </c>
      <c r="I543" s="84">
        <v>26002181</v>
      </c>
      <c r="J543" s="12" t="s">
        <v>1215</v>
      </c>
      <c r="L543" s="12" t="str">
        <f>IF(OR(ISBLANK(tblSites[[#This Row],[Implementing Partner]]), tblSites[[#This Row],[Implementing Partner]]="-"), tblSites[[#This Row],[Site Agency]], tblSites[[#This Row],[Implementing Partner]])</f>
        <v>UNRWA</v>
      </c>
      <c r="M543" s="12" t="s">
        <v>55</v>
      </c>
      <c r="N543" s="12" t="str">
        <f>tblSites[[#This Row],[FinalImplementingPartner]]</f>
        <v>UNRWA</v>
      </c>
    </row>
    <row r="544" spans="1:14" x14ac:dyDescent="0.25">
      <c r="A544" s="12" t="s">
        <v>1319</v>
      </c>
      <c r="B544" s="12" t="s">
        <v>1320</v>
      </c>
      <c r="D544" t="s">
        <v>59</v>
      </c>
      <c r="E544" s="12" t="s">
        <v>3179</v>
      </c>
      <c r="F544" s="12" t="s">
        <v>114</v>
      </c>
      <c r="G544" s="12" t="s">
        <v>5113</v>
      </c>
      <c r="H544" s="12" t="s">
        <v>1320</v>
      </c>
      <c r="I544" s="84">
        <v>2600123</v>
      </c>
      <c r="J544" s="12" t="s">
        <v>1215</v>
      </c>
      <c r="L544" s="12" t="str">
        <f>IF(OR(ISBLANK(tblSites[[#This Row],[Implementing Partner]]), tblSites[[#This Row],[Implementing Partner]]="-"), tblSites[[#This Row],[Site Agency]], tblSites[[#This Row],[Implementing Partner]])</f>
        <v>UNRWA</v>
      </c>
      <c r="M544" s="12" t="s">
        <v>55</v>
      </c>
      <c r="N544" s="12" t="str">
        <f>tblSites[[#This Row],[FinalImplementingPartner]]</f>
        <v>UNRWA</v>
      </c>
    </row>
    <row r="545" spans="1:14" x14ac:dyDescent="0.25">
      <c r="A545" s="12" t="s">
        <v>1321</v>
      </c>
      <c r="B545" s="12" t="s">
        <v>1322</v>
      </c>
      <c r="D545" t="s">
        <v>59</v>
      </c>
      <c r="E545" s="12" t="s">
        <v>3179</v>
      </c>
      <c r="F545" s="12" t="s">
        <v>67</v>
      </c>
      <c r="G545" s="12" t="s">
        <v>5111</v>
      </c>
      <c r="H545" s="12" t="s">
        <v>1322</v>
      </c>
      <c r="I545" s="84">
        <v>2600118</v>
      </c>
      <c r="J545" s="12" t="s">
        <v>1215</v>
      </c>
      <c r="L545" s="12" t="str">
        <f>IF(OR(ISBLANK(tblSites[[#This Row],[Implementing Partner]]), tblSites[[#This Row],[Implementing Partner]]="-"), tblSites[[#This Row],[Site Agency]], tblSites[[#This Row],[Implementing Partner]])</f>
        <v>UNRWA</v>
      </c>
      <c r="M545" s="12" t="s">
        <v>55</v>
      </c>
      <c r="N545" s="12" t="str">
        <f>tblSites[[#This Row],[FinalImplementingPartner]]</f>
        <v>UNRWA</v>
      </c>
    </row>
    <row r="546" spans="1:14" x14ac:dyDescent="0.25">
      <c r="A546" s="12" t="s">
        <v>1323</v>
      </c>
      <c r="B546" s="12" t="s">
        <v>1324</v>
      </c>
      <c r="C546" s="12" t="s">
        <v>389</v>
      </c>
      <c r="D546" t="s">
        <v>59</v>
      </c>
      <c r="E546" s="12" t="s">
        <v>3179</v>
      </c>
      <c r="F546" s="12" t="s">
        <v>67</v>
      </c>
      <c r="G546" s="12" t="s">
        <v>5111</v>
      </c>
      <c r="H546" s="12" t="s">
        <v>1324</v>
      </c>
      <c r="I546" s="84">
        <v>2600118</v>
      </c>
      <c r="J546" s="12" t="s">
        <v>1215</v>
      </c>
      <c r="L546" s="12" t="str">
        <f>IF(OR(ISBLANK(tblSites[[#This Row],[Implementing Partner]]), tblSites[[#This Row],[Implementing Partner]]="-"), tblSites[[#This Row],[Site Agency]], tblSites[[#This Row],[Implementing Partner]])</f>
        <v>UNRWA</v>
      </c>
      <c r="M546" s="12" t="s">
        <v>55</v>
      </c>
      <c r="N546" s="12" t="str">
        <f>tblSites[[#This Row],[FinalImplementingPartner]]</f>
        <v>UNRWA</v>
      </c>
    </row>
    <row r="547" spans="1:14" x14ac:dyDescent="0.25">
      <c r="A547" s="12" t="s">
        <v>1761</v>
      </c>
      <c r="B547" s="12" t="s">
        <v>1762</v>
      </c>
      <c r="C547" s="12" t="s">
        <v>1763</v>
      </c>
      <c r="D547" t="s">
        <v>59</v>
      </c>
      <c r="E547" s="12" t="s">
        <v>3179</v>
      </c>
      <c r="F547" s="12" t="s">
        <v>1091</v>
      </c>
      <c r="G547" s="12" t="s">
        <v>5120</v>
      </c>
      <c r="H547" s="12" t="s">
        <v>1762</v>
      </c>
      <c r="I547" s="84">
        <v>2600115</v>
      </c>
      <c r="J547" s="12" t="s">
        <v>5102</v>
      </c>
      <c r="L547" s="12" t="str">
        <f>IF(OR(ISBLANK(tblSites[[#This Row],[Implementing Partner]]), tblSites[[#This Row],[Implementing Partner]]="-"), tblSites[[#This Row],[Site Agency]], tblSites[[#This Row],[Implementing Partner]])</f>
        <v>No SMA</v>
      </c>
      <c r="M547" s="12" t="s">
        <v>55</v>
      </c>
      <c r="N547" s="12" t="str">
        <f>tblSites[[#This Row],[FinalImplementingPartner]]</f>
        <v>No SMA</v>
      </c>
    </row>
    <row r="548" spans="1:14" x14ac:dyDescent="0.25">
      <c r="A548" s="12" t="s">
        <v>1326</v>
      </c>
      <c r="B548" s="12" t="s">
        <v>1327</v>
      </c>
      <c r="D548" t="s">
        <v>59</v>
      </c>
      <c r="E548" s="12" t="s">
        <v>3179</v>
      </c>
      <c r="F548" s="12" t="s">
        <v>67</v>
      </c>
      <c r="G548" s="12" t="s">
        <v>5111</v>
      </c>
      <c r="H548" s="12" t="s">
        <v>1327</v>
      </c>
      <c r="I548" s="84">
        <v>2600118</v>
      </c>
      <c r="J548" s="12" t="s">
        <v>1215</v>
      </c>
      <c r="L548" s="12" t="str">
        <f>IF(OR(ISBLANK(tblSites[[#This Row],[Implementing Partner]]), tblSites[[#This Row],[Implementing Partner]]="-"), tblSites[[#This Row],[Site Agency]], tblSites[[#This Row],[Implementing Partner]])</f>
        <v>UNRWA</v>
      </c>
      <c r="M548" s="12" t="s">
        <v>55</v>
      </c>
      <c r="N548" s="12" t="str">
        <f>tblSites[[#This Row],[FinalImplementingPartner]]</f>
        <v>UNRWA</v>
      </c>
    </row>
    <row r="549" spans="1:14" x14ac:dyDescent="0.25">
      <c r="A549" s="12" t="s">
        <v>1844</v>
      </c>
      <c r="B549" s="12" t="s">
        <v>1845</v>
      </c>
      <c r="C549" s="12" t="s">
        <v>1846</v>
      </c>
      <c r="D549" t="s">
        <v>59</v>
      </c>
      <c r="E549" s="12" t="s">
        <v>3179</v>
      </c>
      <c r="F549" s="12" t="s">
        <v>114</v>
      </c>
      <c r="G549" s="12" t="s">
        <v>5122</v>
      </c>
      <c r="H549" s="12" t="s">
        <v>1845</v>
      </c>
      <c r="I549" s="84">
        <v>2600123</v>
      </c>
      <c r="J549" s="12" t="s">
        <v>5102</v>
      </c>
      <c r="L549" s="12" t="str">
        <f>IF(OR(ISBLANK(tblSites[[#This Row],[Implementing Partner]]), tblSites[[#This Row],[Implementing Partner]]="-"), tblSites[[#This Row],[Site Agency]], tblSites[[#This Row],[Implementing Partner]])</f>
        <v>No SMA</v>
      </c>
      <c r="M549" s="12" t="s">
        <v>55</v>
      </c>
      <c r="N549" s="12" t="str">
        <f>tblSites[[#This Row],[FinalImplementingPartner]]</f>
        <v>No SMA</v>
      </c>
    </row>
    <row r="550" spans="1:14" x14ac:dyDescent="0.25">
      <c r="A550" s="12" t="s">
        <v>1703</v>
      </c>
      <c r="B550" s="12" t="s">
        <v>1704</v>
      </c>
      <c r="C550" s="12" t="s">
        <v>1705</v>
      </c>
      <c r="D550" t="s">
        <v>59</v>
      </c>
      <c r="E550" s="12" t="s">
        <v>3179</v>
      </c>
      <c r="F550" s="12" t="s">
        <v>1091</v>
      </c>
      <c r="G550" s="12" t="s">
        <v>5120</v>
      </c>
      <c r="H550" s="12" t="s">
        <v>1704</v>
      </c>
      <c r="I550" s="84">
        <v>2600115</v>
      </c>
      <c r="J550" s="12" t="s">
        <v>5102</v>
      </c>
      <c r="L550" s="12" t="str">
        <f>IF(OR(ISBLANK(tblSites[[#This Row],[Implementing Partner]]), tblSites[[#This Row],[Implementing Partner]]="-"), tblSites[[#This Row],[Site Agency]], tblSites[[#This Row],[Implementing Partner]])</f>
        <v>No SMA</v>
      </c>
      <c r="M550" s="12" t="s">
        <v>55</v>
      </c>
      <c r="N550" s="12" t="str">
        <f>tblSites[[#This Row],[FinalImplementingPartner]]</f>
        <v>No SMA</v>
      </c>
    </row>
    <row r="551" spans="1:14" x14ac:dyDescent="0.25">
      <c r="A551" s="12" t="s">
        <v>663</v>
      </c>
      <c r="B551" s="12" t="s">
        <v>664</v>
      </c>
      <c r="C551" s="12" t="s">
        <v>665</v>
      </c>
      <c r="D551" t="s">
        <v>59</v>
      </c>
      <c r="E551" s="12" t="s">
        <v>3179</v>
      </c>
      <c r="F551" s="12" t="s">
        <v>324</v>
      </c>
      <c r="G551" s="12" t="s">
        <v>5106</v>
      </c>
      <c r="H551" s="12" t="s">
        <v>664</v>
      </c>
      <c r="I551" s="84">
        <v>2600120</v>
      </c>
      <c r="J551" s="12" t="s">
        <v>34</v>
      </c>
      <c r="K551" s="12" t="s">
        <v>662</v>
      </c>
      <c r="L551" s="12" t="str">
        <f>IF(OR(ISBLANK(tblSites[[#This Row],[Implementing Partner]]), tblSites[[#This Row],[Implementing Partner]]="-"), tblSites[[#This Row],[Site Agency]], tblSites[[#This Row],[Implementing Partner]])</f>
        <v>PARC</v>
      </c>
      <c r="M551" s="12" t="s">
        <v>55</v>
      </c>
      <c r="N551" s="12" t="str">
        <f>tblSites[[#This Row],[FinalImplementingPartner]]</f>
        <v>PARC</v>
      </c>
    </row>
    <row r="552" spans="1:14" x14ac:dyDescent="0.25">
      <c r="A552" s="12" t="s">
        <v>1841</v>
      </c>
      <c r="B552" s="12" t="s">
        <v>1842</v>
      </c>
      <c r="C552" s="12" t="s">
        <v>1843</v>
      </c>
      <c r="D552" t="s">
        <v>59</v>
      </c>
      <c r="E552" s="12" t="s">
        <v>3179</v>
      </c>
      <c r="F552" s="12" t="s">
        <v>67</v>
      </c>
      <c r="G552" s="12" t="s">
        <v>5399</v>
      </c>
      <c r="H552" s="12" t="s">
        <v>1842</v>
      </c>
      <c r="I552" s="84">
        <v>2600118</v>
      </c>
      <c r="J552" s="12" t="s">
        <v>7</v>
      </c>
      <c r="L552" s="12" t="str">
        <f>IF(OR(ISBLANK(tblSites[[#This Row],[Implementing Partner]]), tblSites[[#This Row],[Implementing Partner]]="-"), tblSites[[#This Row],[Site Agency]], tblSites[[#This Row],[Implementing Partner]])</f>
        <v>ACTED</v>
      </c>
      <c r="M552" s="12" t="s">
        <v>55</v>
      </c>
      <c r="N552" s="12" t="str">
        <f>tblSites[[#This Row],[FinalImplementingPartner]]</f>
        <v>ACTED</v>
      </c>
    </row>
    <row r="553" spans="1:14" x14ac:dyDescent="0.25">
      <c r="A553" s="12" t="s">
        <v>959</v>
      </c>
      <c r="B553" s="12" t="s">
        <v>960</v>
      </c>
      <c r="C553" s="12" t="s">
        <v>961</v>
      </c>
      <c r="D553" t="s">
        <v>59</v>
      </c>
      <c r="E553" s="12" t="s">
        <v>3179</v>
      </c>
      <c r="F553" s="12" t="s">
        <v>67</v>
      </c>
      <c r="G553" s="12" t="s">
        <v>5109</v>
      </c>
      <c r="H553" s="12" t="s">
        <v>960</v>
      </c>
      <c r="I553" s="84">
        <v>2600118</v>
      </c>
      <c r="J553" s="12" t="s">
        <v>5102</v>
      </c>
      <c r="L553" s="12" t="str">
        <f>IF(OR(ISBLANK(tblSites[[#This Row],[Implementing Partner]]), tblSites[[#This Row],[Implementing Partner]]="-"), tblSites[[#This Row],[Site Agency]], tblSites[[#This Row],[Implementing Partner]])</f>
        <v>No SMA</v>
      </c>
      <c r="M553" s="12" t="s">
        <v>55</v>
      </c>
      <c r="N553" s="12" t="str">
        <f>tblSites[[#This Row],[FinalImplementingPartner]]</f>
        <v>No SMA</v>
      </c>
    </row>
    <row r="554" spans="1:14" x14ac:dyDescent="0.25">
      <c r="A554" s="12" t="s">
        <v>1677</v>
      </c>
      <c r="B554" s="12" t="s">
        <v>1678</v>
      </c>
      <c r="C554" s="12" t="s">
        <v>1679</v>
      </c>
      <c r="D554" t="s">
        <v>59</v>
      </c>
      <c r="E554" s="12" t="s">
        <v>3179</v>
      </c>
      <c r="F554" s="12" t="s">
        <v>67</v>
      </c>
      <c r="G554" s="12" t="s">
        <v>5399</v>
      </c>
      <c r="H554" s="12" t="s">
        <v>1678</v>
      </c>
      <c r="I554" s="84">
        <v>2600118</v>
      </c>
      <c r="J554" s="12" t="s">
        <v>7</v>
      </c>
      <c r="L554" s="12" t="str">
        <f>IF(OR(ISBLANK(tblSites[[#This Row],[Implementing Partner]]), tblSites[[#This Row],[Implementing Partner]]="-"), tblSites[[#This Row],[Site Agency]], tblSites[[#This Row],[Implementing Partner]])</f>
        <v>ACTED</v>
      </c>
      <c r="M554" s="12" t="s">
        <v>55</v>
      </c>
      <c r="N554" s="12" t="str">
        <f>tblSites[[#This Row],[FinalImplementingPartner]]</f>
        <v>ACTED</v>
      </c>
    </row>
    <row r="555" spans="1:14" x14ac:dyDescent="0.25">
      <c r="A555" s="12" t="s">
        <v>84</v>
      </c>
      <c r="B555" s="12" t="s">
        <v>85</v>
      </c>
      <c r="C555" s="12" t="s">
        <v>86</v>
      </c>
      <c r="D555" t="s">
        <v>59</v>
      </c>
      <c r="E555" s="12" t="s">
        <v>3179</v>
      </c>
      <c r="F555" s="12" t="s">
        <v>87</v>
      </c>
      <c r="G555" s="12" t="s">
        <v>5123</v>
      </c>
      <c r="H555" s="12" t="s">
        <v>85</v>
      </c>
      <c r="I555" s="84">
        <v>2600114</v>
      </c>
      <c r="J555" s="12" t="s">
        <v>5</v>
      </c>
      <c r="K555" s="12" t="s">
        <v>54</v>
      </c>
      <c r="L555" s="12" t="str">
        <f>IF(OR(ISBLANK(tblSites[[#This Row],[Implementing Partner]]), tblSites[[#This Row],[Implementing Partner]]="-"), tblSites[[#This Row],[Site Agency]], tblSites[[#This Row],[Implementing Partner]])</f>
        <v>PHC</v>
      </c>
      <c r="M555" s="12" t="s">
        <v>55</v>
      </c>
      <c r="N555" s="12" t="str">
        <f>tblSites[[#This Row],[FinalImplementingPartner]]</f>
        <v>PHC</v>
      </c>
    </row>
    <row r="556" spans="1:14" x14ac:dyDescent="0.25">
      <c r="A556" s="12" t="s">
        <v>2839</v>
      </c>
      <c r="B556" s="12" t="s">
        <v>2840</v>
      </c>
      <c r="C556" s="12" t="s">
        <v>2841</v>
      </c>
      <c r="D556" t="s">
        <v>59</v>
      </c>
      <c r="E556" s="12" t="s">
        <v>3179</v>
      </c>
      <c r="F556" s="12" t="s">
        <v>1091</v>
      </c>
      <c r="G556" s="12" t="s">
        <v>5120</v>
      </c>
      <c r="H556" s="12" t="s">
        <v>2840</v>
      </c>
      <c r="I556" s="84">
        <v>2600115</v>
      </c>
      <c r="J556" s="12" t="s">
        <v>5102</v>
      </c>
      <c r="L556" s="12" t="str">
        <f>IF(OR(ISBLANK(tblSites[[#This Row],[Implementing Partner]]), tblSites[[#This Row],[Implementing Partner]]="-"), tblSites[[#This Row],[Site Agency]], tblSites[[#This Row],[Implementing Partner]])</f>
        <v>No SMA</v>
      </c>
      <c r="M556" s="12" t="s">
        <v>55</v>
      </c>
      <c r="N556" s="12" t="str">
        <f>tblSites[[#This Row],[FinalImplementingPartner]]</f>
        <v>No SMA</v>
      </c>
    </row>
    <row r="557" spans="1:14" x14ac:dyDescent="0.25">
      <c r="A557" s="12" t="s">
        <v>111</v>
      </c>
      <c r="B557" s="12" t="s">
        <v>112</v>
      </c>
      <c r="C557" s="12" t="s">
        <v>113</v>
      </c>
      <c r="D557" t="s">
        <v>59</v>
      </c>
      <c r="E557" s="12" t="s">
        <v>3179</v>
      </c>
      <c r="F557" s="12" t="s">
        <v>114</v>
      </c>
      <c r="G557" s="12" t="s">
        <v>5124</v>
      </c>
      <c r="H557" s="12" t="s">
        <v>112</v>
      </c>
      <c r="I557" s="84">
        <v>2600123</v>
      </c>
      <c r="J557" s="12" t="s">
        <v>5</v>
      </c>
      <c r="K557" s="12" t="s">
        <v>54</v>
      </c>
      <c r="L557" s="12" t="str">
        <f>IF(OR(ISBLANK(tblSites[[#This Row],[Implementing Partner]]), tblSites[[#This Row],[Implementing Partner]]="-"), tblSites[[#This Row],[Site Agency]], tblSites[[#This Row],[Implementing Partner]])</f>
        <v>PHC</v>
      </c>
      <c r="M557" s="12" t="s">
        <v>55</v>
      </c>
      <c r="N557" s="12" t="str">
        <f>tblSites[[#This Row],[FinalImplementingPartner]]</f>
        <v>PHC</v>
      </c>
    </row>
    <row r="558" spans="1:14" x14ac:dyDescent="0.25">
      <c r="A558" s="12" t="s">
        <v>64</v>
      </c>
      <c r="B558" s="12" t="s">
        <v>65</v>
      </c>
      <c r="C558" s="12" t="s">
        <v>66</v>
      </c>
      <c r="D558" t="s">
        <v>59</v>
      </c>
      <c r="E558" s="12" t="s">
        <v>3179</v>
      </c>
      <c r="F558" s="12" t="s">
        <v>67</v>
      </c>
      <c r="G558" s="12" t="s">
        <v>5125</v>
      </c>
      <c r="H558" s="12" t="s">
        <v>65</v>
      </c>
      <c r="I558" s="84">
        <v>2600118</v>
      </c>
      <c r="J558" s="12" t="s">
        <v>5</v>
      </c>
      <c r="K558" s="12" t="s">
        <v>54</v>
      </c>
      <c r="L558" s="12" t="str">
        <f>IF(OR(ISBLANK(tblSites[[#This Row],[Implementing Partner]]), tblSites[[#This Row],[Implementing Partner]]="-"), tblSites[[#This Row],[Site Agency]], tblSites[[#This Row],[Implementing Partner]])</f>
        <v>PHC</v>
      </c>
      <c r="M558" s="12" t="s">
        <v>55</v>
      </c>
      <c r="N558" s="12" t="str">
        <f>tblSites[[#This Row],[FinalImplementingPartner]]</f>
        <v>PHC</v>
      </c>
    </row>
    <row r="559" spans="1:14" x14ac:dyDescent="0.25">
      <c r="A559" s="12" t="s">
        <v>108</v>
      </c>
      <c r="B559" s="12" t="s">
        <v>109</v>
      </c>
      <c r="C559" s="12" t="s">
        <v>110</v>
      </c>
      <c r="D559" t="s">
        <v>59</v>
      </c>
      <c r="E559" s="12" t="s">
        <v>3179</v>
      </c>
      <c r="F559" s="12" t="s">
        <v>67</v>
      </c>
      <c r="G559" s="12" t="s">
        <v>5125</v>
      </c>
      <c r="H559" s="12" t="s">
        <v>109</v>
      </c>
      <c r="I559" s="84">
        <v>2600118</v>
      </c>
      <c r="J559" s="12" t="s">
        <v>5</v>
      </c>
      <c r="K559" s="12" t="s">
        <v>54</v>
      </c>
      <c r="L559" s="12" t="str">
        <f>IF(OR(ISBLANK(tblSites[[#This Row],[Implementing Partner]]), tblSites[[#This Row],[Implementing Partner]]="-"), tblSites[[#This Row],[Site Agency]], tblSites[[#This Row],[Implementing Partner]])</f>
        <v>PHC</v>
      </c>
      <c r="M559" s="12" t="s">
        <v>55</v>
      </c>
      <c r="N559" s="12" t="str">
        <f>tblSites[[#This Row],[FinalImplementingPartner]]</f>
        <v>PHC</v>
      </c>
    </row>
    <row r="560" spans="1:14" x14ac:dyDescent="0.25">
      <c r="A560" s="12" t="s">
        <v>2064</v>
      </c>
      <c r="B560" s="12" t="s">
        <v>2065</v>
      </c>
      <c r="C560" s="12" t="s">
        <v>5282</v>
      </c>
      <c r="D560" t="s">
        <v>59</v>
      </c>
      <c r="E560" s="12" t="s">
        <v>3179</v>
      </c>
      <c r="F560" s="12" t="s">
        <v>114</v>
      </c>
      <c r="G560" s="12" t="s">
        <v>5122</v>
      </c>
      <c r="H560" s="12" t="s">
        <v>2065</v>
      </c>
      <c r="I560" s="84">
        <v>2600123</v>
      </c>
      <c r="J560" s="12" t="s">
        <v>5102</v>
      </c>
      <c r="L560" s="12" t="str">
        <f>IF(OR(ISBLANK(tblSites[[#This Row],[Implementing Partner]]), tblSites[[#This Row],[Implementing Partner]]="-"), tblSites[[#This Row],[Site Agency]], tblSites[[#This Row],[Implementing Partner]])</f>
        <v>No SMA</v>
      </c>
      <c r="M560" s="12" t="s">
        <v>55</v>
      </c>
      <c r="N560" s="12" t="str">
        <f>tblSites[[#This Row],[FinalImplementingPartner]]</f>
        <v>No SMA</v>
      </c>
    </row>
    <row r="561" spans="1:14" x14ac:dyDescent="0.25">
      <c r="A561" s="12" t="s">
        <v>2325</v>
      </c>
      <c r="B561" s="12" t="s">
        <v>2326</v>
      </c>
      <c r="C561" s="12" t="s">
        <v>2327</v>
      </c>
      <c r="D561" t="s">
        <v>59</v>
      </c>
      <c r="E561" s="12" t="s">
        <v>3179</v>
      </c>
      <c r="F561" s="12" t="s">
        <v>397</v>
      </c>
      <c r="G561" s="12" t="s">
        <v>5105</v>
      </c>
      <c r="H561" s="12" t="s">
        <v>2326</v>
      </c>
      <c r="I561" s="84">
        <v>2600124</v>
      </c>
      <c r="J561" s="12" t="s">
        <v>5102</v>
      </c>
      <c r="L561" s="12" t="str">
        <f>IF(OR(ISBLANK(tblSites[[#This Row],[Implementing Partner]]), tblSites[[#This Row],[Implementing Partner]]="-"), tblSites[[#This Row],[Site Agency]], tblSites[[#This Row],[Implementing Partner]])</f>
        <v>No SMA</v>
      </c>
      <c r="M561" s="12" t="s">
        <v>55</v>
      </c>
      <c r="N561" s="12" t="str">
        <f>tblSites[[#This Row],[FinalImplementingPartner]]</f>
        <v>No SMA</v>
      </c>
    </row>
    <row r="562" spans="1:14" x14ac:dyDescent="0.25">
      <c r="A562" s="12" t="s">
        <v>1016</v>
      </c>
      <c r="B562" s="12" t="s">
        <v>1017</v>
      </c>
      <c r="C562" s="12" t="s">
        <v>1018</v>
      </c>
      <c r="D562" t="s">
        <v>59</v>
      </c>
      <c r="E562" s="12" t="s">
        <v>3179</v>
      </c>
      <c r="F562" s="12" t="s">
        <v>67</v>
      </c>
      <c r="G562" s="12" t="s">
        <v>5125</v>
      </c>
      <c r="H562" s="12" t="s">
        <v>1017</v>
      </c>
      <c r="I562" s="84">
        <v>2600118</v>
      </c>
      <c r="J562" s="12" t="s">
        <v>5</v>
      </c>
      <c r="K562" s="12" t="s">
        <v>54</v>
      </c>
      <c r="L562" s="12" t="str">
        <f>IF(OR(ISBLANK(tblSites[[#This Row],[Implementing Partner]]), tblSites[[#This Row],[Implementing Partner]]="-"), tblSites[[#This Row],[Site Agency]], tblSites[[#This Row],[Implementing Partner]])</f>
        <v>PHC</v>
      </c>
      <c r="M562" s="12" t="s">
        <v>55</v>
      </c>
      <c r="N562" s="12" t="str">
        <f>tblSites[[#This Row],[FinalImplementingPartner]]</f>
        <v>PHC</v>
      </c>
    </row>
    <row r="563" spans="1:14" x14ac:dyDescent="0.25">
      <c r="A563" s="12" t="s">
        <v>1189</v>
      </c>
      <c r="B563" s="12" t="s">
        <v>1190</v>
      </c>
      <c r="C563" s="12" t="s">
        <v>1191</v>
      </c>
      <c r="D563" t="s">
        <v>59</v>
      </c>
      <c r="E563" s="12" t="s">
        <v>3179</v>
      </c>
      <c r="F563" s="12" t="s">
        <v>87</v>
      </c>
      <c r="G563" s="12" t="s">
        <v>5123</v>
      </c>
      <c r="H563" s="12" t="s">
        <v>1190</v>
      </c>
      <c r="I563" s="84">
        <v>2600114</v>
      </c>
      <c r="J563" s="12" t="s">
        <v>54</v>
      </c>
      <c r="L563" s="12" t="str">
        <f>IF(OR(ISBLANK(tblSites[[#This Row],[Implementing Partner]]), tblSites[[#This Row],[Implementing Partner]]="-"), tblSites[[#This Row],[Site Agency]], tblSites[[#This Row],[Implementing Partner]])</f>
        <v>PHC</v>
      </c>
      <c r="M563" s="12" t="s">
        <v>55</v>
      </c>
      <c r="N563" s="12" t="str">
        <f>tblSites[[#This Row],[FinalImplementingPartner]]</f>
        <v>PHC</v>
      </c>
    </row>
    <row r="564" spans="1:14" x14ac:dyDescent="0.25">
      <c r="A564" s="12" t="s">
        <v>692</v>
      </c>
      <c r="B564" s="12" t="s">
        <v>693</v>
      </c>
      <c r="C564" s="12" t="s">
        <v>694</v>
      </c>
      <c r="D564" t="s">
        <v>59</v>
      </c>
      <c r="E564" s="12" t="s">
        <v>3179</v>
      </c>
      <c r="F564" s="12" t="s">
        <v>695</v>
      </c>
      <c r="G564" s="12" t="s">
        <v>5104</v>
      </c>
      <c r="H564" s="12" t="s">
        <v>693</v>
      </c>
      <c r="I564" s="84">
        <v>2600116</v>
      </c>
      <c r="J564" s="12" t="s">
        <v>5102</v>
      </c>
      <c r="K564" s="12" t="s">
        <v>389</v>
      </c>
      <c r="L564" s="12" t="str">
        <f>IF(OR(ISBLANK(tblSites[[#This Row],[Implementing Partner]]), tblSites[[#This Row],[Implementing Partner]]="-"), tblSites[[#This Row],[Site Agency]], tblSites[[#This Row],[Implementing Partner]])</f>
        <v>No SMA</v>
      </c>
      <c r="M564" s="12" t="s">
        <v>55</v>
      </c>
      <c r="N564" s="12" t="str">
        <f>tblSites[[#This Row],[FinalImplementingPartner]]</f>
        <v>No SMA</v>
      </c>
    </row>
    <row r="565" spans="1:14" x14ac:dyDescent="0.25">
      <c r="A565" s="12" t="s">
        <v>2051</v>
      </c>
      <c r="B565" s="12" t="s">
        <v>2052</v>
      </c>
      <c r="C565" s="12" t="s">
        <v>2053</v>
      </c>
      <c r="D565" t="s">
        <v>59</v>
      </c>
      <c r="E565" s="12" t="s">
        <v>3179</v>
      </c>
      <c r="F565" s="12" t="s">
        <v>695</v>
      </c>
      <c r="G565" s="12" t="s">
        <v>5104</v>
      </c>
      <c r="H565" s="12" t="s">
        <v>2052</v>
      </c>
      <c r="I565" s="84">
        <v>2600116</v>
      </c>
      <c r="J565" s="12" t="s">
        <v>5102</v>
      </c>
      <c r="L565" s="12" t="str">
        <f>IF(OR(ISBLANK(tblSites[[#This Row],[Implementing Partner]]), tblSites[[#This Row],[Implementing Partner]]="-"), tblSites[[#This Row],[Site Agency]], tblSites[[#This Row],[Implementing Partner]])</f>
        <v>No SMA</v>
      </c>
      <c r="M565" s="12" t="s">
        <v>55</v>
      </c>
      <c r="N565" s="12" t="str">
        <f>tblSites[[#This Row],[FinalImplementingPartner]]</f>
        <v>No SMA</v>
      </c>
    </row>
    <row r="566" spans="1:14" x14ac:dyDescent="0.25">
      <c r="A566" s="12" t="s">
        <v>1935</v>
      </c>
      <c r="B566" s="12" t="s">
        <v>1936</v>
      </c>
      <c r="C566" s="12" t="s">
        <v>1937</v>
      </c>
      <c r="D566" t="s">
        <v>59</v>
      </c>
      <c r="E566" s="12" t="s">
        <v>3179</v>
      </c>
      <c r="F566" s="12" t="s">
        <v>695</v>
      </c>
      <c r="G566" s="12" t="s">
        <v>5104</v>
      </c>
      <c r="H566" s="12" t="s">
        <v>1936</v>
      </c>
      <c r="I566" s="84">
        <v>2600116</v>
      </c>
      <c r="J566" s="12" t="s">
        <v>5102</v>
      </c>
      <c r="K566" s="12" t="s">
        <v>389</v>
      </c>
      <c r="L566" s="12" t="str">
        <f>IF(OR(ISBLANK(tblSites[[#This Row],[Implementing Partner]]), tblSites[[#This Row],[Implementing Partner]]="-"), tblSites[[#This Row],[Site Agency]], tblSites[[#This Row],[Implementing Partner]])</f>
        <v>No SMA</v>
      </c>
      <c r="M566" s="12" t="s">
        <v>55</v>
      </c>
      <c r="N566" s="12" t="str">
        <f>tblSites[[#This Row],[FinalImplementingPartner]]</f>
        <v>No SMA</v>
      </c>
    </row>
    <row r="567" spans="1:14" x14ac:dyDescent="0.25">
      <c r="A567" s="12" t="s">
        <v>1192</v>
      </c>
      <c r="B567" s="12" t="s">
        <v>1193</v>
      </c>
      <c r="C567" s="12" t="s">
        <v>1194</v>
      </c>
      <c r="D567" t="s">
        <v>59</v>
      </c>
      <c r="E567" s="12" t="s">
        <v>3179</v>
      </c>
      <c r="F567" s="12" t="s">
        <v>67</v>
      </c>
      <c r="G567" s="12" t="s">
        <v>5125</v>
      </c>
      <c r="H567" s="12" t="s">
        <v>1193</v>
      </c>
      <c r="I567" s="84">
        <v>2600118</v>
      </c>
      <c r="J567" s="12" t="s">
        <v>34</v>
      </c>
      <c r="K567" s="12" t="s">
        <v>54</v>
      </c>
      <c r="L567" s="12" t="str">
        <f>IF(OR(ISBLANK(tblSites[[#This Row],[Implementing Partner]]), tblSites[[#This Row],[Implementing Partner]]="-"), tblSites[[#This Row],[Site Agency]], tblSites[[#This Row],[Implementing Partner]])</f>
        <v>PHC</v>
      </c>
      <c r="M567" s="12" t="s">
        <v>55</v>
      </c>
      <c r="N567" s="12" t="str">
        <f>tblSites[[#This Row],[FinalImplementingPartner]]</f>
        <v>PHC</v>
      </c>
    </row>
    <row r="568" spans="1:14" x14ac:dyDescent="0.25">
      <c r="A568" s="12" t="s">
        <v>2055</v>
      </c>
      <c r="B568" s="12" t="s">
        <v>2056</v>
      </c>
      <c r="C568" s="12" t="s">
        <v>2057</v>
      </c>
      <c r="D568" t="s">
        <v>59</v>
      </c>
      <c r="E568" s="12" t="s">
        <v>3179</v>
      </c>
      <c r="F568" s="12" t="s">
        <v>324</v>
      </c>
      <c r="G568" s="12" t="s">
        <v>5118</v>
      </c>
      <c r="H568" s="12" t="s">
        <v>2056</v>
      </c>
      <c r="I568" s="84">
        <v>2600120</v>
      </c>
      <c r="J568" s="12" t="s">
        <v>5102</v>
      </c>
      <c r="L568" s="12" t="str">
        <f>IF(OR(ISBLANK(tblSites[[#This Row],[Implementing Partner]]), tblSites[[#This Row],[Implementing Partner]]="-"), tblSites[[#This Row],[Site Agency]], tblSites[[#This Row],[Implementing Partner]])</f>
        <v>No SMA</v>
      </c>
      <c r="M568" s="12" t="s">
        <v>55</v>
      </c>
      <c r="N568" s="12" t="str">
        <f>tblSites[[#This Row],[FinalImplementingPartner]]</f>
        <v>No SMA</v>
      </c>
    </row>
    <row r="569" spans="1:14" x14ac:dyDescent="0.25">
      <c r="A569" s="12" t="s">
        <v>1624</v>
      </c>
      <c r="B569" s="12" t="s">
        <v>1625</v>
      </c>
      <c r="C569" s="12" t="s">
        <v>1391</v>
      </c>
      <c r="D569" t="s">
        <v>59</v>
      </c>
      <c r="E569" s="12" t="s">
        <v>3179</v>
      </c>
      <c r="F569" s="12" t="s">
        <v>324</v>
      </c>
      <c r="G569" s="12" t="s">
        <v>5126</v>
      </c>
      <c r="H569" s="12" t="s">
        <v>1625</v>
      </c>
      <c r="I569" s="84">
        <v>2600120</v>
      </c>
      <c r="J569" s="12" t="s">
        <v>35</v>
      </c>
      <c r="L569" s="12" t="str">
        <f>IF(OR(ISBLANK(tblSites[[#This Row],[Implementing Partner]]), tblSites[[#This Row],[Implementing Partner]]="-"), tblSites[[#This Row],[Site Agency]], tblSites[[#This Row],[Implementing Partner]])</f>
        <v>NRC</v>
      </c>
      <c r="M569" s="12" t="s">
        <v>55</v>
      </c>
      <c r="N569" s="12" t="str">
        <f>tblSites[[#This Row],[FinalImplementingPartner]]</f>
        <v>NRC</v>
      </c>
    </row>
    <row r="570" spans="1:14" x14ac:dyDescent="0.25">
      <c r="A570" s="12" t="s">
        <v>2061</v>
      </c>
      <c r="B570" s="12" t="s">
        <v>2062</v>
      </c>
      <c r="C570" s="12" t="s">
        <v>2063</v>
      </c>
      <c r="D570" t="s">
        <v>59</v>
      </c>
      <c r="E570" s="12" t="s">
        <v>3179</v>
      </c>
      <c r="F570" s="12" t="s">
        <v>695</v>
      </c>
      <c r="G570" s="12" t="s">
        <v>5104</v>
      </c>
      <c r="H570" s="12" t="s">
        <v>2062</v>
      </c>
      <c r="I570" s="84">
        <v>2600116</v>
      </c>
      <c r="J570" s="12" t="s">
        <v>5102</v>
      </c>
      <c r="L570" s="12" t="str">
        <f>IF(OR(ISBLANK(tblSites[[#This Row],[Implementing Partner]]), tblSites[[#This Row],[Implementing Partner]]="-"), tblSites[[#This Row],[Site Agency]], tblSites[[#This Row],[Implementing Partner]])</f>
        <v>No SMA</v>
      </c>
      <c r="M570" s="12" t="s">
        <v>55</v>
      </c>
      <c r="N570" s="12" t="str">
        <f>tblSites[[#This Row],[FinalImplementingPartner]]</f>
        <v>No SMA</v>
      </c>
    </row>
    <row r="571" spans="1:14" x14ac:dyDescent="0.25">
      <c r="A571" s="12" t="s">
        <v>73</v>
      </c>
      <c r="B571" s="12" t="s">
        <v>74</v>
      </c>
      <c r="C571" s="12" t="s">
        <v>75</v>
      </c>
      <c r="D571" t="s">
        <v>59</v>
      </c>
      <c r="E571" s="12" t="s">
        <v>3179</v>
      </c>
      <c r="F571" s="12" t="s">
        <v>67</v>
      </c>
      <c r="G571" s="12" t="s">
        <v>5125</v>
      </c>
      <c r="H571" s="12" t="s">
        <v>74</v>
      </c>
      <c r="I571" s="84">
        <v>2600118</v>
      </c>
      <c r="J571" s="12" t="s">
        <v>34</v>
      </c>
      <c r="K571" s="12" t="s">
        <v>54</v>
      </c>
      <c r="L571" s="12" t="str">
        <f>IF(OR(ISBLANK(tblSites[[#This Row],[Implementing Partner]]), tblSites[[#This Row],[Implementing Partner]]="-"), tblSites[[#This Row],[Site Agency]], tblSites[[#This Row],[Implementing Partner]])</f>
        <v>PHC</v>
      </c>
      <c r="M571" s="12" t="s">
        <v>55</v>
      </c>
      <c r="N571" s="12" t="str">
        <f>tblSites[[#This Row],[FinalImplementingPartner]]</f>
        <v>PHC</v>
      </c>
    </row>
    <row r="572" spans="1:14" x14ac:dyDescent="0.25">
      <c r="A572" s="12" t="s">
        <v>1847</v>
      </c>
      <c r="B572" s="12" t="s">
        <v>258</v>
      </c>
      <c r="C572" s="12" t="s">
        <v>986</v>
      </c>
      <c r="D572" t="s">
        <v>59</v>
      </c>
      <c r="E572" s="12" t="s">
        <v>3179</v>
      </c>
      <c r="F572" s="12" t="s">
        <v>114</v>
      </c>
      <c r="G572" s="12" t="s">
        <v>5127</v>
      </c>
      <c r="H572" s="12" t="s">
        <v>258</v>
      </c>
      <c r="I572" s="84">
        <v>2600123</v>
      </c>
      <c r="J572" s="12" t="s">
        <v>5</v>
      </c>
      <c r="K572" s="12" t="s">
        <v>119</v>
      </c>
      <c r="L572" s="12" t="str">
        <f>IF(OR(ISBLANK(tblSites[[#This Row],[Implementing Partner]]), tblSites[[#This Row],[Implementing Partner]]="-"), tblSites[[#This Row],[Site Agency]], tblSites[[#This Row],[Implementing Partner]])</f>
        <v>BLDA</v>
      </c>
      <c r="M572" s="12" t="s">
        <v>55</v>
      </c>
      <c r="N572" s="12" t="str">
        <f>tblSites[[#This Row],[FinalImplementingPartner]]</f>
        <v>BLDA</v>
      </c>
    </row>
    <row r="573" spans="1:14" x14ac:dyDescent="0.25">
      <c r="A573" s="12" t="s">
        <v>2842</v>
      </c>
      <c r="B573" s="12" t="s">
        <v>2843</v>
      </c>
      <c r="C573" s="12" t="s">
        <v>2844</v>
      </c>
      <c r="D573" t="s">
        <v>59</v>
      </c>
      <c r="E573" s="12" t="s">
        <v>3179</v>
      </c>
      <c r="F573" s="12" t="s">
        <v>114</v>
      </c>
      <c r="G573" s="12" t="s">
        <v>5122</v>
      </c>
      <c r="H573" s="12" t="s">
        <v>2843</v>
      </c>
      <c r="I573" s="84">
        <v>2600123</v>
      </c>
      <c r="J573" s="12" t="s">
        <v>5102</v>
      </c>
      <c r="L573" s="12" t="str">
        <f>IF(OR(ISBLANK(tblSites[[#This Row],[Implementing Partner]]), tblSites[[#This Row],[Implementing Partner]]="-"), tblSites[[#This Row],[Site Agency]], tblSites[[#This Row],[Implementing Partner]])</f>
        <v>No SMA</v>
      </c>
      <c r="M573" s="12" t="s">
        <v>55</v>
      </c>
      <c r="N573" s="12" t="str">
        <f>tblSites[[#This Row],[FinalImplementingPartner]]</f>
        <v>No SMA</v>
      </c>
    </row>
    <row r="574" spans="1:14" x14ac:dyDescent="0.25">
      <c r="A574" s="12" t="s">
        <v>61</v>
      </c>
      <c r="B574" s="12" t="s">
        <v>62</v>
      </c>
      <c r="C574" s="12" t="s">
        <v>63</v>
      </c>
      <c r="D574" t="s">
        <v>59</v>
      </c>
      <c r="E574" s="12" t="s">
        <v>3179</v>
      </c>
      <c r="F574" s="12" t="s">
        <v>60</v>
      </c>
      <c r="G574" s="12" t="s">
        <v>5128</v>
      </c>
      <c r="H574" s="12" t="s">
        <v>62</v>
      </c>
      <c r="I574" s="84">
        <v>2600119</v>
      </c>
      <c r="J574" s="12" t="s">
        <v>5</v>
      </c>
      <c r="K574" s="12" t="s">
        <v>54</v>
      </c>
      <c r="L574" s="12" t="str">
        <f>IF(OR(ISBLANK(tblSites[[#This Row],[Implementing Partner]]), tblSites[[#This Row],[Implementing Partner]]="-"), tblSites[[#This Row],[Site Agency]], tblSites[[#This Row],[Implementing Partner]])</f>
        <v>PHC</v>
      </c>
      <c r="M574" s="12" t="s">
        <v>55</v>
      </c>
      <c r="N574" s="12" t="str">
        <f>tblSites[[#This Row],[FinalImplementingPartner]]</f>
        <v>PHC</v>
      </c>
    </row>
    <row r="575" spans="1:14" x14ac:dyDescent="0.25">
      <c r="A575" s="12" t="s">
        <v>2845</v>
      </c>
      <c r="B575" s="12" t="s">
        <v>2846</v>
      </c>
      <c r="C575" s="12" t="s">
        <v>2847</v>
      </c>
      <c r="D575" t="s">
        <v>59</v>
      </c>
      <c r="E575" s="12" t="s">
        <v>3179</v>
      </c>
      <c r="F575" s="12" t="s">
        <v>60</v>
      </c>
      <c r="G575" s="12" t="s">
        <v>5119</v>
      </c>
      <c r="H575" s="12" t="s">
        <v>2846</v>
      </c>
      <c r="I575" s="84">
        <v>2600119</v>
      </c>
      <c r="J575" s="12" t="s">
        <v>5102</v>
      </c>
      <c r="L575" s="12" t="str">
        <f>IF(OR(ISBLANK(tblSites[[#This Row],[Implementing Partner]]), tblSites[[#This Row],[Implementing Partner]]="-"), tblSites[[#This Row],[Site Agency]], tblSites[[#This Row],[Implementing Partner]])</f>
        <v>No SMA</v>
      </c>
      <c r="M575" s="12" t="s">
        <v>55</v>
      </c>
      <c r="N575" s="12" t="str">
        <f>tblSites[[#This Row],[FinalImplementingPartner]]</f>
        <v>No SMA</v>
      </c>
    </row>
    <row r="576" spans="1:14" x14ac:dyDescent="0.25">
      <c r="A576" s="12" t="s">
        <v>2848</v>
      </c>
      <c r="B576" s="12" t="s">
        <v>2849</v>
      </c>
      <c r="C576" s="12" t="s">
        <v>2850</v>
      </c>
      <c r="D576" t="s">
        <v>59</v>
      </c>
      <c r="E576" s="12" t="s">
        <v>3179</v>
      </c>
      <c r="F576" s="12" t="s">
        <v>335</v>
      </c>
      <c r="G576" s="12" t="s">
        <v>5129</v>
      </c>
      <c r="H576" s="12" t="s">
        <v>2849</v>
      </c>
      <c r="I576" s="84">
        <v>2600122</v>
      </c>
      <c r="J576" s="12" t="s">
        <v>5102</v>
      </c>
      <c r="L576" s="12" t="str">
        <f>IF(OR(ISBLANK(tblSites[[#This Row],[Implementing Partner]]), tblSites[[#This Row],[Implementing Partner]]="-"), tblSites[[#This Row],[Site Agency]], tblSites[[#This Row],[Implementing Partner]])</f>
        <v>No SMA</v>
      </c>
      <c r="M576" s="12" t="s">
        <v>55</v>
      </c>
      <c r="N576" s="12" t="str">
        <f>tblSites[[#This Row],[FinalImplementingPartner]]</f>
        <v>No SMA</v>
      </c>
    </row>
    <row r="577" spans="1:14" x14ac:dyDescent="0.25">
      <c r="A577" s="12" t="s">
        <v>667</v>
      </c>
      <c r="B577" s="12" t="s">
        <v>668</v>
      </c>
      <c r="C577" s="12" t="s">
        <v>669</v>
      </c>
      <c r="D577" t="s">
        <v>59</v>
      </c>
      <c r="E577" s="12" t="s">
        <v>3179</v>
      </c>
      <c r="F577" s="12" t="s">
        <v>324</v>
      </c>
      <c r="G577" s="12" t="s">
        <v>5106</v>
      </c>
      <c r="H577" s="12" t="s">
        <v>668</v>
      </c>
      <c r="I577" s="84">
        <v>2600120</v>
      </c>
      <c r="J577" s="12" t="s">
        <v>34</v>
      </c>
      <c r="K577" s="12" t="s">
        <v>662</v>
      </c>
      <c r="L577" s="12" t="str">
        <f>IF(OR(ISBLANK(tblSites[[#This Row],[Implementing Partner]]), tblSites[[#This Row],[Implementing Partner]]="-"), tblSites[[#This Row],[Site Agency]], tblSites[[#This Row],[Implementing Partner]])</f>
        <v>PARC</v>
      </c>
      <c r="M577" s="12" t="s">
        <v>55</v>
      </c>
      <c r="N577" s="12" t="str">
        <f>tblSites[[#This Row],[FinalImplementingPartner]]</f>
        <v>PARC</v>
      </c>
    </row>
    <row r="578" spans="1:14" x14ac:dyDescent="0.25">
      <c r="A578" s="12" t="s">
        <v>1863</v>
      </c>
      <c r="B578" s="12" t="s">
        <v>1864</v>
      </c>
      <c r="C578" s="12" t="s">
        <v>1865</v>
      </c>
      <c r="D578" t="s">
        <v>59</v>
      </c>
      <c r="E578" s="12" t="s">
        <v>3179</v>
      </c>
      <c r="F578" s="12" t="s">
        <v>335</v>
      </c>
      <c r="G578" s="12" t="s">
        <v>5129</v>
      </c>
      <c r="H578" s="12" t="s">
        <v>1864</v>
      </c>
      <c r="I578" s="84">
        <v>2600122</v>
      </c>
      <c r="J578" s="12" t="s">
        <v>5102</v>
      </c>
      <c r="L578" s="12" t="str">
        <f>IF(OR(ISBLANK(tblSites[[#This Row],[Implementing Partner]]), tblSites[[#This Row],[Implementing Partner]]="-"), tblSites[[#This Row],[Site Agency]], tblSites[[#This Row],[Implementing Partner]])</f>
        <v>No SMA</v>
      </c>
      <c r="M578" s="12" t="s">
        <v>55</v>
      </c>
      <c r="N578" s="12" t="str">
        <f>tblSites[[#This Row],[FinalImplementingPartner]]</f>
        <v>No SMA</v>
      </c>
    </row>
    <row r="579" spans="1:14" x14ac:dyDescent="0.25">
      <c r="A579" s="12" t="s">
        <v>1866</v>
      </c>
      <c r="B579" s="12" t="s">
        <v>1867</v>
      </c>
      <c r="C579" s="12" t="s">
        <v>1868</v>
      </c>
      <c r="D579" t="s">
        <v>59</v>
      </c>
      <c r="E579" s="12" t="s">
        <v>3179</v>
      </c>
      <c r="F579" s="12" t="s">
        <v>335</v>
      </c>
      <c r="G579" s="12" t="s">
        <v>5129</v>
      </c>
      <c r="H579" s="12" t="s">
        <v>1867</v>
      </c>
      <c r="I579" s="84">
        <v>2600122</v>
      </c>
      <c r="J579" s="12" t="s">
        <v>5102</v>
      </c>
      <c r="L579" s="12" t="str">
        <f>IF(OR(ISBLANK(tblSites[[#This Row],[Implementing Partner]]), tblSites[[#This Row],[Implementing Partner]]="-"), tblSites[[#This Row],[Site Agency]], tblSites[[#This Row],[Implementing Partner]])</f>
        <v>No SMA</v>
      </c>
      <c r="M579" s="12" t="s">
        <v>55</v>
      </c>
      <c r="N579" s="12" t="str">
        <f>tblSites[[#This Row],[FinalImplementingPartner]]</f>
        <v>No SMA</v>
      </c>
    </row>
    <row r="580" spans="1:14" x14ac:dyDescent="0.25">
      <c r="A580" s="12" t="s">
        <v>2414</v>
      </c>
      <c r="B580" s="12" t="s">
        <v>2415</v>
      </c>
      <c r="C580" s="12" t="s">
        <v>2416</v>
      </c>
      <c r="D580" t="s">
        <v>59</v>
      </c>
      <c r="E580" s="12" t="s">
        <v>3179</v>
      </c>
      <c r="F580" s="12" t="s">
        <v>342</v>
      </c>
      <c r="G580" s="12" t="s">
        <v>5130</v>
      </c>
      <c r="H580" s="12" t="s">
        <v>2415</v>
      </c>
      <c r="I580" s="84">
        <v>2600113</v>
      </c>
      <c r="J580" s="12" t="s">
        <v>5102</v>
      </c>
      <c r="L580" s="12" t="str">
        <f>IF(OR(ISBLANK(tblSites[[#This Row],[Implementing Partner]]), tblSites[[#This Row],[Implementing Partner]]="-"), tblSites[[#This Row],[Site Agency]], tblSites[[#This Row],[Implementing Partner]])</f>
        <v>No SMA</v>
      </c>
      <c r="M580" s="12" t="s">
        <v>55</v>
      </c>
      <c r="N580" s="12" t="str">
        <f>tblSites[[#This Row],[FinalImplementingPartner]]</f>
        <v>No SMA</v>
      </c>
    </row>
    <row r="581" spans="1:14" x14ac:dyDescent="0.25">
      <c r="A581" s="12" t="s">
        <v>372</v>
      </c>
      <c r="B581" s="12" t="s">
        <v>373</v>
      </c>
      <c r="C581" s="12" t="s">
        <v>374</v>
      </c>
      <c r="D581" t="s">
        <v>59</v>
      </c>
      <c r="E581" s="12" t="s">
        <v>3179</v>
      </c>
      <c r="F581" s="12" t="s">
        <v>67</v>
      </c>
      <c r="G581" s="12" t="s">
        <v>5108</v>
      </c>
      <c r="H581" s="12" t="s">
        <v>373</v>
      </c>
      <c r="I581" s="84">
        <v>2600118</v>
      </c>
      <c r="J581" s="12" t="s">
        <v>5</v>
      </c>
      <c r="K581" s="12" t="s">
        <v>83</v>
      </c>
      <c r="L581" s="12" t="str">
        <f>IF(OR(ISBLANK(tblSites[[#This Row],[Implementing Partner]]), tblSites[[#This Row],[Implementing Partner]]="-"), tblSites[[#This Row],[Site Agency]], tblSites[[#This Row],[Implementing Partner]])</f>
        <v>CESVI</v>
      </c>
      <c r="M581" s="12" t="s">
        <v>55</v>
      </c>
      <c r="N581" s="12" t="str">
        <f>tblSites[[#This Row],[FinalImplementingPartner]]</f>
        <v>CESVI</v>
      </c>
    </row>
    <row r="582" spans="1:14" x14ac:dyDescent="0.25">
      <c r="A582" s="12" t="s">
        <v>894</v>
      </c>
      <c r="B582" s="12" t="s">
        <v>4127</v>
      </c>
      <c r="C582" s="12" t="s">
        <v>895</v>
      </c>
      <c r="D582" t="s">
        <v>59</v>
      </c>
      <c r="E582" s="12" t="s">
        <v>3179</v>
      </c>
      <c r="F582" s="12" t="s">
        <v>114</v>
      </c>
      <c r="G582" s="12" t="s">
        <v>5131</v>
      </c>
      <c r="H582" s="12" t="s">
        <v>4127</v>
      </c>
      <c r="I582" s="84">
        <v>2600123</v>
      </c>
      <c r="J582" s="12" t="s">
        <v>34</v>
      </c>
      <c r="K582" s="12" t="s">
        <v>359</v>
      </c>
      <c r="L582" s="12" t="str">
        <f>IF(OR(ISBLANK(tblSites[[#This Row],[Implementing Partner]]), tblSites[[#This Row],[Implementing Partner]]="-"), tblSites[[#This Row],[Site Agency]], tblSites[[#This Row],[Implementing Partner]])</f>
        <v>FAFD</v>
      </c>
      <c r="M582" s="12" t="s">
        <v>55</v>
      </c>
      <c r="N582" s="12" t="str">
        <f>tblSites[[#This Row],[FinalImplementingPartner]]</f>
        <v>FAFD</v>
      </c>
    </row>
    <row r="583" spans="1:14" x14ac:dyDescent="0.25">
      <c r="A583" s="12" t="s">
        <v>1328</v>
      </c>
      <c r="B583" s="12" t="s">
        <v>1329</v>
      </c>
      <c r="C583" s="12" t="s">
        <v>1330</v>
      </c>
      <c r="D583" t="s">
        <v>59</v>
      </c>
      <c r="E583" s="12" t="s">
        <v>3179</v>
      </c>
      <c r="F583" s="12" t="s">
        <v>342</v>
      </c>
      <c r="G583" s="12" t="s">
        <v>5132</v>
      </c>
      <c r="H583" s="12" t="s">
        <v>1329</v>
      </c>
      <c r="I583" s="84">
        <v>2600113</v>
      </c>
      <c r="J583" s="12" t="s">
        <v>1215</v>
      </c>
      <c r="L583" s="12" t="str">
        <f>IF(OR(ISBLANK(tblSites[[#This Row],[Implementing Partner]]), tblSites[[#This Row],[Implementing Partner]]="-"), tblSites[[#This Row],[Site Agency]], tblSites[[#This Row],[Implementing Partner]])</f>
        <v>UNRWA</v>
      </c>
      <c r="M583" s="12" t="s">
        <v>55</v>
      </c>
      <c r="N583" s="12" t="str">
        <f>tblSites[[#This Row],[FinalImplementingPartner]]</f>
        <v>UNRWA</v>
      </c>
    </row>
    <row r="584" spans="1:14" x14ac:dyDescent="0.25">
      <c r="A584" s="12" t="s">
        <v>1869</v>
      </c>
      <c r="B584" s="12" t="s">
        <v>1870</v>
      </c>
      <c r="C584" s="12" t="s">
        <v>1871</v>
      </c>
      <c r="D584" t="s">
        <v>59</v>
      </c>
      <c r="E584" s="12" t="s">
        <v>3179</v>
      </c>
      <c r="F584" s="12" t="s">
        <v>335</v>
      </c>
      <c r="G584" s="12" t="s">
        <v>5129</v>
      </c>
      <c r="H584" s="12" t="s">
        <v>1870</v>
      </c>
      <c r="I584" s="84">
        <v>2600122</v>
      </c>
      <c r="J584" s="12" t="s">
        <v>5102</v>
      </c>
      <c r="L584" s="12" t="str">
        <f>IF(OR(ISBLANK(tblSites[[#This Row],[Implementing Partner]]), tblSites[[#This Row],[Implementing Partner]]="-"), tblSites[[#This Row],[Site Agency]], tblSites[[#This Row],[Implementing Partner]])</f>
        <v>No SMA</v>
      </c>
      <c r="M584" s="12" t="s">
        <v>55</v>
      </c>
      <c r="N584" s="12" t="str">
        <f>tblSites[[#This Row],[FinalImplementingPartner]]</f>
        <v>No SMA</v>
      </c>
    </row>
    <row r="585" spans="1:14" x14ac:dyDescent="0.25">
      <c r="A585" s="12" t="s">
        <v>1872</v>
      </c>
      <c r="B585" s="12" t="s">
        <v>1873</v>
      </c>
      <c r="C585" s="12" t="s">
        <v>1874</v>
      </c>
      <c r="D585" t="s">
        <v>59</v>
      </c>
      <c r="E585" s="12" t="s">
        <v>3179</v>
      </c>
      <c r="F585" s="12" t="s">
        <v>335</v>
      </c>
      <c r="G585" s="12" t="s">
        <v>5129</v>
      </c>
      <c r="H585" s="12" t="s">
        <v>1873</v>
      </c>
      <c r="I585" s="84">
        <v>2600122</v>
      </c>
      <c r="J585" s="12" t="s">
        <v>5102</v>
      </c>
      <c r="L585" s="12" t="str">
        <f>IF(OR(ISBLANK(tblSites[[#This Row],[Implementing Partner]]), tblSites[[#This Row],[Implementing Partner]]="-"), tblSites[[#This Row],[Site Agency]], tblSites[[#This Row],[Implementing Partner]])</f>
        <v>No SMA</v>
      </c>
      <c r="M585" s="12" t="s">
        <v>55</v>
      </c>
      <c r="N585" s="12" t="str">
        <f>tblSites[[#This Row],[FinalImplementingPartner]]</f>
        <v>No SMA</v>
      </c>
    </row>
    <row r="586" spans="1:14" x14ac:dyDescent="0.25">
      <c r="A586" s="12" t="s">
        <v>2851</v>
      </c>
      <c r="B586" s="12" t="s">
        <v>2852</v>
      </c>
      <c r="C586" s="12" t="s">
        <v>2853</v>
      </c>
      <c r="D586" t="s">
        <v>59</v>
      </c>
      <c r="E586" s="12" t="s">
        <v>3179</v>
      </c>
      <c r="F586" s="12" t="s">
        <v>426</v>
      </c>
      <c r="G586" s="12" t="s">
        <v>5133</v>
      </c>
      <c r="H586" s="12" t="s">
        <v>2852</v>
      </c>
      <c r="I586" s="84">
        <v>2600112</v>
      </c>
      <c r="J586" s="12" t="s">
        <v>35</v>
      </c>
      <c r="L586" s="12" t="str">
        <f>IF(OR(ISBLANK(tblSites[[#This Row],[Implementing Partner]]), tblSites[[#This Row],[Implementing Partner]]="-"), tblSites[[#This Row],[Site Agency]], tblSites[[#This Row],[Implementing Partner]])</f>
        <v>NRC</v>
      </c>
      <c r="M586" s="12" t="s">
        <v>55</v>
      </c>
      <c r="N586" s="12" t="str">
        <f>tblSites[[#This Row],[FinalImplementingPartner]]</f>
        <v>NRC</v>
      </c>
    </row>
    <row r="587" spans="1:14" x14ac:dyDescent="0.25">
      <c r="A587" s="12" t="s">
        <v>888</v>
      </c>
      <c r="B587" s="12" t="s">
        <v>889</v>
      </c>
      <c r="C587" s="12" t="s">
        <v>890</v>
      </c>
      <c r="D587" t="s">
        <v>59</v>
      </c>
      <c r="E587" s="12" t="s">
        <v>3179</v>
      </c>
      <c r="F587" s="12" t="s">
        <v>114</v>
      </c>
      <c r="G587" s="12" t="s">
        <v>5131</v>
      </c>
      <c r="H587" s="12" t="s">
        <v>889</v>
      </c>
      <c r="I587" s="84">
        <v>2600123</v>
      </c>
      <c r="J587" s="12" t="s">
        <v>34</v>
      </c>
      <c r="K587" s="12" t="s">
        <v>359</v>
      </c>
      <c r="L587" s="12" t="str">
        <f>IF(OR(ISBLANK(tblSites[[#This Row],[Implementing Partner]]), tblSites[[#This Row],[Implementing Partner]]="-"), tblSites[[#This Row],[Site Agency]], tblSites[[#This Row],[Implementing Partner]])</f>
        <v>FAFD</v>
      </c>
      <c r="M587" s="12" t="s">
        <v>55</v>
      </c>
      <c r="N587" s="12" t="str">
        <f>tblSites[[#This Row],[FinalImplementingPartner]]</f>
        <v>FAFD</v>
      </c>
    </row>
    <row r="588" spans="1:14" x14ac:dyDescent="0.25">
      <c r="A588" s="12" t="s">
        <v>1851</v>
      </c>
      <c r="B588" s="12" t="s">
        <v>1852</v>
      </c>
      <c r="C588" s="12" t="s">
        <v>1853</v>
      </c>
      <c r="D588" t="s">
        <v>59</v>
      </c>
      <c r="E588" s="12" t="s">
        <v>3179</v>
      </c>
      <c r="F588" s="12" t="s">
        <v>342</v>
      </c>
      <c r="G588" s="12" t="s">
        <v>5130</v>
      </c>
      <c r="H588" s="12" t="s">
        <v>1852</v>
      </c>
      <c r="I588" s="84">
        <v>2600113</v>
      </c>
      <c r="J588" s="12" t="s">
        <v>5102</v>
      </c>
      <c r="L588" s="12" t="str">
        <f>IF(OR(ISBLANK(tblSites[[#This Row],[Implementing Partner]]), tblSites[[#This Row],[Implementing Partner]]="-"), tblSites[[#This Row],[Site Agency]], tblSites[[#This Row],[Implementing Partner]])</f>
        <v>No SMA</v>
      </c>
      <c r="M588" s="12" t="s">
        <v>55</v>
      </c>
      <c r="N588" s="12" t="str">
        <f>tblSites[[#This Row],[FinalImplementingPartner]]</f>
        <v>No SMA</v>
      </c>
    </row>
    <row r="589" spans="1:14" x14ac:dyDescent="0.25">
      <c r="A589" s="12" t="s">
        <v>1331</v>
      </c>
      <c r="B589" s="12" t="s">
        <v>1332</v>
      </c>
      <c r="C589" s="12" t="s">
        <v>1333</v>
      </c>
      <c r="D589" t="s">
        <v>59</v>
      </c>
      <c r="E589" s="12" t="s">
        <v>3179</v>
      </c>
      <c r="F589" s="12" t="s">
        <v>342</v>
      </c>
      <c r="G589" s="12" t="s">
        <v>5132</v>
      </c>
      <c r="H589" s="12" t="s">
        <v>1332</v>
      </c>
      <c r="I589" s="84">
        <v>2600113</v>
      </c>
      <c r="J589" s="12" t="s">
        <v>1215</v>
      </c>
      <c r="L589" s="12" t="str">
        <f>IF(OR(ISBLANK(tblSites[[#This Row],[Implementing Partner]]), tblSites[[#This Row],[Implementing Partner]]="-"), tblSites[[#This Row],[Site Agency]], tblSites[[#This Row],[Implementing Partner]])</f>
        <v>UNRWA</v>
      </c>
      <c r="M589" s="12" t="s">
        <v>55</v>
      </c>
      <c r="N589" s="12" t="str">
        <f>tblSites[[#This Row],[FinalImplementingPartner]]</f>
        <v>UNRWA</v>
      </c>
    </row>
    <row r="590" spans="1:14" x14ac:dyDescent="0.25">
      <c r="A590" s="12" t="s">
        <v>1334</v>
      </c>
      <c r="B590" s="12" t="s">
        <v>1335</v>
      </c>
      <c r="C590" s="12" t="s">
        <v>1336</v>
      </c>
      <c r="D590" t="s">
        <v>59</v>
      </c>
      <c r="E590" s="12" t="s">
        <v>3179</v>
      </c>
      <c r="F590" s="12" t="s">
        <v>342</v>
      </c>
      <c r="G590" s="12" t="s">
        <v>5132</v>
      </c>
      <c r="H590" s="12" t="s">
        <v>1335</v>
      </c>
      <c r="I590" s="84">
        <v>2600113</v>
      </c>
      <c r="J590" s="12" t="s">
        <v>1215</v>
      </c>
      <c r="L590" s="12" t="str">
        <f>IF(OR(ISBLANK(tblSites[[#This Row],[Implementing Partner]]), tblSites[[#This Row],[Implementing Partner]]="-"), tblSites[[#This Row],[Site Agency]], tblSites[[#This Row],[Implementing Partner]])</f>
        <v>UNRWA</v>
      </c>
      <c r="M590" s="12" t="s">
        <v>55</v>
      </c>
      <c r="N590" s="12" t="str">
        <f>tblSites[[#This Row],[FinalImplementingPartner]]</f>
        <v>UNRWA</v>
      </c>
    </row>
    <row r="591" spans="1:14" x14ac:dyDescent="0.25">
      <c r="A591" s="12" t="s">
        <v>1337</v>
      </c>
      <c r="B591" s="12" t="s">
        <v>1338</v>
      </c>
      <c r="C591" s="12" t="s">
        <v>1339</v>
      </c>
      <c r="D591" t="s">
        <v>59</v>
      </c>
      <c r="E591" s="12" t="s">
        <v>3179</v>
      </c>
      <c r="F591" s="12" t="s">
        <v>342</v>
      </c>
      <c r="G591" s="12" t="s">
        <v>5132</v>
      </c>
      <c r="H591" s="12" t="s">
        <v>1338</v>
      </c>
      <c r="I591" s="84">
        <v>2600113</v>
      </c>
      <c r="J591" s="12" t="s">
        <v>1215</v>
      </c>
      <c r="L591" s="12" t="str">
        <f>IF(OR(ISBLANK(tblSites[[#This Row],[Implementing Partner]]), tblSites[[#This Row],[Implementing Partner]]="-"), tblSites[[#This Row],[Site Agency]], tblSites[[#This Row],[Implementing Partner]])</f>
        <v>UNRWA</v>
      </c>
      <c r="M591" s="12" t="s">
        <v>55</v>
      </c>
      <c r="N591" s="12" t="str">
        <f>tblSites[[#This Row],[FinalImplementingPartner]]</f>
        <v>UNRWA</v>
      </c>
    </row>
    <row r="592" spans="1:14" x14ac:dyDescent="0.25">
      <c r="A592" s="12" t="s">
        <v>920</v>
      </c>
      <c r="B592" s="12" t="s">
        <v>921</v>
      </c>
      <c r="C592" s="12" t="s">
        <v>922</v>
      </c>
      <c r="D592" t="s">
        <v>59</v>
      </c>
      <c r="E592" s="12" t="s">
        <v>3179</v>
      </c>
      <c r="F592" s="12" t="s">
        <v>114</v>
      </c>
      <c r="G592" s="12" t="s">
        <v>5124</v>
      </c>
      <c r="H592" s="12" t="s">
        <v>921</v>
      </c>
      <c r="I592" s="84">
        <v>2600123</v>
      </c>
      <c r="J592" s="12" t="s">
        <v>34</v>
      </c>
      <c r="K592" s="12" t="s">
        <v>54</v>
      </c>
      <c r="L592" s="12" t="str">
        <f>IF(OR(ISBLANK(tblSites[[#This Row],[Implementing Partner]]), tblSites[[#This Row],[Implementing Partner]]="-"), tblSites[[#This Row],[Site Agency]], tblSites[[#This Row],[Implementing Partner]])</f>
        <v>PHC</v>
      </c>
      <c r="M592" s="12" t="s">
        <v>55</v>
      </c>
      <c r="N592" s="12" t="str">
        <f>tblSites[[#This Row],[FinalImplementingPartner]]</f>
        <v>PHC</v>
      </c>
    </row>
    <row r="593" spans="1:14" x14ac:dyDescent="0.25">
      <c r="A593" s="12" t="s">
        <v>1626</v>
      </c>
      <c r="B593" s="12" t="s">
        <v>1627</v>
      </c>
      <c r="C593" s="12" t="s">
        <v>1628</v>
      </c>
      <c r="D593" t="s">
        <v>59</v>
      </c>
      <c r="E593" s="12" t="s">
        <v>3179</v>
      </c>
      <c r="F593" s="12" t="s">
        <v>324</v>
      </c>
      <c r="G593" s="12" t="s">
        <v>5118</v>
      </c>
      <c r="H593" s="12" t="s">
        <v>1627</v>
      </c>
      <c r="I593" s="84">
        <v>2600120</v>
      </c>
      <c r="J593" s="12" t="s">
        <v>5102</v>
      </c>
      <c r="L593" s="12" t="str">
        <f>IF(OR(ISBLANK(tblSites[[#This Row],[Implementing Partner]]), tblSites[[#This Row],[Implementing Partner]]="-"), tblSites[[#This Row],[Site Agency]], tblSites[[#This Row],[Implementing Partner]])</f>
        <v>No SMA</v>
      </c>
      <c r="M593" s="12" t="s">
        <v>55</v>
      </c>
      <c r="N593" s="12" t="str">
        <f>tblSites[[#This Row],[FinalImplementingPartner]]</f>
        <v>No SMA</v>
      </c>
    </row>
    <row r="594" spans="1:14" x14ac:dyDescent="0.25">
      <c r="A594" s="12" t="s">
        <v>940</v>
      </c>
      <c r="B594" s="12" t="s">
        <v>941</v>
      </c>
      <c r="C594" s="12" t="s">
        <v>942</v>
      </c>
      <c r="D594" t="s">
        <v>59</v>
      </c>
      <c r="E594" s="12" t="s">
        <v>3179</v>
      </c>
      <c r="F594" s="12" t="s">
        <v>67</v>
      </c>
      <c r="G594" s="12" t="s">
        <v>5109</v>
      </c>
      <c r="H594" s="12" t="s">
        <v>941</v>
      </c>
      <c r="I594" s="84">
        <v>2600118</v>
      </c>
      <c r="J594" s="12" t="s">
        <v>5102</v>
      </c>
      <c r="L594" s="12" t="str">
        <f>IF(OR(ISBLANK(tblSites[[#This Row],[Implementing Partner]]), tblSites[[#This Row],[Implementing Partner]]="-"), tblSites[[#This Row],[Site Agency]], tblSites[[#This Row],[Implementing Partner]])</f>
        <v>No SMA</v>
      </c>
      <c r="M594" s="12" t="s">
        <v>55</v>
      </c>
      <c r="N594" s="12" t="str">
        <f>tblSites[[#This Row],[FinalImplementingPartner]]</f>
        <v>No SMA</v>
      </c>
    </row>
    <row r="595" spans="1:14" x14ac:dyDescent="0.25">
      <c r="A595" s="12" t="s">
        <v>1522</v>
      </c>
      <c r="B595" s="12" t="s">
        <v>1523</v>
      </c>
      <c r="C595" s="12" t="s">
        <v>238</v>
      </c>
      <c r="D595" t="s">
        <v>59</v>
      </c>
      <c r="E595" s="12" t="s">
        <v>3179</v>
      </c>
      <c r="F595" s="12" t="s">
        <v>324</v>
      </c>
      <c r="G595" s="12" t="s">
        <v>5126</v>
      </c>
      <c r="H595" s="12" t="s">
        <v>1523</v>
      </c>
      <c r="I595" s="84">
        <v>2600120</v>
      </c>
      <c r="J595" s="12" t="s">
        <v>35</v>
      </c>
      <c r="L595" s="12" t="str">
        <f>IF(OR(ISBLANK(tblSites[[#This Row],[Implementing Partner]]), tblSites[[#This Row],[Implementing Partner]]="-"), tblSites[[#This Row],[Site Agency]], tblSites[[#This Row],[Implementing Partner]])</f>
        <v>NRC</v>
      </c>
      <c r="M595" s="12" t="s">
        <v>55</v>
      </c>
      <c r="N595" s="12" t="str">
        <f>tblSites[[#This Row],[FinalImplementingPartner]]</f>
        <v>NRC</v>
      </c>
    </row>
    <row r="596" spans="1:14" x14ac:dyDescent="0.25">
      <c r="A596" s="12" t="s">
        <v>2024</v>
      </c>
      <c r="B596" s="12" t="s">
        <v>2025</v>
      </c>
      <c r="C596" s="12" t="s">
        <v>2026</v>
      </c>
      <c r="D596" t="s">
        <v>59</v>
      </c>
      <c r="E596" s="12" t="s">
        <v>3179</v>
      </c>
      <c r="F596" s="12" t="s">
        <v>67</v>
      </c>
      <c r="G596" s="12" t="s">
        <v>5109</v>
      </c>
      <c r="H596" s="12" t="s">
        <v>2025</v>
      </c>
      <c r="I596" s="84">
        <v>2600118</v>
      </c>
      <c r="J596" s="12" t="s">
        <v>5102</v>
      </c>
      <c r="L596" s="12" t="str">
        <f>IF(OR(ISBLANK(tblSites[[#This Row],[Implementing Partner]]), tblSites[[#This Row],[Implementing Partner]]="-"), tblSites[[#This Row],[Site Agency]], tblSites[[#This Row],[Implementing Partner]])</f>
        <v>No SMA</v>
      </c>
      <c r="M596" s="12" t="s">
        <v>55</v>
      </c>
      <c r="N596" s="12" t="str">
        <f>tblSites[[#This Row],[FinalImplementingPartner]]</f>
        <v>No SMA</v>
      </c>
    </row>
    <row r="597" spans="1:14" x14ac:dyDescent="0.25">
      <c r="A597" s="12" t="s">
        <v>1680</v>
      </c>
      <c r="B597" s="12" t="s">
        <v>1681</v>
      </c>
      <c r="C597" s="12" t="s">
        <v>1682</v>
      </c>
      <c r="D597" t="s">
        <v>59</v>
      </c>
      <c r="E597" s="12" t="s">
        <v>3179</v>
      </c>
      <c r="F597" s="12" t="s">
        <v>60</v>
      </c>
      <c r="G597" s="12" t="s">
        <v>5119</v>
      </c>
      <c r="H597" s="12" t="s">
        <v>1681</v>
      </c>
      <c r="I597" s="84">
        <v>2600119</v>
      </c>
      <c r="J597" s="12" t="s">
        <v>5102</v>
      </c>
      <c r="L597" s="12" t="str">
        <f>IF(OR(ISBLANK(tblSites[[#This Row],[Implementing Partner]]), tblSites[[#This Row],[Implementing Partner]]="-"), tblSites[[#This Row],[Site Agency]], tblSites[[#This Row],[Implementing Partner]])</f>
        <v>No SMA</v>
      </c>
      <c r="M597" s="12" t="s">
        <v>55</v>
      </c>
      <c r="N597" s="12" t="str">
        <f>tblSites[[#This Row],[FinalImplementingPartner]]</f>
        <v>No SMA</v>
      </c>
    </row>
    <row r="598" spans="1:14" x14ac:dyDescent="0.25">
      <c r="A598" s="12" t="s">
        <v>883</v>
      </c>
      <c r="B598" s="12" t="s">
        <v>884</v>
      </c>
      <c r="C598" s="12" t="s">
        <v>885</v>
      </c>
      <c r="D598" t="s">
        <v>59</v>
      </c>
      <c r="E598" s="12" t="s">
        <v>3179</v>
      </c>
      <c r="F598" s="12" t="s">
        <v>324</v>
      </c>
      <c r="G598" s="12" t="s">
        <v>5134</v>
      </c>
      <c r="H598" s="12" t="s">
        <v>884</v>
      </c>
      <c r="I598" s="84">
        <v>2600120</v>
      </c>
      <c r="J598" s="12" t="s">
        <v>34</v>
      </c>
      <c r="K598" s="12" t="s">
        <v>359</v>
      </c>
      <c r="L598" s="12" t="str">
        <f>IF(OR(ISBLANK(tblSites[[#This Row],[Implementing Partner]]), tblSites[[#This Row],[Implementing Partner]]="-"), tblSites[[#This Row],[Site Agency]], tblSites[[#This Row],[Implementing Partner]])</f>
        <v>FAFD</v>
      </c>
      <c r="M598" s="12" t="s">
        <v>55</v>
      </c>
      <c r="N598" s="12" t="str">
        <f>tblSites[[#This Row],[FinalImplementingPartner]]</f>
        <v>FAFD</v>
      </c>
    </row>
    <row r="599" spans="1:14" x14ac:dyDescent="0.25">
      <c r="A599" s="12" t="s">
        <v>2351</v>
      </c>
      <c r="B599" s="12" t="s">
        <v>2352</v>
      </c>
      <c r="C599" s="12" t="s">
        <v>2010</v>
      </c>
      <c r="D599" t="s">
        <v>59</v>
      </c>
      <c r="E599" s="12" t="s">
        <v>3179</v>
      </c>
      <c r="F599" s="12" t="s">
        <v>695</v>
      </c>
      <c r="G599" s="12" t="s">
        <v>5104</v>
      </c>
      <c r="H599" s="12" t="s">
        <v>2352</v>
      </c>
      <c r="I599" s="84">
        <v>2600116</v>
      </c>
      <c r="J599" s="12" t="s">
        <v>5102</v>
      </c>
      <c r="L599" s="12" t="str">
        <f>IF(OR(ISBLANK(tblSites[[#This Row],[Implementing Partner]]), tblSites[[#This Row],[Implementing Partner]]="-"), tblSites[[#This Row],[Site Agency]], tblSites[[#This Row],[Implementing Partner]])</f>
        <v>No SMA</v>
      </c>
      <c r="M599" s="12" t="s">
        <v>55</v>
      </c>
      <c r="N599" s="12" t="str">
        <f>tblSites[[#This Row],[FinalImplementingPartner]]</f>
        <v>No SMA</v>
      </c>
    </row>
    <row r="600" spans="1:14" x14ac:dyDescent="0.25">
      <c r="A600" s="12" t="s">
        <v>1944</v>
      </c>
      <c r="B600" s="12" t="s">
        <v>1945</v>
      </c>
      <c r="C600" s="12" t="s">
        <v>1946</v>
      </c>
      <c r="D600" t="s">
        <v>59</v>
      </c>
      <c r="E600" s="12" t="s">
        <v>3179</v>
      </c>
      <c r="F600" s="12" t="s">
        <v>695</v>
      </c>
      <c r="G600" s="12" t="s">
        <v>5135</v>
      </c>
      <c r="H600" s="12" t="s">
        <v>1945</v>
      </c>
      <c r="I600" s="84">
        <v>2600116</v>
      </c>
      <c r="J600" s="12" t="s">
        <v>54</v>
      </c>
      <c r="K600" s="12" t="s">
        <v>389</v>
      </c>
      <c r="L600" s="12" t="str">
        <f>IF(OR(ISBLANK(tblSites[[#This Row],[Implementing Partner]]), tblSites[[#This Row],[Implementing Partner]]="-"), tblSites[[#This Row],[Site Agency]], tblSites[[#This Row],[Implementing Partner]])</f>
        <v>PHC</v>
      </c>
      <c r="M600" s="12" t="s">
        <v>55</v>
      </c>
      <c r="N600" s="12" t="str">
        <f>tblSites[[#This Row],[FinalImplementingPartner]]</f>
        <v>PHC</v>
      </c>
    </row>
    <row r="601" spans="1:14" x14ac:dyDescent="0.25">
      <c r="A601" s="12" t="s">
        <v>588</v>
      </c>
      <c r="B601" s="12" t="s">
        <v>589</v>
      </c>
      <c r="C601" s="12" t="s">
        <v>590</v>
      </c>
      <c r="D601" t="s">
        <v>59</v>
      </c>
      <c r="E601" s="12" t="s">
        <v>3179</v>
      </c>
      <c r="F601" s="12" t="s">
        <v>335</v>
      </c>
      <c r="G601" s="12" t="s">
        <v>5129</v>
      </c>
      <c r="H601" s="12" t="s">
        <v>589</v>
      </c>
      <c r="I601" s="84">
        <v>2600122</v>
      </c>
      <c r="J601" s="12" t="s">
        <v>5102</v>
      </c>
      <c r="L601" s="12" t="str">
        <f>IF(OR(ISBLANK(tblSites[[#This Row],[Implementing Partner]]), tblSites[[#This Row],[Implementing Partner]]="-"), tblSites[[#This Row],[Site Agency]], tblSites[[#This Row],[Implementing Partner]])</f>
        <v>No SMA</v>
      </c>
      <c r="M601" s="12" t="s">
        <v>55</v>
      </c>
      <c r="N601" s="12" t="str">
        <f>tblSites[[#This Row],[FinalImplementingPartner]]</f>
        <v>No SMA</v>
      </c>
    </row>
    <row r="602" spans="1:14" x14ac:dyDescent="0.25">
      <c r="A602" s="12" t="s">
        <v>1835</v>
      </c>
      <c r="B602" s="12" t="s">
        <v>1836</v>
      </c>
      <c r="C602" s="12" t="s">
        <v>1837</v>
      </c>
      <c r="D602" t="s">
        <v>59</v>
      </c>
      <c r="E602" s="12" t="s">
        <v>3179</v>
      </c>
      <c r="F602" s="12" t="s">
        <v>60</v>
      </c>
      <c r="G602" s="12" t="s">
        <v>5119</v>
      </c>
      <c r="H602" s="12" t="s">
        <v>1836</v>
      </c>
      <c r="I602" s="84">
        <v>2600119</v>
      </c>
      <c r="J602" s="12" t="s">
        <v>5102</v>
      </c>
      <c r="L602" s="12" t="str">
        <f>IF(OR(ISBLANK(tblSites[[#This Row],[Implementing Partner]]), tblSites[[#This Row],[Implementing Partner]]="-"), tblSites[[#This Row],[Site Agency]], tblSites[[#This Row],[Implementing Partner]])</f>
        <v>No SMA</v>
      </c>
      <c r="M602" s="12" t="s">
        <v>55</v>
      </c>
      <c r="N602" s="12" t="str">
        <f>tblSites[[#This Row],[FinalImplementingPartner]]</f>
        <v>No SMA</v>
      </c>
    </row>
    <row r="603" spans="1:14" x14ac:dyDescent="0.25">
      <c r="A603" s="12" t="s">
        <v>5225</v>
      </c>
      <c r="B603" s="12" t="s">
        <v>5269</v>
      </c>
      <c r="C603" s="12" t="s">
        <v>5283</v>
      </c>
      <c r="D603" t="s">
        <v>59</v>
      </c>
      <c r="E603" s="12" t="s">
        <v>3179</v>
      </c>
      <c r="F603" s="12" t="s">
        <v>324</v>
      </c>
      <c r="G603" s="12" t="s">
        <v>5118</v>
      </c>
      <c r="H603" s="12" t="s">
        <v>5269</v>
      </c>
      <c r="I603" s="84">
        <v>2600120</v>
      </c>
      <c r="J603" s="12" t="s">
        <v>5102</v>
      </c>
      <c r="L603" s="12" t="str">
        <f>IF(OR(ISBLANK(tblSites[[#This Row],[Implementing Partner]]), tblSites[[#This Row],[Implementing Partner]]="-"), tblSites[[#This Row],[Site Agency]], tblSites[[#This Row],[Implementing Partner]])</f>
        <v>No SMA</v>
      </c>
      <c r="M603" s="12" t="s">
        <v>55</v>
      </c>
      <c r="N603" s="12" t="str">
        <f>tblSites[[#This Row],[FinalImplementingPartner]]</f>
        <v>No SMA</v>
      </c>
    </row>
    <row r="604" spans="1:14" x14ac:dyDescent="0.25">
      <c r="A604" s="12" t="s">
        <v>1832</v>
      </c>
      <c r="B604" s="12" t="s">
        <v>1833</v>
      </c>
      <c r="C604" s="12" t="s">
        <v>1834</v>
      </c>
      <c r="D604" t="s">
        <v>59</v>
      </c>
      <c r="E604" s="12" t="s">
        <v>3179</v>
      </c>
      <c r="F604" s="12" t="s">
        <v>60</v>
      </c>
      <c r="G604" s="12" t="s">
        <v>5119</v>
      </c>
      <c r="H604" s="12" t="s">
        <v>1833</v>
      </c>
      <c r="I604" s="84">
        <v>2600119</v>
      </c>
      <c r="J604" s="12" t="s">
        <v>5102</v>
      </c>
      <c r="L604" s="12" t="str">
        <f>IF(OR(ISBLANK(tblSites[[#This Row],[Implementing Partner]]), tblSites[[#This Row],[Implementing Partner]]="-"), tblSites[[#This Row],[Site Agency]], tblSites[[#This Row],[Implementing Partner]])</f>
        <v>No SMA</v>
      </c>
      <c r="M604" s="12" t="s">
        <v>55</v>
      </c>
      <c r="N604" s="12" t="str">
        <f>tblSites[[#This Row],[FinalImplementingPartner]]</f>
        <v>No SMA</v>
      </c>
    </row>
    <row r="605" spans="1:14" x14ac:dyDescent="0.25">
      <c r="A605" s="12" t="s">
        <v>2037</v>
      </c>
      <c r="B605" s="12" t="s">
        <v>2038</v>
      </c>
      <c r="C605" s="12" t="s">
        <v>2039</v>
      </c>
      <c r="D605" t="s">
        <v>59</v>
      </c>
      <c r="E605" s="12" t="s">
        <v>3179</v>
      </c>
      <c r="F605" s="12" t="s">
        <v>1091</v>
      </c>
      <c r="G605" s="12" t="s">
        <v>5120</v>
      </c>
      <c r="H605" s="12" t="s">
        <v>2038</v>
      </c>
      <c r="I605" s="84">
        <v>2600115</v>
      </c>
      <c r="J605" s="12" t="s">
        <v>5102</v>
      </c>
      <c r="L605" s="12" t="str">
        <f>IF(OR(ISBLANK(tblSites[[#This Row],[Implementing Partner]]), tblSites[[#This Row],[Implementing Partner]]="-"), tblSites[[#This Row],[Site Agency]], tblSites[[#This Row],[Implementing Partner]])</f>
        <v>No SMA</v>
      </c>
      <c r="M605" s="12" t="s">
        <v>55</v>
      </c>
      <c r="N605" s="12" t="str">
        <f>tblSites[[#This Row],[FinalImplementingPartner]]</f>
        <v>No SMA</v>
      </c>
    </row>
    <row r="606" spans="1:14" x14ac:dyDescent="0.25">
      <c r="A606" s="12" t="s">
        <v>956</v>
      </c>
      <c r="B606" s="12" t="s">
        <v>957</v>
      </c>
      <c r="C606" s="12" t="s">
        <v>958</v>
      </c>
      <c r="D606" t="s">
        <v>59</v>
      </c>
      <c r="E606" s="12" t="s">
        <v>3179</v>
      </c>
      <c r="F606" s="12" t="s">
        <v>67</v>
      </c>
      <c r="G606" s="12" t="s">
        <v>5109</v>
      </c>
      <c r="H606" s="12" t="s">
        <v>957</v>
      </c>
      <c r="I606" s="84">
        <v>2600118</v>
      </c>
      <c r="J606" s="12" t="s">
        <v>5102</v>
      </c>
      <c r="L606" s="12" t="str">
        <f>IF(OR(ISBLANK(tblSites[[#This Row],[Implementing Partner]]), tblSites[[#This Row],[Implementing Partner]]="-"), tblSites[[#This Row],[Site Agency]], tblSites[[#This Row],[Implementing Partner]])</f>
        <v>No SMA</v>
      </c>
      <c r="M606" s="12" t="s">
        <v>55</v>
      </c>
      <c r="N606" s="12" t="str">
        <f>tblSites[[#This Row],[FinalImplementingPartner]]</f>
        <v>No SMA</v>
      </c>
    </row>
    <row r="607" spans="1:14" x14ac:dyDescent="0.25">
      <c r="A607" s="12" t="s">
        <v>1524</v>
      </c>
      <c r="B607" s="12" t="s">
        <v>1525</v>
      </c>
      <c r="C607" s="12" t="s">
        <v>1526</v>
      </c>
      <c r="D607" t="s">
        <v>59</v>
      </c>
      <c r="E607" s="12" t="s">
        <v>3179</v>
      </c>
      <c r="F607" s="12" t="s">
        <v>324</v>
      </c>
      <c r="G607" s="12" t="s">
        <v>5118</v>
      </c>
      <c r="H607" s="12" t="s">
        <v>1525</v>
      </c>
      <c r="I607" s="84">
        <v>2600120</v>
      </c>
      <c r="J607" s="12" t="s">
        <v>5102</v>
      </c>
      <c r="L607" s="12" t="str">
        <f>IF(OR(ISBLANK(tblSites[[#This Row],[Implementing Partner]]), tblSites[[#This Row],[Implementing Partner]]="-"), tblSites[[#This Row],[Site Agency]], tblSites[[#This Row],[Implementing Partner]])</f>
        <v>No SMA</v>
      </c>
      <c r="M607" s="12" t="s">
        <v>55</v>
      </c>
      <c r="N607" s="12" t="str">
        <f>tblSites[[#This Row],[FinalImplementingPartner]]</f>
        <v>No SMA</v>
      </c>
    </row>
    <row r="608" spans="1:14" x14ac:dyDescent="0.25">
      <c r="A608" s="12" t="s">
        <v>2048</v>
      </c>
      <c r="B608" s="12" t="s">
        <v>2049</v>
      </c>
      <c r="C608" s="12" t="s">
        <v>2050</v>
      </c>
      <c r="D608" t="s">
        <v>59</v>
      </c>
      <c r="E608" s="12" t="s">
        <v>3179</v>
      </c>
      <c r="F608" s="12" t="s">
        <v>87</v>
      </c>
      <c r="G608" s="12" t="s">
        <v>5136</v>
      </c>
      <c r="H608" s="12" t="s">
        <v>2049</v>
      </c>
      <c r="I608" s="84">
        <v>2600114</v>
      </c>
      <c r="J608" s="12" t="s">
        <v>5102</v>
      </c>
      <c r="L608" s="12" t="str">
        <f>IF(OR(ISBLANK(tblSites[[#This Row],[Implementing Partner]]), tblSites[[#This Row],[Implementing Partner]]="-"), tblSites[[#This Row],[Site Agency]], tblSites[[#This Row],[Implementing Partner]])</f>
        <v>No SMA</v>
      </c>
      <c r="M608" s="12" t="s">
        <v>55</v>
      </c>
      <c r="N608" s="12" t="str">
        <f>tblSites[[#This Row],[FinalImplementingPartner]]</f>
        <v>No SMA</v>
      </c>
    </row>
    <row r="609" spans="1:14" x14ac:dyDescent="0.25">
      <c r="A609" s="12" t="s">
        <v>968</v>
      </c>
      <c r="B609" s="12" t="s">
        <v>969</v>
      </c>
      <c r="C609" s="12" t="s">
        <v>970</v>
      </c>
      <c r="D609" t="s">
        <v>59</v>
      </c>
      <c r="E609" s="12" t="s">
        <v>3179</v>
      </c>
      <c r="F609" s="12" t="s">
        <v>114</v>
      </c>
      <c r="G609" s="12" t="s">
        <v>5122</v>
      </c>
      <c r="H609" s="12" t="s">
        <v>969</v>
      </c>
      <c r="I609" s="84">
        <v>2600123</v>
      </c>
      <c r="J609" s="12" t="s">
        <v>5102</v>
      </c>
      <c r="L609" s="12" t="str">
        <f>IF(OR(ISBLANK(tblSites[[#This Row],[Implementing Partner]]), tblSites[[#This Row],[Implementing Partner]]="-"), tblSites[[#This Row],[Site Agency]], tblSites[[#This Row],[Implementing Partner]])</f>
        <v>No SMA</v>
      </c>
      <c r="M609" s="12" t="s">
        <v>55</v>
      </c>
      <c r="N609" s="12" t="str">
        <f>tblSites[[#This Row],[FinalImplementingPartner]]</f>
        <v>No SMA</v>
      </c>
    </row>
    <row r="610" spans="1:14" x14ac:dyDescent="0.25">
      <c r="A610" s="12" t="s">
        <v>2016</v>
      </c>
      <c r="B610" s="12" t="s">
        <v>2017</v>
      </c>
      <c r="C610" s="12" t="s">
        <v>2018</v>
      </c>
      <c r="D610" t="s">
        <v>59</v>
      </c>
      <c r="E610" s="12" t="s">
        <v>3179</v>
      </c>
      <c r="F610" s="12" t="s">
        <v>397</v>
      </c>
      <c r="G610" s="12" t="s">
        <v>5105</v>
      </c>
      <c r="H610" s="12" t="s">
        <v>2017</v>
      </c>
      <c r="I610" s="84">
        <v>2600124</v>
      </c>
      <c r="J610" s="12" t="s">
        <v>5102</v>
      </c>
      <c r="L610" s="12" t="str">
        <f>IF(OR(ISBLANK(tblSites[[#This Row],[Implementing Partner]]), tblSites[[#This Row],[Implementing Partner]]="-"), tblSites[[#This Row],[Site Agency]], tblSites[[#This Row],[Implementing Partner]])</f>
        <v>No SMA</v>
      </c>
      <c r="M610" s="12" t="s">
        <v>55</v>
      </c>
      <c r="N610" s="12" t="str">
        <f>tblSites[[#This Row],[FinalImplementingPartner]]</f>
        <v>No SMA</v>
      </c>
    </row>
    <row r="611" spans="1:14" x14ac:dyDescent="0.25">
      <c r="A611" s="12" t="s">
        <v>1738</v>
      </c>
      <c r="B611" s="12" t="s">
        <v>1739</v>
      </c>
      <c r="C611" s="12" t="s">
        <v>1740</v>
      </c>
      <c r="D611" t="s">
        <v>59</v>
      </c>
      <c r="E611" s="12" t="s">
        <v>3179</v>
      </c>
      <c r="F611" s="12" t="s">
        <v>1689</v>
      </c>
      <c r="G611" s="12" t="s">
        <v>5121</v>
      </c>
      <c r="H611" s="12" t="s">
        <v>1739</v>
      </c>
      <c r="I611" s="84">
        <v>2600121</v>
      </c>
      <c r="J611" s="12" t="s">
        <v>5102</v>
      </c>
      <c r="L611" s="12" t="str">
        <f>IF(OR(ISBLANK(tblSites[[#This Row],[Implementing Partner]]), tblSites[[#This Row],[Implementing Partner]]="-"), tblSites[[#This Row],[Site Agency]], tblSites[[#This Row],[Implementing Partner]])</f>
        <v>No SMA</v>
      </c>
      <c r="M611" s="12" t="s">
        <v>55</v>
      </c>
      <c r="N611" s="12" t="str">
        <f>tblSites[[#This Row],[FinalImplementingPartner]]</f>
        <v>No SMA</v>
      </c>
    </row>
    <row r="612" spans="1:14" x14ac:dyDescent="0.25">
      <c r="A612" s="12" t="s">
        <v>2169</v>
      </c>
      <c r="B612" s="12" t="s">
        <v>2170</v>
      </c>
      <c r="C612" s="12" t="s">
        <v>2171</v>
      </c>
      <c r="D612" t="s">
        <v>59</v>
      </c>
      <c r="E612" s="12" t="s">
        <v>3179</v>
      </c>
      <c r="F612" s="12" t="s">
        <v>114</v>
      </c>
      <c r="G612" s="12" t="s">
        <v>5122</v>
      </c>
      <c r="H612" s="12" t="s">
        <v>2170</v>
      </c>
      <c r="I612" s="84">
        <v>2600123</v>
      </c>
      <c r="J612" s="12" t="s">
        <v>5102</v>
      </c>
      <c r="L612" s="12" t="str">
        <f>IF(OR(ISBLANK(tblSites[[#This Row],[Implementing Partner]]), tblSites[[#This Row],[Implementing Partner]]="-"), tblSites[[#This Row],[Site Agency]], tblSites[[#This Row],[Implementing Partner]])</f>
        <v>No SMA</v>
      </c>
      <c r="M612" s="12" t="s">
        <v>55</v>
      </c>
      <c r="N612" s="12" t="str">
        <f>tblSites[[#This Row],[FinalImplementingPartner]]</f>
        <v>No SMA</v>
      </c>
    </row>
    <row r="613" spans="1:14" x14ac:dyDescent="0.25">
      <c r="A613" s="12" t="s">
        <v>1579</v>
      </c>
      <c r="B613" s="12" t="s">
        <v>1580</v>
      </c>
      <c r="C613" s="12" t="s">
        <v>1581</v>
      </c>
      <c r="D613" t="s">
        <v>59</v>
      </c>
      <c r="E613" s="12" t="s">
        <v>3179</v>
      </c>
      <c r="F613" s="12" t="s">
        <v>60</v>
      </c>
      <c r="G613" s="12" t="s">
        <v>5119</v>
      </c>
      <c r="H613" s="12" t="s">
        <v>1580</v>
      </c>
      <c r="I613" s="84">
        <v>2600119</v>
      </c>
      <c r="J613" s="12" t="s">
        <v>5102</v>
      </c>
      <c r="L613" s="12" t="str">
        <f>IF(OR(ISBLANK(tblSites[[#This Row],[Implementing Partner]]), tblSites[[#This Row],[Implementing Partner]]="-"), tblSites[[#This Row],[Site Agency]], tblSites[[#This Row],[Implementing Partner]])</f>
        <v>No SMA</v>
      </c>
      <c r="M613" s="12" t="s">
        <v>55</v>
      </c>
      <c r="N613" s="12" t="str">
        <f>tblSites[[#This Row],[FinalImplementingPartner]]</f>
        <v>No SMA</v>
      </c>
    </row>
    <row r="614" spans="1:14" x14ac:dyDescent="0.25">
      <c r="A614" s="12" t="s">
        <v>1167</v>
      </c>
      <c r="B614" s="12" t="s">
        <v>1168</v>
      </c>
      <c r="C614" s="12" t="s">
        <v>1169</v>
      </c>
      <c r="D614" t="s">
        <v>59</v>
      </c>
      <c r="E614" s="12" t="s">
        <v>3179</v>
      </c>
      <c r="F614" s="12" t="s">
        <v>324</v>
      </c>
      <c r="G614" s="12" t="s">
        <v>5118</v>
      </c>
      <c r="H614" s="12" t="s">
        <v>1168</v>
      </c>
      <c r="I614" s="84">
        <v>2600120</v>
      </c>
      <c r="J614" s="12" t="s">
        <v>5102</v>
      </c>
      <c r="L614" s="12" t="str">
        <f>IF(OR(ISBLANK(tblSites[[#This Row],[Implementing Partner]]), tblSites[[#This Row],[Implementing Partner]]="-"), tblSites[[#This Row],[Site Agency]], tblSites[[#This Row],[Implementing Partner]])</f>
        <v>No SMA</v>
      </c>
      <c r="M614" s="12" t="s">
        <v>55</v>
      </c>
      <c r="N614" s="12" t="str">
        <f>tblSites[[#This Row],[FinalImplementingPartner]]</f>
        <v>No SMA</v>
      </c>
    </row>
    <row r="615" spans="1:14" x14ac:dyDescent="0.25">
      <c r="A615" s="12" t="s">
        <v>891</v>
      </c>
      <c r="B615" s="12" t="s">
        <v>892</v>
      </c>
      <c r="C615" s="12" t="s">
        <v>893</v>
      </c>
      <c r="D615" t="s">
        <v>59</v>
      </c>
      <c r="E615" s="12" t="s">
        <v>3179</v>
      </c>
      <c r="F615" s="12" t="s">
        <v>114</v>
      </c>
      <c r="G615" s="12" t="s">
        <v>5131</v>
      </c>
      <c r="H615" s="12" t="s">
        <v>892</v>
      </c>
      <c r="I615" s="84">
        <v>2600123</v>
      </c>
      <c r="J615" s="12" t="s">
        <v>34</v>
      </c>
      <c r="K615" s="12" t="s">
        <v>359</v>
      </c>
      <c r="L615" s="12" t="str">
        <f>IF(OR(ISBLANK(tblSites[[#This Row],[Implementing Partner]]), tblSites[[#This Row],[Implementing Partner]]="-"), tblSites[[#This Row],[Site Agency]], tblSites[[#This Row],[Implementing Partner]])</f>
        <v>FAFD</v>
      </c>
      <c r="M615" s="12" t="s">
        <v>55</v>
      </c>
      <c r="N615" s="12" t="str">
        <f>tblSites[[#This Row],[FinalImplementingPartner]]</f>
        <v>FAFD</v>
      </c>
    </row>
    <row r="616" spans="1:14" x14ac:dyDescent="0.25">
      <c r="A616" s="12" t="s">
        <v>659</v>
      </c>
      <c r="B616" s="12" t="s">
        <v>660</v>
      </c>
      <c r="C616" s="12" t="s">
        <v>661</v>
      </c>
      <c r="D616" t="s">
        <v>59</v>
      </c>
      <c r="E616" s="12" t="s">
        <v>3179</v>
      </c>
      <c r="F616" s="12" t="s">
        <v>60</v>
      </c>
      <c r="G616" s="12" t="s">
        <v>5115</v>
      </c>
      <c r="H616" s="12" t="s">
        <v>660</v>
      </c>
      <c r="I616" s="84">
        <v>2600119</v>
      </c>
      <c r="J616" s="12" t="s">
        <v>34</v>
      </c>
      <c r="K616" s="12" t="s">
        <v>662</v>
      </c>
      <c r="L616" s="12" t="str">
        <f>IF(OR(ISBLANK(tblSites[[#This Row],[Implementing Partner]]), tblSites[[#This Row],[Implementing Partner]]="-"), tblSites[[#This Row],[Site Agency]], tblSites[[#This Row],[Implementing Partner]])</f>
        <v>PARC</v>
      </c>
      <c r="M616" s="12" t="s">
        <v>55</v>
      </c>
      <c r="N616" s="12" t="str">
        <f>tblSites[[#This Row],[FinalImplementingPartner]]</f>
        <v>PARC</v>
      </c>
    </row>
    <row r="617" spans="1:14" x14ac:dyDescent="0.25">
      <c r="A617" s="12" t="s">
        <v>2854</v>
      </c>
      <c r="B617" s="12" t="s">
        <v>2855</v>
      </c>
      <c r="C617" s="12" t="s">
        <v>2856</v>
      </c>
      <c r="D617" t="s">
        <v>59</v>
      </c>
      <c r="E617" s="12" t="s">
        <v>3179</v>
      </c>
      <c r="F617" s="12" t="s">
        <v>60</v>
      </c>
      <c r="G617" s="12" t="s">
        <v>5119</v>
      </c>
      <c r="H617" s="12" t="s">
        <v>2855</v>
      </c>
      <c r="I617" s="84">
        <v>2600119</v>
      </c>
      <c r="J617" s="12" t="s">
        <v>5102</v>
      </c>
      <c r="L617" s="12" t="str">
        <f>IF(OR(ISBLANK(tblSites[[#This Row],[Implementing Partner]]), tblSites[[#This Row],[Implementing Partner]]="-"), tblSites[[#This Row],[Site Agency]], tblSites[[#This Row],[Implementing Partner]])</f>
        <v>No SMA</v>
      </c>
      <c r="M617" s="12" t="s">
        <v>55</v>
      </c>
      <c r="N617" s="12" t="str">
        <f>tblSites[[#This Row],[FinalImplementingPartner]]</f>
        <v>No SMA</v>
      </c>
    </row>
    <row r="618" spans="1:14" x14ac:dyDescent="0.25">
      <c r="A618" s="12" t="s">
        <v>2135</v>
      </c>
      <c r="B618" s="12" t="s">
        <v>2136</v>
      </c>
      <c r="C618" s="12" t="s">
        <v>2137</v>
      </c>
      <c r="D618" t="s">
        <v>59</v>
      </c>
      <c r="E618" s="12" t="s">
        <v>3179</v>
      </c>
      <c r="F618" s="12" t="s">
        <v>67</v>
      </c>
      <c r="G618" s="12" t="s">
        <v>5137</v>
      </c>
      <c r="H618" s="12" t="s">
        <v>2136</v>
      </c>
      <c r="I618" s="84">
        <v>2600118</v>
      </c>
      <c r="J618" s="12" t="s">
        <v>35</v>
      </c>
      <c r="L618" s="12" t="str">
        <f>IF(OR(ISBLANK(tblSites[[#This Row],[Implementing Partner]]), tblSites[[#This Row],[Implementing Partner]]="-"), tblSites[[#This Row],[Site Agency]], tblSites[[#This Row],[Implementing Partner]])</f>
        <v>NRC</v>
      </c>
      <c r="M618" s="12" t="s">
        <v>55</v>
      </c>
      <c r="N618" s="12" t="str">
        <f>tblSites[[#This Row],[FinalImplementingPartner]]</f>
        <v>NRC</v>
      </c>
    </row>
    <row r="619" spans="1:14" x14ac:dyDescent="0.25">
      <c r="A619" s="12" t="s">
        <v>1028</v>
      </c>
      <c r="B619" s="12" t="s">
        <v>1029</v>
      </c>
      <c r="C619" s="12" t="s">
        <v>1030</v>
      </c>
      <c r="D619" t="s">
        <v>59</v>
      </c>
      <c r="E619" s="12" t="s">
        <v>3179</v>
      </c>
      <c r="F619" s="12" t="s">
        <v>60</v>
      </c>
      <c r="G619" s="12" t="s">
        <v>5115</v>
      </c>
      <c r="H619" s="12" t="s">
        <v>1029</v>
      </c>
      <c r="I619" s="84">
        <v>2600119</v>
      </c>
      <c r="J619" s="12" t="s">
        <v>34</v>
      </c>
      <c r="K619" s="12" t="s">
        <v>662</v>
      </c>
      <c r="L619" s="12" t="str">
        <f>IF(OR(ISBLANK(tblSites[[#This Row],[Implementing Partner]]), tblSites[[#This Row],[Implementing Partner]]="-"), tblSites[[#This Row],[Site Agency]], tblSites[[#This Row],[Implementing Partner]])</f>
        <v>PARC</v>
      </c>
      <c r="M619" s="12" t="s">
        <v>55</v>
      </c>
      <c r="N619" s="12" t="str">
        <f>tblSites[[#This Row],[FinalImplementingPartner]]</f>
        <v>PARC</v>
      </c>
    </row>
    <row r="620" spans="1:14" x14ac:dyDescent="0.25">
      <c r="A620" s="12" t="s">
        <v>2001</v>
      </c>
      <c r="B620" s="12" t="s">
        <v>2002</v>
      </c>
      <c r="C620" s="12" t="s">
        <v>2003</v>
      </c>
      <c r="D620" t="s">
        <v>59</v>
      </c>
      <c r="E620" s="12" t="s">
        <v>3179</v>
      </c>
      <c r="F620" s="12" t="s">
        <v>60</v>
      </c>
      <c r="G620" s="12" t="s">
        <v>5119</v>
      </c>
      <c r="H620" s="12" t="s">
        <v>2002</v>
      </c>
      <c r="I620" s="84">
        <v>2600119</v>
      </c>
      <c r="J620" s="12" t="s">
        <v>5102</v>
      </c>
      <c r="L620" s="12" t="str">
        <f>IF(OR(ISBLANK(tblSites[[#This Row],[Implementing Partner]]), tblSites[[#This Row],[Implementing Partner]]="-"), tblSites[[#This Row],[Site Agency]], tblSites[[#This Row],[Implementing Partner]])</f>
        <v>No SMA</v>
      </c>
      <c r="M620" s="12" t="s">
        <v>55</v>
      </c>
      <c r="N620" s="12" t="str">
        <f>tblSites[[#This Row],[FinalImplementingPartner]]</f>
        <v>No SMA</v>
      </c>
    </row>
    <row r="621" spans="1:14" x14ac:dyDescent="0.25">
      <c r="A621" s="12" t="s">
        <v>949</v>
      </c>
      <c r="B621" s="12" t="s">
        <v>950</v>
      </c>
      <c r="C621" s="12" t="s">
        <v>951</v>
      </c>
      <c r="D621" t="s">
        <v>59</v>
      </c>
      <c r="E621" s="12" t="s">
        <v>3179</v>
      </c>
      <c r="F621" s="12" t="s">
        <v>67</v>
      </c>
      <c r="G621" s="12" t="s">
        <v>5109</v>
      </c>
      <c r="H621" s="12" t="s">
        <v>950</v>
      </c>
      <c r="I621" s="84">
        <v>2600118</v>
      </c>
      <c r="J621" s="12" t="s">
        <v>5102</v>
      </c>
      <c r="L621" s="12" t="str">
        <f>IF(OR(ISBLANK(tblSites[[#This Row],[Implementing Partner]]), tblSites[[#This Row],[Implementing Partner]]="-"), tblSites[[#This Row],[Site Agency]], tblSites[[#This Row],[Implementing Partner]])</f>
        <v>No SMA</v>
      </c>
      <c r="M621" s="12" t="s">
        <v>55</v>
      </c>
      <c r="N621" s="12" t="str">
        <f>tblSites[[#This Row],[FinalImplementingPartner]]</f>
        <v>No SMA</v>
      </c>
    </row>
    <row r="622" spans="1:14" x14ac:dyDescent="0.25">
      <c r="A622" s="12" t="s">
        <v>1975</v>
      </c>
      <c r="B622" s="12" t="s">
        <v>1976</v>
      </c>
      <c r="C622" s="12" t="s">
        <v>1191</v>
      </c>
      <c r="D622" t="s">
        <v>59</v>
      </c>
      <c r="E622" s="12" t="s">
        <v>3179</v>
      </c>
      <c r="F622" s="12" t="s">
        <v>67</v>
      </c>
      <c r="G622" s="12" t="s">
        <v>5109</v>
      </c>
      <c r="H622" s="12" t="s">
        <v>1976</v>
      </c>
      <c r="I622" s="84">
        <v>2600118</v>
      </c>
      <c r="J622" s="12" t="s">
        <v>5102</v>
      </c>
      <c r="L622" s="12" t="str">
        <f>IF(OR(ISBLANK(tblSites[[#This Row],[Implementing Partner]]), tblSites[[#This Row],[Implementing Partner]]="-"), tblSites[[#This Row],[Site Agency]], tblSites[[#This Row],[Implementing Partner]])</f>
        <v>No SMA</v>
      </c>
      <c r="M622" s="12" t="s">
        <v>55</v>
      </c>
      <c r="N622" s="12" t="str">
        <f>tblSites[[#This Row],[FinalImplementingPartner]]</f>
        <v>No SMA</v>
      </c>
    </row>
    <row r="623" spans="1:14" x14ac:dyDescent="0.25">
      <c r="A623" s="12" t="s">
        <v>56</v>
      </c>
      <c r="B623" s="12" t="s">
        <v>57</v>
      </c>
      <c r="C623" s="12" t="s">
        <v>58</v>
      </c>
      <c r="D623" t="s">
        <v>59</v>
      </c>
      <c r="E623" s="12" t="s">
        <v>3179</v>
      </c>
      <c r="F623" s="12" t="s">
        <v>60</v>
      </c>
      <c r="G623" s="12" t="s">
        <v>5128</v>
      </c>
      <c r="H623" s="12" t="s">
        <v>57</v>
      </c>
      <c r="I623" s="84">
        <v>2600119</v>
      </c>
      <c r="J623" s="12" t="s">
        <v>5</v>
      </c>
      <c r="K623" s="12" t="s">
        <v>54</v>
      </c>
      <c r="L623" s="12" t="str">
        <f>IF(OR(ISBLANK(tblSites[[#This Row],[Implementing Partner]]), tblSites[[#This Row],[Implementing Partner]]="-"), tblSites[[#This Row],[Site Agency]], tblSites[[#This Row],[Implementing Partner]])</f>
        <v>PHC</v>
      </c>
      <c r="M623" s="12" t="s">
        <v>55</v>
      </c>
      <c r="N623" s="12" t="str">
        <f>tblSites[[#This Row],[FinalImplementingPartner]]</f>
        <v>PHC</v>
      </c>
    </row>
    <row r="624" spans="1:14" x14ac:dyDescent="0.25">
      <c r="A624" s="12" t="s">
        <v>1022</v>
      </c>
      <c r="B624" s="12" t="s">
        <v>1023</v>
      </c>
      <c r="C624" s="12" t="s">
        <v>1024</v>
      </c>
      <c r="D624" t="s">
        <v>59</v>
      </c>
      <c r="E624" s="12" t="s">
        <v>3179</v>
      </c>
      <c r="F624" s="12" t="s">
        <v>60</v>
      </c>
      <c r="G624" s="12" t="s">
        <v>5138</v>
      </c>
      <c r="H624" s="12" t="s">
        <v>1023</v>
      </c>
      <c r="I624" s="84">
        <v>2600119</v>
      </c>
      <c r="J624" s="12" t="s">
        <v>34</v>
      </c>
      <c r="L624" s="12" t="str">
        <f>IF(OR(ISBLANK(tblSites[[#This Row],[Implementing Partner]]), tblSites[[#This Row],[Implementing Partner]]="-"), tblSites[[#This Row],[Site Agency]], tblSites[[#This Row],[Implementing Partner]])</f>
        <v>DRC</v>
      </c>
      <c r="M624" s="12" t="s">
        <v>55</v>
      </c>
      <c r="N624" s="12" t="str">
        <f>tblSites[[#This Row],[FinalImplementingPartner]]</f>
        <v>DRC</v>
      </c>
    </row>
    <row r="625" spans="1:14" x14ac:dyDescent="0.25">
      <c r="A625" s="12" t="s">
        <v>2141</v>
      </c>
      <c r="B625" s="12" t="s">
        <v>2142</v>
      </c>
      <c r="C625" s="12" t="s">
        <v>2143</v>
      </c>
      <c r="D625" t="s">
        <v>59</v>
      </c>
      <c r="E625" s="12" t="s">
        <v>3179</v>
      </c>
      <c r="F625" s="12" t="s">
        <v>67</v>
      </c>
      <c r="G625" s="12" t="s">
        <v>5109</v>
      </c>
      <c r="H625" s="12" t="s">
        <v>2142</v>
      </c>
      <c r="I625" s="84">
        <v>2600118</v>
      </c>
      <c r="J625" s="12" t="s">
        <v>5102</v>
      </c>
      <c r="L625" s="12" t="str">
        <f>IF(OR(ISBLANK(tblSites[[#This Row],[Implementing Partner]]), tblSites[[#This Row],[Implementing Partner]]="-"), tblSites[[#This Row],[Site Agency]], tblSites[[#This Row],[Implementing Partner]])</f>
        <v>No SMA</v>
      </c>
      <c r="M625" s="12" t="s">
        <v>55</v>
      </c>
      <c r="N625" s="12" t="str">
        <f>tblSites[[#This Row],[FinalImplementingPartner]]</f>
        <v>No SMA</v>
      </c>
    </row>
    <row r="626" spans="1:14" x14ac:dyDescent="0.25">
      <c r="A626" s="12" t="s">
        <v>2857</v>
      </c>
      <c r="B626" s="12" t="s">
        <v>2858</v>
      </c>
      <c r="C626" s="12" t="s">
        <v>2859</v>
      </c>
      <c r="D626" t="s">
        <v>59</v>
      </c>
      <c r="E626" s="12" t="s">
        <v>3179</v>
      </c>
      <c r="F626" s="12" t="s">
        <v>60</v>
      </c>
      <c r="G626" s="12" t="s">
        <v>5119</v>
      </c>
      <c r="H626" s="12" t="s">
        <v>2858</v>
      </c>
      <c r="I626" s="84">
        <v>2600119</v>
      </c>
      <c r="J626" s="12" t="s">
        <v>5102</v>
      </c>
      <c r="L626" s="12" t="str">
        <f>IF(OR(ISBLANK(tblSites[[#This Row],[Implementing Partner]]), tblSites[[#This Row],[Implementing Partner]]="-"), tblSites[[#This Row],[Site Agency]], tblSites[[#This Row],[Implementing Partner]])</f>
        <v>No SMA</v>
      </c>
      <c r="M626" s="12" t="s">
        <v>55</v>
      </c>
      <c r="N626" s="12" t="str">
        <f>tblSites[[#This Row],[FinalImplementingPartner]]</f>
        <v>No SMA</v>
      </c>
    </row>
    <row r="627" spans="1:14" x14ac:dyDescent="0.25">
      <c r="A627" s="12" t="s">
        <v>71</v>
      </c>
      <c r="B627" s="12" t="s">
        <v>72</v>
      </c>
      <c r="C627" s="12" t="s">
        <v>5284</v>
      </c>
      <c r="D627" t="s">
        <v>59</v>
      </c>
      <c r="E627" s="12" t="s">
        <v>3179</v>
      </c>
      <c r="F627" s="12" t="s">
        <v>60</v>
      </c>
      <c r="G627" s="12" t="s">
        <v>5128</v>
      </c>
      <c r="H627" s="12" t="s">
        <v>72</v>
      </c>
      <c r="I627" s="84">
        <v>2600119</v>
      </c>
      <c r="J627" s="12" t="s">
        <v>5</v>
      </c>
      <c r="K627" s="12" t="s">
        <v>54</v>
      </c>
      <c r="L627" s="12" t="str">
        <f>IF(OR(ISBLANK(tblSites[[#This Row],[Implementing Partner]]), tblSites[[#This Row],[Implementing Partner]]="-"), tblSites[[#This Row],[Site Agency]], tblSites[[#This Row],[Implementing Partner]])</f>
        <v>PHC</v>
      </c>
      <c r="M627" s="12" t="s">
        <v>55</v>
      </c>
      <c r="N627" s="12" t="str">
        <f>tblSites[[#This Row],[FinalImplementingPartner]]</f>
        <v>PHC</v>
      </c>
    </row>
    <row r="628" spans="1:14" x14ac:dyDescent="0.25">
      <c r="A628" s="12" t="s">
        <v>405</v>
      </c>
      <c r="B628" s="12" t="s">
        <v>406</v>
      </c>
      <c r="C628" s="12" t="s">
        <v>407</v>
      </c>
      <c r="D628" t="s">
        <v>59</v>
      </c>
      <c r="E628" s="12" t="s">
        <v>3179</v>
      </c>
      <c r="F628" s="12" t="s">
        <v>60</v>
      </c>
      <c r="G628" s="12" t="s">
        <v>5117</v>
      </c>
      <c r="H628" s="12" t="s">
        <v>406</v>
      </c>
      <c r="I628" s="84">
        <v>2600119</v>
      </c>
      <c r="J628" s="12" t="s">
        <v>5</v>
      </c>
      <c r="K628" s="12" t="s">
        <v>83</v>
      </c>
      <c r="L628" s="12" t="str">
        <f>IF(OR(ISBLANK(tblSites[[#This Row],[Implementing Partner]]), tblSites[[#This Row],[Implementing Partner]]="-"), tblSites[[#This Row],[Site Agency]], tblSites[[#This Row],[Implementing Partner]])</f>
        <v>CESVI</v>
      </c>
      <c r="M628" s="12" t="s">
        <v>55</v>
      </c>
      <c r="N628" s="12" t="str">
        <f>tblSites[[#This Row],[FinalImplementingPartner]]</f>
        <v>CESVI</v>
      </c>
    </row>
    <row r="629" spans="1:14" x14ac:dyDescent="0.25">
      <c r="A629" s="12" t="s">
        <v>1972</v>
      </c>
      <c r="B629" s="12" t="s">
        <v>1973</v>
      </c>
      <c r="C629" s="12" t="s">
        <v>1974</v>
      </c>
      <c r="D629" t="s">
        <v>59</v>
      </c>
      <c r="E629" s="12" t="s">
        <v>3179</v>
      </c>
      <c r="F629" s="12" t="s">
        <v>67</v>
      </c>
      <c r="G629" s="12" t="s">
        <v>5399</v>
      </c>
      <c r="H629" s="12" t="s">
        <v>1973</v>
      </c>
      <c r="I629" s="84">
        <v>2600118</v>
      </c>
      <c r="J629" s="12" t="s">
        <v>7</v>
      </c>
      <c r="K629" s="12" t="s">
        <v>389</v>
      </c>
      <c r="L629" s="12" t="str">
        <f>IF(OR(ISBLANK(tblSites[[#This Row],[Implementing Partner]]), tblSites[[#This Row],[Implementing Partner]]="-"), tblSites[[#This Row],[Site Agency]], tblSites[[#This Row],[Implementing Partner]])</f>
        <v>ACTED</v>
      </c>
      <c r="M629" s="12" t="s">
        <v>55</v>
      </c>
      <c r="N629" s="12" t="str">
        <f>tblSites[[#This Row],[FinalImplementingPartner]]</f>
        <v>ACTED</v>
      </c>
    </row>
    <row r="630" spans="1:14" x14ac:dyDescent="0.25">
      <c r="A630" s="12" t="s">
        <v>965</v>
      </c>
      <c r="B630" s="12" t="s">
        <v>966</v>
      </c>
      <c r="C630" s="12" t="s">
        <v>967</v>
      </c>
      <c r="D630" t="s">
        <v>59</v>
      </c>
      <c r="E630" s="12" t="s">
        <v>3179</v>
      </c>
      <c r="F630" s="12" t="s">
        <v>67</v>
      </c>
      <c r="G630" s="12" t="s">
        <v>5125</v>
      </c>
      <c r="H630" s="12" t="s">
        <v>966</v>
      </c>
      <c r="I630" s="84">
        <v>2600118</v>
      </c>
      <c r="J630" s="12" t="s">
        <v>5</v>
      </c>
      <c r="K630" s="12" t="s">
        <v>54</v>
      </c>
      <c r="L630" s="12" t="str">
        <f>IF(OR(ISBLANK(tblSites[[#This Row],[Implementing Partner]]), tblSites[[#This Row],[Implementing Partner]]="-"), tblSites[[#This Row],[Site Agency]], tblSites[[#This Row],[Implementing Partner]])</f>
        <v>PHC</v>
      </c>
      <c r="M630" s="12" t="s">
        <v>55</v>
      </c>
      <c r="N630" s="12" t="str">
        <f>tblSites[[#This Row],[FinalImplementingPartner]]</f>
        <v>PHC</v>
      </c>
    </row>
    <row r="631" spans="1:14" x14ac:dyDescent="0.25">
      <c r="A631" s="12" t="s">
        <v>2138</v>
      </c>
      <c r="B631" s="12" t="s">
        <v>2139</v>
      </c>
      <c r="C631" s="12" t="s">
        <v>2140</v>
      </c>
      <c r="D631" t="s">
        <v>59</v>
      </c>
      <c r="E631" s="12" t="s">
        <v>3179</v>
      </c>
      <c r="F631" s="12" t="s">
        <v>60</v>
      </c>
      <c r="G631" s="12" t="s">
        <v>5119</v>
      </c>
      <c r="H631" s="12" t="s">
        <v>2139</v>
      </c>
      <c r="I631" s="84">
        <v>2600119</v>
      </c>
      <c r="J631" s="12" t="s">
        <v>5102</v>
      </c>
      <c r="L631" s="12" t="str">
        <f>IF(OR(ISBLANK(tblSites[[#This Row],[Implementing Partner]]), tblSites[[#This Row],[Implementing Partner]]="-"), tblSites[[#This Row],[Site Agency]], tblSites[[#This Row],[Implementing Partner]])</f>
        <v>No SMA</v>
      </c>
      <c r="M631" s="12" t="s">
        <v>55</v>
      </c>
      <c r="N631" s="12" t="str">
        <f>tblSites[[#This Row],[FinalImplementingPartner]]</f>
        <v>No SMA</v>
      </c>
    </row>
    <row r="632" spans="1:14" x14ac:dyDescent="0.25">
      <c r="A632" s="12" t="s">
        <v>1977</v>
      </c>
      <c r="B632" s="12" t="s">
        <v>1978</v>
      </c>
      <c r="C632" s="12" t="s">
        <v>1979</v>
      </c>
      <c r="D632" t="s">
        <v>59</v>
      </c>
      <c r="E632" s="12" t="s">
        <v>3179</v>
      </c>
      <c r="F632" s="12" t="s">
        <v>67</v>
      </c>
      <c r="G632" s="12" t="s">
        <v>5109</v>
      </c>
      <c r="H632" s="12" t="s">
        <v>1978</v>
      </c>
      <c r="I632" s="84">
        <v>2600118</v>
      </c>
      <c r="J632" s="12" t="s">
        <v>5102</v>
      </c>
      <c r="L632" s="12" t="str">
        <f>IF(OR(ISBLANK(tblSites[[#This Row],[Implementing Partner]]), tblSites[[#This Row],[Implementing Partner]]="-"), tblSites[[#This Row],[Site Agency]], tblSites[[#This Row],[Implementing Partner]])</f>
        <v>No SMA</v>
      </c>
      <c r="M632" s="12" t="s">
        <v>55</v>
      </c>
      <c r="N632" s="12" t="str">
        <f>tblSites[[#This Row],[FinalImplementingPartner]]</f>
        <v>No SMA</v>
      </c>
    </row>
    <row r="633" spans="1:14" x14ac:dyDescent="0.25">
      <c r="A633" s="12" t="s">
        <v>917</v>
      </c>
      <c r="B633" s="12" t="s">
        <v>918</v>
      </c>
      <c r="C633" s="12" t="s">
        <v>919</v>
      </c>
      <c r="D633" t="s">
        <v>59</v>
      </c>
      <c r="E633" s="12" t="s">
        <v>3179</v>
      </c>
      <c r="F633" s="12" t="s">
        <v>60</v>
      </c>
      <c r="G633" s="12" t="s">
        <v>5128</v>
      </c>
      <c r="H633" s="12" t="s">
        <v>918</v>
      </c>
      <c r="I633" s="84">
        <v>2600119</v>
      </c>
      <c r="J633" s="12" t="s">
        <v>5</v>
      </c>
      <c r="K633" s="12" t="s">
        <v>54</v>
      </c>
      <c r="L633" s="12" t="str">
        <f>IF(OR(ISBLANK(tblSites[[#This Row],[Implementing Partner]]), tblSites[[#This Row],[Implementing Partner]]="-"), tblSites[[#This Row],[Site Agency]], tblSites[[#This Row],[Implementing Partner]])</f>
        <v>PHC</v>
      </c>
      <c r="M633" s="12" t="s">
        <v>55</v>
      </c>
      <c r="N633" s="12" t="str">
        <f>tblSites[[#This Row],[FinalImplementingPartner]]</f>
        <v>PHC</v>
      </c>
    </row>
    <row r="634" spans="1:14" x14ac:dyDescent="0.25">
      <c r="A634" s="12" t="s">
        <v>2860</v>
      </c>
      <c r="B634" s="12" t="s">
        <v>2861</v>
      </c>
      <c r="C634" s="12" t="s">
        <v>2862</v>
      </c>
      <c r="D634" t="s">
        <v>59</v>
      </c>
      <c r="E634" s="12" t="s">
        <v>3179</v>
      </c>
      <c r="F634" s="12" t="s">
        <v>60</v>
      </c>
      <c r="G634" s="12" t="s">
        <v>5119</v>
      </c>
      <c r="H634" s="12" t="s">
        <v>2861</v>
      </c>
      <c r="I634" s="84">
        <v>2600119</v>
      </c>
      <c r="J634" s="12" t="s">
        <v>5102</v>
      </c>
      <c r="L634" s="12" t="str">
        <f>IF(OR(ISBLANK(tblSites[[#This Row],[Implementing Partner]]), tblSites[[#This Row],[Implementing Partner]]="-"), tblSites[[#This Row],[Site Agency]], tblSites[[#This Row],[Implementing Partner]])</f>
        <v>No SMA</v>
      </c>
      <c r="M634" s="12" t="s">
        <v>55</v>
      </c>
      <c r="N634" s="12" t="str">
        <f>tblSites[[#This Row],[FinalImplementingPartner]]</f>
        <v>No SMA</v>
      </c>
    </row>
    <row r="635" spans="1:14" x14ac:dyDescent="0.25">
      <c r="A635" s="12" t="s">
        <v>2019</v>
      </c>
      <c r="B635" s="12" t="s">
        <v>4128</v>
      </c>
      <c r="C635" s="12" t="s">
        <v>2020</v>
      </c>
      <c r="D635" t="s">
        <v>59</v>
      </c>
      <c r="E635" s="12" t="s">
        <v>3179</v>
      </c>
      <c r="F635" s="12" t="s">
        <v>426</v>
      </c>
      <c r="G635" s="12" t="s">
        <v>5133</v>
      </c>
      <c r="H635" s="12" t="s">
        <v>4128</v>
      </c>
      <c r="I635" s="84">
        <v>2600112</v>
      </c>
      <c r="J635" s="12" t="s">
        <v>35</v>
      </c>
      <c r="L635" s="12" t="str">
        <f>IF(OR(ISBLANK(tblSites[[#This Row],[Implementing Partner]]), tblSites[[#This Row],[Implementing Partner]]="-"), tblSites[[#This Row],[Site Agency]], tblSites[[#This Row],[Implementing Partner]])</f>
        <v>NRC</v>
      </c>
      <c r="M635" s="12" t="s">
        <v>55</v>
      </c>
      <c r="N635" s="12" t="str">
        <f>tblSites[[#This Row],[FinalImplementingPartner]]</f>
        <v>NRC</v>
      </c>
    </row>
    <row r="636" spans="1:14" x14ac:dyDescent="0.25">
      <c r="A636" s="12" t="s">
        <v>2110</v>
      </c>
      <c r="B636" s="12" t="s">
        <v>2111</v>
      </c>
      <c r="C636" s="12" t="s">
        <v>2112</v>
      </c>
      <c r="D636" t="s">
        <v>59</v>
      </c>
      <c r="E636" s="12" t="s">
        <v>3179</v>
      </c>
      <c r="F636" s="12" t="s">
        <v>324</v>
      </c>
      <c r="G636" s="12" t="s">
        <v>5134</v>
      </c>
      <c r="H636" s="12" t="s">
        <v>2111</v>
      </c>
      <c r="I636" s="84">
        <v>2600120</v>
      </c>
      <c r="J636" s="12" t="s">
        <v>34</v>
      </c>
      <c r="K636" s="12" t="s">
        <v>359</v>
      </c>
      <c r="L636" s="12" t="str">
        <f>IF(OR(ISBLANK(tblSites[[#This Row],[Implementing Partner]]), tblSites[[#This Row],[Implementing Partner]]="-"), tblSites[[#This Row],[Site Agency]], tblSites[[#This Row],[Implementing Partner]])</f>
        <v>FAFD</v>
      </c>
      <c r="M636" s="12" t="s">
        <v>55</v>
      </c>
      <c r="N636" s="12" t="str">
        <f>tblSites[[#This Row],[FinalImplementingPartner]]</f>
        <v>FAFD</v>
      </c>
    </row>
    <row r="637" spans="1:14" x14ac:dyDescent="0.25">
      <c r="A637" s="12" t="s">
        <v>105</v>
      </c>
      <c r="B637" s="12" t="s">
        <v>106</v>
      </c>
      <c r="C637" s="12" t="s">
        <v>107</v>
      </c>
      <c r="D637" t="s">
        <v>59</v>
      </c>
      <c r="E637" s="12" t="s">
        <v>3179</v>
      </c>
      <c r="F637" s="12" t="s">
        <v>87</v>
      </c>
      <c r="G637" s="12" t="s">
        <v>5123</v>
      </c>
      <c r="H637" s="12" t="s">
        <v>106</v>
      </c>
      <c r="I637" s="84">
        <v>2600114</v>
      </c>
      <c r="J637" s="12" t="s">
        <v>5</v>
      </c>
      <c r="K637" s="12" t="s">
        <v>54</v>
      </c>
      <c r="L637" s="12" t="str">
        <f>IF(OR(ISBLANK(tblSites[[#This Row],[Implementing Partner]]), tblSites[[#This Row],[Implementing Partner]]="-"), tblSites[[#This Row],[Site Agency]], tblSites[[#This Row],[Implementing Partner]])</f>
        <v>PHC</v>
      </c>
      <c r="M637" s="12" t="s">
        <v>55</v>
      </c>
      <c r="N637" s="12" t="str">
        <f>tblSites[[#This Row],[FinalImplementingPartner]]</f>
        <v>PHC</v>
      </c>
    </row>
    <row r="638" spans="1:14" x14ac:dyDescent="0.25">
      <c r="A638" s="12" t="s">
        <v>1340</v>
      </c>
      <c r="B638" s="12" t="s">
        <v>1341</v>
      </c>
      <c r="C638" s="12" t="s">
        <v>1342</v>
      </c>
      <c r="D638" t="s">
        <v>59</v>
      </c>
      <c r="E638" s="12" t="s">
        <v>3179</v>
      </c>
      <c r="F638" s="12" t="s">
        <v>114</v>
      </c>
      <c r="G638" s="12" t="s">
        <v>5113</v>
      </c>
      <c r="H638" s="12" t="s">
        <v>1341</v>
      </c>
      <c r="I638" s="84">
        <v>2600123</v>
      </c>
      <c r="J638" s="12" t="s">
        <v>1215</v>
      </c>
      <c r="L638" s="12" t="str">
        <f>IF(OR(ISBLANK(tblSites[[#This Row],[Implementing Partner]]), tblSites[[#This Row],[Implementing Partner]]="-"), tblSites[[#This Row],[Site Agency]], tblSites[[#This Row],[Implementing Partner]])</f>
        <v>UNRWA</v>
      </c>
      <c r="M638" s="12" t="s">
        <v>55</v>
      </c>
      <c r="N638" s="12" t="str">
        <f>tblSites[[#This Row],[FinalImplementingPartner]]</f>
        <v>UNRWA</v>
      </c>
    </row>
    <row r="639" spans="1:14" x14ac:dyDescent="0.25">
      <c r="A639" s="12" t="s">
        <v>2863</v>
      </c>
      <c r="B639" s="12" t="s">
        <v>2864</v>
      </c>
      <c r="C639" s="12" t="s">
        <v>2384</v>
      </c>
      <c r="D639" t="s">
        <v>59</v>
      </c>
      <c r="E639" s="12" t="s">
        <v>3179</v>
      </c>
      <c r="F639" s="12" t="s">
        <v>60</v>
      </c>
      <c r="G639" s="12" t="s">
        <v>5119</v>
      </c>
      <c r="H639" s="12" t="s">
        <v>2864</v>
      </c>
      <c r="I639" s="84">
        <v>2600119</v>
      </c>
      <c r="J639" s="12" t="s">
        <v>5102</v>
      </c>
      <c r="L639" s="12" t="str">
        <f>IF(OR(ISBLANK(tblSites[[#This Row],[Implementing Partner]]), tblSites[[#This Row],[Implementing Partner]]="-"), tblSites[[#This Row],[Site Agency]], tblSites[[#This Row],[Implementing Partner]])</f>
        <v>No SMA</v>
      </c>
      <c r="M639" s="12" t="s">
        <v>55</v>
      </c>
      <c r="N639" s="12" t="str">
        <f>tblSites[[#This Row],[FinalImplementingPartner]]</f>
        <v>No SMA</v>
      </c>
    </row>
    <row r="640" spans="1:14" x14ac:dyDescent="0.25">
      <c r="A640" s="12" t="s">
        <v>2865</v>
      </c>
      <c r="B640" s="12" t="s">
        <v>2866</v>
      </c>
      <c r="C640" s="12" t="s">
        <v>2867</v>
      </c>
      <c r="D640" t="s">
        <v>59</v>
      </c>
      <c r="E640" s="12" t="s">
        <v>3179</v>
      </c>
      <c r="F640" s="12" t="s">
        <v>60</v>
      </c>
      <c r="G640" s="12" t="s">
        <v>5119</v>
      </c>
      <c r="H640" s="12" t="s">
        <v>2866</v>
      </c>
      <c r="I640" s="84">
        <v>2600119</v>
      </c>
      <c r="J640" s="12" t="s">
        <v>5102</v>
      </c>
      <c r="L640" s="12" t="str">
        <f>IF(OR(ISBLANK(tblSites[[#This Row],[Implementing Partner]]), tblSites[[#This Row],[Implementing Partner]]="-"), tblSites[[#This Row],[Site Agency]], tblSites[[#This Row],[Implementing Partner]])</f>
        <v>No SMA</v>
      </c>
      <c r="M640" s="12" t="s">
        <v>55</v>
      </c>
      <c r="N640" s="12" t="str">
        <f>tblSites[[#This Row],[FinalImplementingPartner]]</f>
        <v>No SMA</v>
      </c>
    </row>
    <row r="641" spans="1:14" x14ac:dyDescent="0.25">
      <c r="A641" s="12" t="s">
        <v>444</v>
      </c>
      <c r="B641" s="12" t="s">
        <v>445</v>
      </c>
      <c r="C641" s="12" t="s">
        <v>446</v>
      </c>
      <c r="D641" t="s">
        <v>59</v>
      </c>
      <c r="E641" s="12" t="s">
        <v>3179</v>
      </c>
      <c r="F641" s="12" t="s">
        <v>67</v>
      </c>
      <c r="G641" s="12" t="s">
        <v>5108</v>
      </c>
      <c r="H641" s="12" t="s">
        <v>445</v>
      </c>
      <c r="I641" s="84">
        <v>2600118</v>
      </c>
      <c r="J641" s="12" t="s">
        <v>5</v>
      </c>
      <c r="K641" s="12" t="s">
        <v>83</v>
      </c>
      <c r="L641" s="12" t="str">
        <f>IF(OR(ISBLANK(tblSites[[#This Row],[Implementing Partner]]), tblSites[[#This Row],[Implementing Partner]]="-"), tblSites[[#This Row],[Site Agency]], tblSites[[#This Row],[Implementing Partner]])</f>
        <v>CESVI</v>
      </c>
      <c r="M641" s="12" t="s">
        <v>55</v>
      </c>
      <c r="N641" s="12" t="str">
        <f>tblSites[[#This Row],[FinalImplementingPartner]]</f>
        <v>CESVI</v>
      </c>
    </row>
    <row r="642" spans="1:14" x14ac:dyDescent="0.25">
      <c r="A642" s="12" t="s">
        <v>423</v>
      </c>
      <c r="B642" s="12" t="s">
        <v>424</v>
      </c>
      <c r="C642" s="12" t="s">
        <v>425</v>
      </c>
      <c r="D642" t="s">
        <v>59</v>
      </c>
      <c r="E642" s="12" t="s">
        <v>3179</v>
      </c>
      <c r="F642" s="12" t="s">
        <v>342</v>
      </c>
      <c r="G642" s="12" t="s">
        <v>5139</v>
      </c>
      <c r="H642" s="12" t="s">
        <v>424</v>
      </c>
      <c r="I642" s="84">
        <v>2600113</v>
      </c>
      <c r="J642" s="12" t="s">
        <v>5</v>
      </c>
      <c r="K642" s="12" t="s">
        <v>83</v>
      </c>
      <c r="L642" s="12" t="str">
        <f>IF(OR(ISBLANK(tblSites[[#This Row],[Implementing Partner]]), tblSites[[#This Row],[Implementing Partner]]="-"), tblSites[[#This Row],[Site Agency]], tblSites[[#This Row],[Implementing Partner]])</f>
        <v>CESVI</v>
      </c>
      <c r="M642" s="12" t="s">
        <v>55</v>
      </c>
      <c r="N642" s="12" t="str">
        <f>tblSites[[#This Row],[FinalImplementingPartner]]</f>
        <v>CESVI</v>
      </c>
    </row>
    <row r="643" spans="1:14" x14ac:dyDescent="0.25">
      <c r="A643" s="12" t="s">
        <v>1527</v>
      </c>
      <c r="B643" s="12" t="s">
        <v>1528</v>
      </c>
      <c r="C643" s="12" t="s">
        <v>1529</v>
      </c>
      <c r="D643" t="s">
        <v>59</v>
      </c>
      <c r="E643" s="12" t="s">
        <v>3179</v>
      </c>
      <c r="F643" s="12" t="s">
        <v>342</v>
      </c>
      <c r="G643" s="12" t="s">
        <v>5130</v>
      </c>
      <c r="H643" s="12" t="s">
        <v>1528</v>
      </c>
      <c r="I643" s="84">
        <v>2600113</v>
      </c>
      <c r="J643" s="12" t="s">
        <v>5102</v>
      </c>
      <c r="L643" s="12" t="str">
        <f>IF(OR(ISBLANK(tblSites[[#This Row],[Implementing Partner]]), tblSites[[#This Row],[Implementing Partner]]="-"), tblSites[[#This Row],[Site Agency]], tblSites[[#This Row],[Implementing Partner]])</f>
        <v>No SMA</v>
      </c>
      <c r="M643" s="12" t="s">
        <v>55</v>
      </c>
      <c r="N643" s="12" t="str">
        <f>tblSites[[#This Row],[FinalImplementingPartner]]</f>
        <v>No SMA</v>
      </c>
    </row>
    <row r="644" spans="1:14" x14ac:dyDescent="0.25">
      <c r="A644" s="12" t="s">
        <v>369</v>
      </c>
      <c r="B644" s="12" t="s">
        <v>370</v>
      </c>
      <c r="C644" s="12" t="s">
        <v>371</v>
      </c>
      <c r="D644" t="s">
        <v>59</v>
      </c>
      <c r="E644" s="12" t="s">
        <v>3179</v>
      </c>
      <c r="F644" s="12" t="s">
        <v>67</v>
      </c>
      <c r="G644" s="12" t="s">
        <v>5108</v>
      </c>
      <c r="H644" s="12" t="s">
        <v>370</v>
      </c>
      <c r="I644" s="84">
        <v>2600118</v>
      </c>
      <c r="J644" s="12" t="s">
        <v>5</v>
      </c>
      <c r="K644" s="12" t="s">
        <v>83</v>
      </c>
      <c r="L644" s="12" t="str">
        <f>IF(OR(ISBLANK(tblSites[[#This Row],[Implementing Partner]]), tblSites[[#This Row],[Implementing Partner]]="-"), tblSites[[#This Row],[Site Agency]], tblSites[[#This Row],[Implementing Partner]])</f>
        <v>CESVI</v>
      </c>
      <c r="M644" s="12" t="s">
        <v>55</v>
      </c>
      <c r="N644" s="12" t="str">
        <f>tblSites[[#This Row],[FinalImplementingPartner]]</f>
        <v>CESVI</v>
      </c>
    </row>
    <row r="645" spans="1:14" x14ac:dyDescent="0.25">
      <c r="A645" s="12" t="s">
        <v>1088</v>
      </c>
      <c r="B645" s="12" t="s">
        <v>1089</v>
      </c>
      <c r="C645" s="12" t="s">
        <v>1090</v>
      </c>
      <c r="D645" t="s">
        <v>59</v>
      </c>
      <c r="E645" s="12" t="s">
        <v>3179</v>
      </c>
      <c r="F645" s="12" t="s">
        <v>1091</v>
      </c>
      <c r="G645" s="12" t="s">
        <v>5120</v>
      </c>
      <c r="H645" s="12" t="s">
        <v>1089</v>
      </c>
      <c r="I645" s="84">
        <v>2600115</v>
      </c>
      <c r="J645" s="12" t="s">
        <v>5102</v>
      </c>
      <c r="K645" s="12" t="s">
        <v>389</v>
      </c>
      <c r="L645" s="12" t="str">
        <f>IF(OR(ISBLANK(tblSites[[#This Row],[Implementing Partner]]), tblSites[[#This Row],[Implementing Partner]]="-"), tblSites[[#This Row],[Site Agency]], tblSites[[#This Row],[Implementing Partner]])</f>
        <v>No SMA</v>
      </c>
      <c r="M645" s="12" t="s">
        <v>55</v>
      </c>
      <c r="N645" s="12" t="str">
        <f>tblSites[[#This Row],[FinalImplementingPartner]]</f>
        <v>No SMA</v>
      </c>
    </row>
    <row r="646" spans="1:14" x14ac:dyDescent="0.25">
      <c r="A646" s="12" t="s">
        <v>2869</v>
      </c>
      <c r="B646" s="12" t="s">
        <v>2870</v>
      </c>
      <c r="C646" s="12" t="s">
        <v>2871</v>
      </c>
      <c r="D646" t="s">
        <v>59</v>
      </c>
      <c r="E646" s="12" t="s">
        <v>3179</v>
      </c>
      <c r="F646" s="12" t="s">
        <v>60</v>
      </c>
      <c r="G646" s="12" t="s">
        <v>5119</v>
      </c>
      <c r="H646" s="12" t="s">
        <v>2870</v>
      </c>
      <c r="I646" s="84">
        <v>2600119</v>
      </c>
      <c r="J646" s="12" t="s">
        <v>5102</v>
      </c>
      <c r="L646" s="12" t="str">
        <f>IF(OR(ISBLANK(tblSites[[#This Row],[Implementing Partner]]), tblSites[[#This Row],[Implementing Partner]]="-"), tblSites[[#This Row],[Site Agency]], tblSites[[#This Row],[Implementing Partner]])</f>
        <v>No SMA</v>
      </c>
      <c r="M646" s="12" t="s">
        <v>55</v>
      </c>
      <c r="N646" s="12" t="str">
        <f>tblSites[[#This Row],[FinalImplementingPartner]]</f>
        <v>No SMA</v>
      </c>
    </row>
    <row r="647" spans="1:14" x14ac:dyDescent="0.25">
      <c r="A647" s="12" t="s">
        <v>2872</v>
      </c>
      <c r="B647" s="12" t="s">
        <v>2873</v>
      </c>
      <c r="C647" s="12" t="s">
        <v>2874</v>
      </c>
      <c r="D647" t="s">
        <v>59</v>
      </c>
      <c r="E647" s="12" t="s">
        <v>3179</v>
      </c>
      <c r="F647" s="12" t="s">
        <v>67</v>
      </c>
      <c r="G647" s="12" t="s">
        <v>5109</v>
      </c>
      <c r="H647" s="12" t="s">
        <v>2873</v>
      </c>
      <c r="I647" s="84">
        <v>2600118</v>
      </c>
      <c r="J647" s="12" t="s">
        <v>5102</v>
      </c>
      <c r="L647" s="12" t="str">
        <f>IF(OR(ISBLANK(tblSites[[#This Row],[Implementing Partner]]), tblSites[[#This Row],[Implementing Partner]]="-"), tblSites[[#This Row],[Site Agency]], tblSites[[#This Row],[Implementing Partner]])</f>
        <v>No SMA</v>
      </c>
      <c r="M647" s="12" t="s">
        <v>55</v>
      </c>
      <c r="N647" s="12" t="str">
        <f>tblSites[[#This Row],[FinalImplementingPartner]]</f>
        <v>No SMA</v>
      </c>
    </row>
    <row r="648" spans="1:14" x14ac:dyDescent="0.25">
      <c r="A648" s="12" t="s">
        <v>2875</v>
      </c>
      <c r="B648" s="12" t="s">
        <v>2876</v>
      </c>
      <c r="C648" s="12" t="s">
        <v>2877</v>
      </c>
      <c r="D648" t="s">
        <v>59</v>
      </c>
      <c r="E648" s="12" t="s">
        <v>3179</v>
      </c>
      <c r="F648" s="12" t="s">
        <v>60</v>
      </c>
      <c r="G648" s="12" t="s">
        <v>5119</v>
      </c>
      <c r="H648" s="12" t="s">
        <v>2876</v>
      </c>
      <c r="I648" s="84">
        <v>2600119</v>
      </c>
      <c r="J648" s="12" t="s">
        <v>5102</v>
      </c>
      <c r="L648" s="12" t="str">
        <f>IF(OR(ISBLANK(tblSites[[#This Row],[Implementing Partner]]), tblSites[[#This Row],[Implementing Partner]]="-"), tblSites[[#This Row],[Site Agency]], tblSites[[#This Row],[Implementing Partner]])</f>
        <v>No SMA</v>
      </c>
      <c r="M648" s="12" t="s">
        <v>55</v>
      </c>
      <c r="N648" s="12" t="str">
        <f>tblSites[[#This Row],[FinalImplementingPartner]]</f>
        <v>No SMA</v>
      </c>
    </row>
    <row r="649" spans="1:14" x14ac:dyDescent="0.25">
      <c r="A649" s="12" t="s">
        <v>2878</v>
      </c>
      <c r="B649" s="12" t="s">
        <v>2879</v>
      </c>
      <c r="C649" s="12" t="s">
        <v>2880</v>
      </c>
      <c r="D649" t="s">
        <v>59</v>
      </c>
      <c r="E649" s="12" t="s">
        <v>3179</v>
      </c>
      <c r="F649" s="12" t="s">
        <v>60</v>
      </c>
      <c r="G649" s="12" t="s">
        <v>5119</v>
      </c>
      <c r="H649" s="12" t="s">
        <v>2879</v>
      </c>
      <c r="I649" s="84">
        <v>2600119</v>
      </c>
      <c r="J649" s="12" t="s">
        <v>5102</v>
      </c>
      <c r="L649" s="12" t="str">
        <f>IF(OR(ISBLANK(tblSites[[#This Row],[Implementing Partner]]), tblSites[[#This Row],[Implementing Partner]]="-"), tblSites[[#This Row],[Site Agency]], tblSites[[#This Row],[Implementing Partner]])</f>
        <v>No SMA</v>
      </c>
      <c r="M649" s="12" t="s">
        <v>55</v>
      </c>
      <c r="N649" s="12" t="str">
        <f>tblSites[[#This Row],[FinalImplementingPartner]]</f>
        <v>No SMA</v>
      </c>
    </row>
    <row r="650" spans="1:14" x14ac:dyDescent="0.25">
      <c r="A650" s="12" t="s">
        <v>326</v>
      </c>
      <c r="B650" s="12" t="s">
        <v>327</v>
      </c>
      <c r="C650" s="12" t="s">
        <v>328</v>
      </c>
      <c r="D650" t="s">
        <v>59</v>
      </c>
      <c r="E650" s="12" t="s">
        <v>3179</v>
      </c>
      <c r="F650" s="12" t="s">
        <v>60</v>
      </c>
      <c r="G650" s="12" t="s">
        <v>5119</v>
      </c>
      <c r="H650" s="12" t="s">
        <v>327</v>
      </c>
      <c r="I650" s="84">
        <v>2600119</v>
      </c>
      <c r="J650" s="12" t="s">
        <v>5102</v>
      </c>
      <c r="L650" s="12" t="str">
        <f>IF(OR(ISBLANK(tblSites[[#This Row],[Implementing Partner]]), tblSites[[#This Row],[Implementing Partner]]="-"), tblSites[[#This Row],[Site Agency]], tblSites[[#This Row],[Implementing Partner]])</f>
        <v>No SMA</v>
      </c>
      <c r="M650" s="12" t="s">
        <v>55</v>
      </c>
      <c r="N650" s="12" t="str">
        <f>tblSites[[#This Row],[FinalImplementingPartner]]</f>
        <v>No SMA</v>
      </c>
    </row>
    <row r="651" spans="1:14" x14ac:dyDescent="0.25">
      <c r="A651" s="12" t="s">
        <v>1031</v>
      </c>
      <c r="B651" s="12" t="s">
        <v>1032</v>
      </c>
      <c r="C651" s="12" t="s">
        <v>1033</v>
      </c>
      <c r="D651" t="s">
        <v>59</v>
      </c>
      <c r="E651" s="12" t="s">
        <v>3179</v>
      </c>
      <c r="F651" s="12" t="s">
        <v>60</v>
      </c>
      <c r="G651" s="12" t="s">
        <v>5119</v>
      </c>
      <c r="H651" s="12" t="s">
        <v>1032</v>
      </c>
      <c r="I651" s="84">
        <v>2600119</v>
      </c>
      <c r="J651" s="12" t="s">
        <v>5102</v>
      </c>
      <c r="K651" s="12" t="s">
        <v>389</v>
      </c>
      <c r="L651" s="12" t="str">
        <f>IF(OR(ISBLANK(tblSites[[#This Row],[Implementing Partner]]), tblSites[[#This Row],[Implementing Partner]]="-"), tblSites[[#This Row],[Site Agency]], tblSites[[#This Row],[Implementing Partner]])</f>
        <v>No SMA</v>
      </c>
      <c r="M651" s="12" t="s">
        <v>55</v>
      </c>
      <c r="N651" s="12" t="str">
        <f>tblSites[[#This Row],[FinalImplementingPartner]]</f>
        <v>No SMA</v>
      </c>
    </row>
    <row r="652" spans="1:14" x14ac:dyDescent="0.25">
      <c r="A652" s="12" t="s">
        <v>1025</v>
      </c>
      <c r="B652" s="12" t="s">
        <v>1026</v>
      </c>
      <c r="C652" s="12" t="s">
        <v>1027</v>
      </c>
      <c r="D652" t="s">
        <v>59</v>
      </c>
      <c r="E652" s="12" t="s">
        <v>3179</v>
      </c>
      <c r="F652" s="12" t="s">
        <v>60</v>
      </c>
      <c r="G652" s="12" t="s">
        <v>5119</v>
      </c>
      <c r="H652" s="12" t="s">
        <v>1026</v>
      </c>
      <c r="I652" s="84">
        <v>2600119</v>
      </c>
      <c r="J652" s="12" t="s">
        <v>5102</v>
      </c>
      <c r="K652" s="12" t="s">
        <v>389</v>
      </c>
      <c r="L652" s="12" t="str">
        <f>IF(OR(ISBLANK(tblSites[[#This Row],[Implementing Partner]]), tblSites[[#This Row],[Implementing Partner]]="-"), tblSites[[#This Row],[Site Agency]], tblSites[[#This Row],[Implementing Partner]])</f>
        <v>No SMA</v>
      </c>
      <c r="M652" s="12" t="s">
        <v>55</v>
      </c>
      <c r="N652" s="12" t="str">
        <f>tblSites[[#This Row],[FinalImplementingPartner]]</f>
        <v>No SMA</v>
      </c>
    </row>
    <row r="653" spans="1:14" x14ac:dyDescent="0.25">
      <c r="A653" s="12" t="s">
        <v>2881</v>
      </c>
      <c r="B653" s="12" t="s">
        <v>2882</v>
      </c>
      <c r="C653" s="12" t="s">
        <v>2883</v>
      </c>
      <c r="D653" t="s">
        <v>59</v>
      </c>
      <c r="E653" s="12" t="s">
        <v>3179</v>
      </c>
      <c r="F653" s="12" t="s">
        <v>60</v>
      </c>
      <c r="G653" s="12" t="s">
        <v>5119</v>
      </c>
      <c r="H653" s="12" t="s">
        <v>2882</v>
      </c>
      <c r="I653" s="84">
        <v>2600119</v>
      </c>
      <c r="J653" s="12" t="s">
        <v>5102</v>
      </c>
      <c r="L653" s="12" t="str">
        <f>IF(OR(ISBLANK(tblSites[[#This Row],[Implementing Partner]]), tblSites[[#This Row],[Implementing Partner]]="-"), tblSites[[#This Row],[Site Agency]], tblSites[[#This Row],[Implementing Partner]])</f>
        <v>No SMA</v>
      </c>
      <c r="M653" s="12" t="s">
        <v>55</v>
      </c>
      <c r="N653" s="12" t="str">
        <f>tblSites[[#This Row],[FinalImplementingPartner]]</f>
        <v>No SMA</v>
      </c>
    </row>
    <row r="654" spans="1:14" x14ac:dyDescent="0.25">
      <c r="A654" s="12" t="s">
        <v>2884</v>
      </c>
      <c r="B654" s="12" t="s">
        <v>2885</v>
      </c>
      <c r="C654" s="12" t="s">
        <v>2886</v>
      </c>
      <c r="D654" t="s">
        <v>59</v>
      </c>
      <c r="E654" s="12" t="s">
        <v>3179</v>
      </c>
      <c r="F654" s="12" t="s">
        <v>60</v>
      </c>
      <c r="G654" s="12" t="s">
        <v>5119</v>
      </c>
      <c r="H654" s="12" t="s">
        <v>2885</v>
      </c>
      <c r="I654" s="84">
        <v>2600119</v>
      </c>
      <c r="J654" s="12" t="s">
        <v>5102</v>
      </c>
      <c r="L654" s="12" t="str">
        <f>IF(OR(ISBLANK(tblSites[[#This Row],[Implementing Partner]]), tblSites[[#This Row],[Implementing Partner]]="-"), tblSites[[#This Row],[Site Agency]], tblSites[[#This Row],[Implementing Partner]])</f>
        <v>No SMA</v>
      </c>
      <c r="M654" s="12" t="s">
        <v>55</v>
      </c>
      <c r="N654" s="12" t="str">
        <f>tblSites[[#This Row],[FinalImplementingPartner]]</f>
        <v>No SMA</v>
      </c>
    </row>
    <row r="655" spans="1:14" x14ac:dyDescent="0.25">
      <c r="A655" s="12" t="s">
        <v>339</v>
      </c>
      <c r="B655" s="12" t="s">
        <v>340</v>
      </c>
      <c r="C655" s="12" t="s">
        <v>341</v>
      </c>
      <c r="D655" t="s">
        <v>59</v>
      </c>
      <c r="E655" s="12" t="s">
        <v>3179</v>
      </c>
      <c r="F655" s="12" t="s">
        <v>342</v>
      </c>
      <c r="G655" s="12" t="s">
        <v>5139</v>
      </c>
      <c r="H655" s="12" t="s">
        <v>340</v>
      </c>
      <c r="I655" s="84">
        <v>2600113</v>
      </c>
      <c r="J655" s="12" t="s">
        <v>5</v>
      </c>
      <c r="K655" s="12" t="s">
        <v>83</v>
      </c>
      <c r="L655" s="12" t="str">
        <f>IF(OR(ISBLANK(tblSites[[#This Row],[Implementing Partner]]), tblSites[[#This Row],[Implementing Partner]]="-"), tblSites[[#This Row],[Site Agency]], tblSites[[#This Row],[Implementing Partner]])</f>
        <v>CESVI</v>
      </c>
      <c r="M655" s="12" t="s">
        <v>55</v>
      </c>
      <c r="N655" s="12" t="str">
        <f>tblSites[[#This Row],[FinalImplementingPartner]]</f>
        <v>CESVI</v>
      </c>
    </row>
    <row r="656" spans="1:14" x14ac:dyDescent="0.25">
      <c r="A656" s="12" t="s">
        <v>2888</v>
      </c>
      <c r="B656" s="12" t="s">
        <v>2889</v>
      </c>
      <c r="C656" s="12" t="s">
        <v>2890</v>
      </c>
      <c r="D656" t="s">
        <v>59</v>
      </c>
      <c r="E656" s="12" t="s">
        <v>3179</v>
      </c>
      <c r="F656" s="12" t="s">
        <v>324</v>
      </c>
      <c r="G656" s="12" t="s">
        <v>5400</v>
      </c>
      <c r="H656" s="12" t="s">
        <v>2889</v>
      </c>
      <c r="I656" s="84">
        <v>2600120</v>
      </c>
      <c r="J656" s="12" t="s">
        <v>5</v>
      </c>
      <c r="K656" s="12" t="s">
        <v>7</v>
      </c>
      <c r="L656" s="12" t="str">
        <f>IF(OR(ISBLANK(tblSites[[#This Row],[Implementing Partner]]), tblSites[[#This Row],[Implementing Partner]]="-"), tblSites[[#This Row],[Site Agency]], tblSites[[#This Row],[Implementing Partner]])</f>
        <v>ACTED</v>
      </c>
      <c r="M656" s="12" t="s">
        <v>55</v>
      </c>
      <c r="N656" s="12" t="str">
        <f>tblSites[[#This Row],[FinalImplementingPartner]]</f>
        <v>ACTED</v>
      </c>
    </row>
    <row r="657" spans="1:14" x14ac:dyDescent="0.25">
      <c r="A657" s="12" t="s">
        <v>332</v>
      </c>
      <c r="B657" s="12" t="s">
        <v>333</v>
      </c>
      <c r="C657" s="12" t="s">
        <v>334</v>
      </c>
      <c r="D657" t="s">
        <v>59</v>
      </c>
      <c r="E657" s="12" t="s">
        <v>3179</v>
      </c>
      <c r="F657" s="12" t="s">
        <v>335</v>
      </c>
      <c r="G657" s="12" t="s">
        <v>5129</v>
      </c>
      <c r="H657" s="12" t="s">
        <v>333</v>
      </c>
      <c r="I657" s="84">
        <v>2600122</v>
      </c>
      <c r="J657" s="12" t="s">
        <v>5102</v>
      </c>
      <c r="K657" s="12" t="s">
        <v>389</v>
      </c>
      <c r="L657" s="12" t="str">
        <f>IF(OR(ISBLANK(tblSites[[#This Row],[Implementing Partner]]), tblSites[[#This Row],[Implementing Partner]]="-"), tblSites[[#This Row],[Site Agency]], tblSites[[#This Row],[Implementing Partner]])</f>
        <v>No SMA</v>
      </c>
      <c r="M657" s="12" t="s">
        <v>55</v>
      </c>
      <c r="N657" s="12" t="str">
        <f>tblSites[[#This Row],[FinalImplementingPartner]]</f>
        <v>No SMA</v>
      </c>
    </row>
    <row r="658" spans="1:14" x14ac:dyDescent="0.25">
      <c r="A658" s="12" t="s">
        <v>2891</v>
      </c>
      <c r="B658" s="12" t="s">
        <v>2892</v>
      </c>
      <c r="C658" s="12" t="s">
        <v>2893</v>
      </c>
      <c r="D658" t="s">
        <v>59</v>
      </c>
      <c r="E658" s="12" t="s">
        <v>3179</v>
      </c>
      <c r="F658" s="12" t="s">
        <v>60</v>
      </c>
      <c r="G658" s="12" t="s">
        <v>5119</v>
      </c>
      <c r="H658" s="12" t="s">
        <v>2892</v>
      </c>
      <c r="I658" s="84">
        <v>2600119</v>
      </c>
      <c r="J658" s="12" t="s">
        <v>5102</v>
      </c>
      <c r="L658" s="12" t="str">
        <f>IF(OR(ISBLANK(tblSites[[#This Row],[Implementing Partner]]), tblSites[[#This Row],[Implementing Partner]]="-"), tblSites[[#This Row],[Site Agency]], tblSites[[#This Row],[Implementing Partner]])</f>
        <v>No SMA</v>
      </c>
      <c r="M658" s="12" t="s">
        <v>55</v>
      </c>
      <c r="N658" s="12" t="str">
        <f>tblSites[[#This Row],[FinalImplementingPartner]]</f>
        <v>No SMA</v>
      </c>
    </row>
    <row r="659" spans="1:14" x14ac:dyDescent="0.25">
      <c r="A659" s="12" t="s">
        <v>2894</v>
      </c>
      <c r="B659" s="12" t="s">
        <v>2895</v>
      </c>
      <c r="C659" s="12" t="s">
        <v>2896</v>
      </c>
      <c r="D659" t="s">
        <v>59</v>
      </c>
      <c r="E659" s="12" t="s">
        <v>3179</v>
      </c>
      <c r="F659" s="12" t="s">
        <v>695</v>
      </c>
      <c r="G659" s="12" t="s">
        <v>5104</v>
      </c>
      <c r="H659" s="12" t="s">
        <v>2895</v>
      </c>
      <c r="I659" s="84">
        <v>2600116</v>
      </c>
      <c r="J659" s="12" t="s">
        <v>5102</v>
      </c>
      <c r="K659" s="12" t="s">
        <v>389</v>
      </c>
      <c r="L659" s="12" t="str">
        <f>IF(OR(ISBLANK(tblSites[[#This Row],[Implementing Partner]]), tblSites[[#This Row],[Implementing Partner]]="-"), tblSites[[#This Row],[Site Agency]], tblSites[[#This Row],[Implementing Partner]])</f>
        <v>No SMA</v>
      </c>
      <c r="M659" s="12" t="s">
        <v>55</v>
      </c>
      <c r="N659" s="12" t="str">
        <f>tblSites[[#This Row],[FinalImplementingPartner]]</f>
        <v>No SMA</v>
      </c>
    </row>
    <row r="660" spans="1:14" x14ac:dyDescent="0.25">
      <c r="A660" s="12" t="s">
        <v>251</v>
      </c>
      <c r="B660" s="12" t="s">
        <v>252</v>
      </c>
      <c r="C660" s="12" t="s">
        <v>253</v>
      </c>
      <c r="D660" t="s">
        <v>59</v>
      </c>
      <c r="E660" s="12" t="s">
        <v>3179</v>
      </c>
      <c r="F660" s="12" t="s">
        <v>60</v>
      </c>
      <c r="G660" s="12" t="s">
        <v>5119</v>
      </c>
      <c r="H660" s="12" t="s">
        <v>252</v>
      </c>
      <c r="I660" s="84">
        <v>2600119</v>
      </c>
      <c r="J660" s="12" t="s">
        <v>5102</v>
      </c>
      <c r="K660" s="12" t="s">
        <v>389</v>
      </c>
      <c r="L660" s="12" t="str">
        <f>IF(OR(ISBLANK(tblSites[[#This Row],[Implementing Partner]]), tblSites[[#This Row],[Implementing Partner]]="-"), tblSites[[#This Row],[Site Agency]], tblSites[[#This Row],[Implementing Partner]])</f>
        <v>No SMA</v>
      </c>
      <c r="M660" s="12" t="s">
        <v>55</v>
      </c>
      <c r="N660" s="12" t="str">
        <f>tblSites[[#This Row],[FinalImplementingPartner]]</f>
        <v>No SMA</v>
      </c>
    </row>
    <row r="661" spans="1:14" x14ac:dyDescent="0.25">
      <c r="A661" s="12" t="s">
        <v>2897</v>
      </c>
      <c r="B661" s="12" t="s">
        <v>2898</v>
      </c>
      <c r="C661" s="12" t="s">
        <v>2899</v>
      </c>
      <c r="D661" t="s">
        <v>59</v>
      </c>
      <c r="E661" s="12" t="s">
        <v>3179</v>
      </c>
      <c r="F661" s="12" t="s">
        <v>114</v>
      </c>
      <c r="G661" s="12" t="s">
        <v>5140</v>
      </c>
      <c r="H661" s="12" t="s">
        <v>2898</v>
      </c>
      <c r="I661" s="84">
        <v>2600123</v>
      </c>
      <c r="J661" s="12" t="s">
        <v>662</v>
      </c>
      <c r="K661" s="12" t="s">
        <v>389</v>
      </c>
      <c r="L661" s="12" t="str">
        <f>IF(OR(ISBLANK(tblSites[[#This Row],[Implementing Partner]]), tblSites[[#This Row],[Implementing Partner]]="-"), tblSites[[#This Row],[Site Agency]], tblSites[[#This Row],[Implementing Partner]])</f>
        <v>PARC</v>
      </c>
      <c r="M661" s="12" t="s">
        <v>55</v>
      </c>
      <c r="N661" s="12" t="str">
        <f>tblSites[[#This Row],[FinalImplementingPartner]]</f>
        <v>PARC</v>
      </c>
    </row>
    <row r="662" spans="1:14" x14ac:dyDescent="0.25">
      <c r="A662" s="12" t="s">
        <v>3527</v>
      </c>
      <c r="B662" s="12" t="s">
        <v>4129</v>
      </c>
      <c r="C662" s="12" t="s">
        <v>4706</v>
      </c>
      <c r="D662" t="s">
        <v>59</v>
      </c>
      <c r="E662" s="12" t="s">
        <v>3179</v>
      </c>
      <c r="F662" s="12" t="s">
        <v>335</v>
      </c>
      <c r="G662" s="12" t="s">
        <v>5141</v>
      </c>
      <c r="H662" s="12" t="s">
        <v>4129</v>
      </c>
      <c r="I662" s="84">
        <v>2600122</v>
      </c>
      <c r="J662" s="12" t="s">
        <v>359</v>
      </c>
      <c r="K662" s="12" t="s">
        <v>389</v>
      </c>
      <c r="L662" s="12" t="str">
        <f>IF(OR(ISBLANK(tblSites[[#This Row],[Implementing Partner]]), tblSites[[#This Row],[Implementing Partner]]="-"), tblSites[[#This Row],[Site Agency]], tblSites[[#This Row],[Implementing Partner]])</f>
        <v>FAFD</v>
      </c>
      <c r="M662" s="12" t="s">
        <v>55</v>
      </c>
      <c r="N662" s="12" t="str">
        <f>tblSites[[#This Row],[FinalImplementingPartner]]</f>
        <v>FAFD</v>
      </c>
    </row>
    <row r="663" spans="1:14" x14ac:dyDescent="0.25">
      <c r="A663" s="12" t="s">
        <v>3528</v>
      </c>
      <c r="B663" s="12" t="s">
        <v>4130</v>
      </c>
      <c r="C663" s="12" t="s">
        <v>4707</v>
      </c>
      <c r="D663" t="s">
        <v>59</v>
      </c>
      <c r="E663" s="12" t="s">
        <v>3179</v>
      </c>
      <c r="F663" s="12" t="s">
        <v>67</v>
      </c>
      <c r="G663" s="12" t="s">
        <v>5109</v>
      </c>
      <c r="H663" s="12" t="s">
        <v>4130</v>
      </c>
      <c r="I663" s="84">
        <v>2600118</v>
      </c>
      <c r="J663" s="12" t="s">
        <v>5102</v>
      </c>
      <c r="K663" s="12" t="s">
        <v>389</v>
      </c>
      <c r="L663" s="12" t="str">
        <f>IF(OR(ISBLANK(tblSites[[#This Row],[Implementing Partner]]), tblSites[[#This Row],[Implementing Partner]]="-"), tblSites[[#This Row],[Site Agency]], tblSites[[#This Row],[Implementing Partner]])</f>
        <v>No SMA</v>
      </c>
      <c r="M663" s="12" t="s">
        <v>55</v>
      </c>
      <c r="N663" s="12" t="str">
        <f>tblSites[[#This Row],[FinalImplementingPartner]]</f>
        <v>No SMA</v>
      </c>
    </row>
    <row r="664" spans="1:14" x14ac:dyDescent="0.25">
      <c r="A664" s="12" t="s">
        <v>3529</v>
      </c>
      <c r="B664" s="12" t="s">
        <v>4131</v>
      </c>
      <c r="C664" s="12" t="s">
        <v>4708</v>
      </c>
      <c r="D664" t="s">
        <v>59</v>
      </c>
      <c r="E664" s="12" t="s">
        <v>3179</v>
      </c>
      <c r="F664" s="12" t="s">
        <v>335</v>
      </c>
      <c r="G664" s="12" t="s">
        <v>5129</v>
      </c>
      <c r="H664" s="12" t="s">
        <v>4131</v>
      </c>
      <c r="I664" s="84">
        <v>2600122</v>
      </c>
      <c r="J664" s="12" t="s">
        <v>5102</v>
      </c>
      <c r="K664" s="12" t="s">
        <v>389</v>
      </c>
      <c r="L664" s="12" t="str">
        <f>IF(OR(ISBLANK(tblSites[[#This Row],[Implementing Partner]]), tblSites[[#This Row],[Implementing Partner]]="-"), tblSites[[#This Row],[Site Agency]], tblSites[[#This Row],[Implementing Partner]])</f>
        <v>No SMA</v>
      </c>
      <c r="M664" s="12" t="s">
        <v>55</v>
      </c>
      <c r="N664" s="12" t="str">
        <f>tblSites[[#This Row],[FinalImplementingPartner]]</f>
        <v>No SMA</v>
      </c>
    </row>
    <row r="665" spans="1:14" x14ac:dyDescent="0.25">
      <c r="A665" s="12" t="s">
        <v>3530</v>
      </c>
      <c r="B665" s="12" t="s">
        <v>4132</v>
      </c>
      <c r="C665" s="12" t="s">
        <v>4709</v>
      </c>
      <c r="D665" t="s">
        <v>59</v>
      </c>
      <c r="E665" s="12" t="s">
        <v>3179</v>
      </c>
      <c r="F665" s="12" t="s">
        <v>60</v>
      </c>
      <c r="G665" s="12" t="s">
        <v>5119</v>
      </c>
      <c r="H665" s="12" t="s">
        <v>4132</v>
      </c>
      <c r="I665" s="84">
        <v>2600119</v>
      </c>
      <c r="J665" s="12" t="s">
        <v>5102</v>
      </c>
      <c r="K665" s="12" t="s">
        <v>389</v>
      </c>
      <c r="L665" s="12" t="str">
        <f>IF(OR(ISBLANK(tblSites[[#This Row],[Implementing Partner]]), tblSites[[#This Row],[Implementing Partner]]="-"), tblSites[[#This Row],[Site Agency]], tblSites[[#This Row],[Implementing Partner]])</f>
        <v>No SMA</v>
      </c>
      <c r="M665" s="12" t="s">
        <v>55</v>
      </c>
      <c r="N665" s="12" t="str">
        <f>tblSites[[#This Row],[FinalImplementingPartner]]</f>
        <v>No SMA</v>
      </c>
    </row>
    <row r="666" spans="1:14" x14ac:dyDescent="0.25">
      <c r="A666" s="12" t="s">
        <v>3531</v>
      </c>
      <c r="B666" s="12" t="s">
        <v>4133</v>
      </c>
      <c r="C666" s="12" t="s">
        <v>4710</v>
      </c>
      <c r="D666" t="s">
        <v>59</v>
      </c>
      <c r="E666" s="12" t="s">
        <v>3179</v>
      </c>
      <c r="F666" s="12" t="s">
        <v>426</v>
      </c>
      <c r="G666" s="12" t="s">
        <v>5143</v>
      </c>
      <c r="H666" s="12" t="s">
        <v>4133</v>
      </c>
      <c r="I666" s="84">
        <v>2600112</v>
      </c>
      <c r="J666" s="12" t="s">
        <v>5102</v>
      </c>
      <c r="K666" s="12" t="s">
        <v>389</v>
      </c>
      <c r="L666" s="12" t="str">
        <f>IF(OR(ISBLANK(tblSites[[#This Row],[Implementing Partner]]), tblSites[[#This Row],[Implementing Partner]]="-"), tblSites[[#This Row],[Site Agency]], tblSites[[#This Row],[Implementing Partner]])</f>
        <v>No SMA</v>
      </c>
      <c r="M666" s="12" t="s">
        <v>55</v>
      </c>
      <c r="N666" s="12" t="str">
        <f>tblSites[[#This Row],[FinalImplementingPartner]]</f>
        <v>No SMA</v>
      </c>
    </row>
    <row r="667" spans="1:14" x14ac:dyDescent="0.25">
      <c r="A667" s="12" t="s">
        <v>3532</v>
      </c>
      <c r="B667" s="12" t="s">
        <v>4134</v>
      </c>
      <c r="C667" s="12" t="s">
        <v>1673</v>
      </c>
      <c r="D667" t="s">
        <v>59</v>
      </c>
      <c r="E667" s="12" t="s">
        <v>3179</v>
      </c>
      <c r="F667" s="12" t="s">
        <v>67</v>
      </c>
      <c r="G667" s="12" t="s">
        <v>5109</v>
      </c>
      <c r="H667" s="12" t="s">
        <v>4134</v>
      </c>
      <c r="I667" s="84">
        <v>2600118</v>
      </c>
      <c r="J667" s="12" t="s">
        <v>5102</v>
      </c>
      <c r="L667" s="12" t="str">
        <f>IF(OR(ISBLANK(tblSites[[#This Row],[Implementing Partner]]), tblSites[[#This Row],[Implementing Partner]]="-"), tblSites[[#This Row],[Site Agency]], tblSites[[#This Row],[Implementing Partner]])</f>
        <v>No SMA</v>
      </c>
      <c r="M667" s="12" t="s">
        <v>55</v>
      </c>
      <c r="N667" s="12" t="str">
        <f>tblSites[[#This Row],[FinalImplementingPartner]]</f>
        <v>No SMA</v>
      </c>
    </row>
    <row r="668" spans="1:14" x14ac:dyDescent="0.25">
      <c r="A668" s="12" t="s">
        <v>3533</v>
      </c>
      <c r="B668" s="12" t="s">
        <v>4135</v>
      </c>
      <c r="C668" s="12" t="s">
        <v>4711</v>
      </c>
      <c r="D668" t="s">
        <v>59</v>
      </c>
      <c r="E668" s="12" t="s">
        <v>3179</v>
      </c>
      <c r="F668" s="12" t="s">
        <v>67</v>
      </c>
      <c r="G668" s="12" t="s">
        <v>5109</v>
      </c>
      <c r="H668" s="12" t="s">
        <v>4135</v>
      </c>
      <c r="I668" s="84">
        <v>2600118</v>
      </c>
      <c r="J668" s="12" t="s">
        <v>5102</v>
      </c>
      <c r="L668" s="12" t="str">
        <f>IF(OR(ISBLANK(tblSites[[#This Row],[Implementing Partner]]), tblSites[[#This Row],[Implementing Partner]]="-"), tblSites[[#This Row],[Site Agency]], tblSites[[#This Row],[Implementing Partner]])</f>
        <v>No SMA</v>
      </c>
      <c r="M668" s="12" t="s">
        <v>55</v>
      </c>
      <c r="N668" s="12" t="str">
        <f>tblSites[[#This Row],[FinalImplementingPartner]]</f>
        <v>No SMA</v>
      </c>
    </row>
    <row r="669" spans="1:14" x14ac:dyDescent="0.25">
      <c r="A669" s="12" t="s">
        <v>3534</v>
      </c>
      <c r="B669" s="12" t="s">
        <v>4136</v>
      </c>
      <c r="C669" s="12" t="s">
        <v>1735</v>
      </c>
      <c r="D669" t="s">
        <v>59</v>
      </c>
      <c r="E669" s="12" t="s">
        <v>3179</v>
      </c>
      <c r="F669" s="12" t="s">
        <v>60</v>
      </c>
      <c r="G669" s="12" t="s">
        <v>5119</v>
      </c>
      <c r="H669" s="12" t="s">
        <v>4136</v>
      </c>
      <c r="I669" s="84">
        <v>2600119</v>
      </c>
      <c r="J669" s="12" t="s">
        <v>5102</v>
      </c>
      <c r="K669" s="12" t="s">
        <v>389</v>
      </c>
      <c r="L669" s="12" t="str">
        <f>IF(OR(ISBLANK(tblSites[[#This Row],[Implementing Partner]]), tblSites[[#This Row],[Implementing Partner]]="-"), tblSites[[#This Row],[Site Agency]], tblSites[[#This Row],[Implementing Partner]])</f>
        <v>No SMA</v>
      </c>
      <c r="M669" s="12" t="s">
        <v>55</v>
      </c>
      <c r="N669" s="12" t="str">
        <f>tblSites[[#This Row],[FinalImplementingPartner]]</f>
        <v>No SMA</v>
      </c>
    </row>
    <row r="670" spans="1:14" x14ac:dyDescent="0.25">
      <c r="A670" s="12" t="s">
        <v>3535</v>
      </c>
      <c r="B670" s="12" t="s">
        <v>4137</v>
      </c>
      <c r="C670" s="12" t="s">
        <v>4712</v>
      </c>
      <c r="D670" t="s">
        <v>59</v>
      </c>
      <c r="E670" s="12" t="s">
        <v>3179</v>
      </c>
      <c r="F670" s="12" t="s">
        <v>60</v>
      </c>
      <c r="G670" s="12" t="s">
        <v>5119</v>
      </c>
      <c r="H670" s="12" t="s">
        <v>4137</v>
      </c>
      <c r="I670" s="84">
        <v>2600119</v>
      </c>
      <c r="J670" s="12" t="s">
        <v>5102</v>
      </c>
      <c r="L670" s="12" t="str">
        <f>IF(OR(ISBLANK(tblSites[[#This Row],[Implementing Partner]]), tblSites[[#This Row],[Implementing Partner]]="-"), tblSites[[#This Row],[Site Agency]], tblSites[[#This Row],[Implementing Partner]])</f>
        <v>No SMA</v>
      </c>
      <c r="M670" s="12" t="s">
        <v>55</v>
      </c>
      <c r="N670" s="12" t="str">
        <f>tblSites[[#This Row],[FinalImplementingPartner]]</f>
        <v>No SMA</v>
      </c>
    </row>
    <row r="671" spans="1:14" x14ac:dyDescent="0.25">
      <c r="A671" s="12" t="s">
        <v>3536</v>
      </c>
      <c r="B671" s="12" t="s">
        <v>4138</v>
      </c>
      <c r="C671" s="12" t="s">
        <v>4713</v>
      </c>
      <c r="D671" t="s">
        <v>59</v>
      </c>
      <c r="E671" s="12" t="s">
        <v>3179</v>
      </c>
      <c r="F671" s="12" t="s">
        <v>60</v>
      </c>
      <c r="G671" s="12" t="s">
        <v>5138</v>
      </c>
      <c r="H671" s="12" t="s">
        <v>4138</v>
      </c>
      <c r="I671" s="84">
        <v>2600119</v>
      </c>
      <c r="J671" s="12" t="s">
        <v>34</v>
      </c>
      <c r="K671" s="12" t="s">
        <v>389</v>
      </c>
      <c r="L671" s="12" t="str">
        <f>IF(OR(ISBLANK(tblSites[[#This Row],[Implementing Partner]]), tblSites[[#This Row],[Implementing Partner]]="-"), tblSites[[#This Row],[Site Agency]], tblSites[[#This Row],[Implementing Partner]])</f>
        <v>DRC</v>
      </c>
      <c r="M671" s="12" t="s">
        <v>55</v>
      </c>
      <c r="N671" s="12" t="str">
        <f>tblSites[[#This Row],[FinalImplementingPartner]]</f>
        <v>DRC</v>
      </c>
    </row>
    <row r="672" spans="1:14" x14ac:dyDescent="0.25">
      <c r="A672" s="12" t="s">
        <v>3537</v>
      </c>
      <c r="B672" s="12" t="s">
        <v>4139</v>
      </c>
      <c r="C672" s="12" t="s">
        <v>4714</v>
      </c>
      <c r="D672" t="s">
        <v>59</v>
      </c>
      <c r="E672" s="12" t="s">
        <v>3179</v>
      </c>
      <c r="F672" s="12" t="s">
        <v>335</v>
      </c>
      <c r="G672" s="12" t="s">
        <v>5144</v>
      </c>
      <c r="H672" s="12" t="s">
        <v>4139</v>
      </c>
      <c r="I672" s="84">
        <v>2600122</v>
      </c>
      <c r="J672" s="12" t="s">
        <v>34</v>
      </c>
      <c r="K672" s="12" t="s">
        <v>389</v>
      </c>
      <c r="L672" s="12" t="str">
        <f>IF(OR(ISBLANK(tblSites[[#This Row],[Implementing Partner]]), tblSites[[#This Row],[Implementing Partner]]="-"), tblSites[[#This Row],[Site Agency]], tblSites[[#This Row],[Implementing Partner]])</f>
        <v>DRC</v>
      </c>
      <c r="M672" s="12" t="s">
        <v>55</v>
      </c>
      <c r="N672" s="12" t="str">
        <f>tblSites[[#This Row],[FinalImplementingPartner]]</f>
        <v>DRC</v>
      </c>
    </row>
    <row r="673" spans="1:14" x14ac:dyDescent="0.25">
      <c r="A673" s="12" t="s">
        <v>3538</v>
      </c>
      <c r="B673" s="12" t="s">
        <v>4140</v>
      </c>
      <c r="C673" s="12" t="s">
        <v>4715</v>
      </c>
      <c r="D673" t="s">
        <v>59</v>
      </c>
      <c r="E673" s="12" t="s">
        <v>3179</v>
      </c>
      <c r="F673" s="12" t="s">
        <v>426</v>
      </c>
      <c r="G673" s="12" t="s">
        <v>5133</v>
      </c>
      <c r="H673" s="12" t="s">
        <v>4140</v>
      </c>
      <c r="I673" s="84">
        <v>2600112</v>
      </c>
      <c r="J673" s="12" t="s">
        <v>35</v>
      </c>
      <c r="L673" s="12" t="str">
        <f>IF(OR(ISBLANK(tblSites[[#This Row],[Implementing Partner]]), tblSites[[#This Row],[Implementing Partner]]="-"), tblSites[[#This Row],[Site Agency]], tblSites[[#This Row],[Implementing Partner]])</f>
        <v>NRC</v>
      </c>
      <c r="M673" s="12" t="s">
        <v>55</v>
      </c>
      <c r="N673" s="12" t="str">
        <f>tblSites[[#This Row],[FinalImplementingPartner]]</f>
        <v>NRC</v>
      </c>
    </row>
    <row r="674" spans="1:14" x14ac:dyDescent="0.25">
      <c r="A674" s="12" t="s">
        <v>3539</v>
      </c>
      <c r="B674" s="12" t="s">
        <v>4141</v>
      </c>
      <c r="C674" s="12" t="s">
        <v>4716</v>
      </c>
      <c r="D674" t="s">
        <v>59</v>
      </c>
      <c r="E674" s="12" t="s">
        <v>3179</v>
      </c>
      <c r="F674" s="12" t="s">
        <v>87</v>
      </c>
      <c r="G674" s="12" t="s">
        <v>5401</v>
      </c>
      <c r="H674" s="12" t="s">
        <v>4141</v>
      </c>
      <c r="I674" s="84">
        <v>2600114</v>
      </c>
      <c r="J674" s="12" t="s">
        <v>35</v>
      </c>
      <c r="L674" s="12" t="str">
        <f>IF(OR(ISBLANK(tblSites[[#This Row],[Implementing Partner]]), tblSites[[#This Row],[Implementing Partner]]="-"), tblSites[[#This Row],[Site Agency]], tblSites[[#This Row],[Implementing Partner]])</f>
        <v>NRC</v>
      </c>
      <c r="M674" s="12" t="s">
        <v>55</v>
      </c>
      <c r="N674" s="12" t="str">
        <f>tblSites[[#This Row],[FinalImplementingPartner]]</f>
        <v>NRC</v>
      </c>
    </row>
    <row r="675" spans="1:14" x14ac:dyDescent="0.25">
      <c r="A675" s="12" t="s">
        <v>3540</v>
      </c>
      <c r="B675" s="12" t="s">
        <v>4142</v>
      </c>
      <c r="C675" s="12" t="s">
        <v>4717</v>
      </c>
      <c r="D675" t="s">
        <v>59</v>
      </c>
      <c r="E675" s="12" t="s">
        <v>3179</v>
      </c>
      <c r="F675" s="12" t="s">
        <v>67</v>
      </c>
      <c r="G675" s="12" t="s">
        <v>5109</v>
      </c>
      <c r="H675" s="12" t="s">
        <v>4142</v>
      </c>
      <c r="I675" s="84">
        <v>2600118</v>
      </c>
      <c r="J675" s="12" t="s">
        <v>5102</v>
      </c>
      <c r="L675" s="12" t="str">
        <f>IF(OR(ISBLANK(tblSites[[#This Row],[Implementing Partner]]), tblSites[[#This Row],[Implementing Partner]]="-"), tblSites[[#This Row],[Site Agency]], tblSites[[#This Row],[Implementing Partner]])</f>
        <v>No SMA</v>
      </c>
      <c r="M675" s="12" t="s">
        <v>55</v>
      </c>
      <c r="N675" s="12" t="str">
        <f>tblSites[[#This Row],[FinalImplementingPartner]]</f>
        <v>No SMA</v>
      </c>
    </row>
    <row r="676" spans="1:14" x14ac:dyDescent="0.25">
      <c r="A676" s="12" t="s">
        <v>3541</v>
      </c>
      <c r="B676" s="12" t="s">
        <v>4143</v>
      </c>
      <c r="C676" s="12" t="s">
        <v>4718</v>
      </c>
      <c r="D676" t="s">
        <v>59</v>
      </c>
      <c r="E676" s="12" t="s">
        <v>3179</v>
      </c>
      <c r="F676" s="47" t="s">
        <v>60</v>
      </c>
      <c r="G676" s="12" t="s">
        <v>5145</v>
      </c>
      <c r="H676" s="12" t="s">
        <v>4143</v>
      </c>
      <c r="I676" s="84">
        <v>2600119</v>
      </c>
      <c r="J676" s="12" t="s">
        <v>35</v>
      </c>
      <c r="L676" s="12" t="str">
        <f>IF(OR(ISBLANK(tblSites[[#This Row],[Implementing Partner]]), tblSites[[#This Row],[Implementing Partner]]="-"), tblSites[[#This Row],[Site Agency]], tblSites[[#This Row],[Implementing Partner]])</f>
        <v>NRC</v>
      </c>
      <c r="M676" s="12" t="s">
        <v>55</v>
      </c>
      <c r="N676" s="12" t="str">
        <f>tblSites[[#This Row],[FinalImplementingPartner]]</f>
        <v>NRC</v>
      </c>
    </row>
    <row r="677" spans="1:14" x14ac:dyDescent="0.25">
      <c r="A677" s="12" t="s">
        <v>3542</v>
      </c>
      <c r="B677" s="12" t="s">
        <v>4144</v>
      </c>
      <c r="C677" s="12" t="s">
        <v>5285</v>
      </c>
      <c r="D677" t="s">
        <v>59</v>
      </c>
      <c r="E677" s="12" t="s">
        <v>3179</v>
      </c>
      <c r="F677" s="12" t="s">
        <v>60</v>
      </c>
      <c r="G677" s="12" t="s">
        <v>5128</v>
      </c>
      <c r="H677" s="12" t="s">
        <v>4144</v>
      </c>
      <c r="I677" s="84">
        <v>2600119</v>
      </c>
      <c r="J677" s="12" t="s">
        <v>54</v>
      </c>
      <c r="L677" s="12" t="str">
        <f>IF(OR(ISBLANK(tblSites[[#This Row],[Implementing Partner]]), tblSites[[#This Row],[Implementing Partner]]="-"), tblSites[[#This Row],[Site Agency]], tblSites[[#This Row],[Implementing Partner]])</f>
        <v>PHC</v>
      </c>
      <c r="M677" s="12" t="s">
        <v>55</v>
      </c>
      <c r="N677" s="12" t="str">
        <f>tblSites[[#This Row],[FinalImplementingPartner]]</f>
        <v>PHC</v>
      </c>
    </row>
    <row r="678" spans="1:14" x14ac:dyDescent="0.25">
      <c r="A678" s="12" t="s">
        <v>3543</v>
      </c>
      <c r="B678" s="12" t="s">
        <v>4145</v>
      </c>
      <c r="C678" s="12" t="s">
        <v>4719</v>
      </c>
      <c r="D678" t="s">
        <v>59</v>
      </c>
      <c r="E678" s="12" t="s">
        <v>3179</v>
      </c>
      <c r="F678" s="12" t="s">
        <v>342</v>
      </c>
      <c r="G678" s="12" t="s">
        <v>5146</v>
      </c>
      <c r="H678" s="12" t="s">
        <v>4145</v>
      </c>
      <c r="I678" s="84">
        <v>2600113</v>
      </c>
      <c r="J678" s="12" t="s">
        <v>35</v>
      </c>
      <c r="L678" s="12" t="str">
        <f>IF(OR(ISBLANK(tblSites[[#This Row],[Implementing Partner]]), tblSites[[#This Row],[Implementing Partner]]="-"), tblSites[[#This Row],[Site Agency]], tblSites[[#This Row],[Implementing Partner]])</f>
        <v>NRC</v>
      </c>
      <c r="M678" s="12" t="s">
        <v>55</v>
      </c>
      <c r="N678" s="12" t="str">
        <f>tblSites[[#This Row],[FinalImplementingPartner]]</f>
        <v>NRC</v>
      </c>
    </row>
    <row r="679" spans="1:14" x14ac:dyDescent="0.25">
      <c r="A679" s="12" t="s">
        <v>3544</v>
      </c>
      <c r="B679" s="12" t="s">
        <v>4146</v>
      </c>
      <c r="C679" s="12" t="s">
        <v>435</v>
      </c>
      <c r="D679" t="s">
        <v>59</v>
      </c>
      <c r="E679" s="12" t="s">
        <v>3179</v>
      </c>
      <c r="F679" s="12" t="s">
        <v>60</v>
      </c>
      <c r="G679" s="12" t="s">
        <v>5128</v>
      </c>
      <c r="H679" s="12" t="s">
        <v>4146</v>
      </c>
      <c r="I679" s="84">
        <v>2600119</v>
      </c>
      <c r="J679" s="12" t="s">
        <v>54</v>
      </c>
      <c r="L679" s="12" t="str">
        <f>IF(OR(ISBLANK(tblSites[[#This Row],[Implementing Partner]]), tblSites[[#This Row],[Implementing Partner]]="-"), tblSites[[#This Row],[Site Agency]], tblSites[[#This Row],[Implementing Partner]])</f>
        <v>PHC</v>
      </c>
      <c r="M679" s="12" t="s">
        <v>55</v>
      </c>
      <c r="N679" s="12" t="str">
        <f>tblSites[[#This Row],[FinalImplementingPartner]]</f>
        <v>PHC</v>
      </c>
    </row>
    <row r="680" spans="1:14" x14ac:dyDescent="0.25">
      <c r="A680" s="12" t="s">
        <v>3545</v>
      </c>
      <c r="B680" s="12" t="s">
        <v>4147</v>
      </c>
      <c r="C680" s="12" t="s">
        <v>4147</v>
      </c>
      <c r="D680" t="s">
        <v>59</v>
      </c>
      <c r="E680" s="12" t="s">
        <v>3179</v>
      </c>
      <c r="F680" s="12" t="s">
        <v>67</v>
      </c>
      <c r="G680" s="12" t="s">
        <v>5125</v>
      </c>
      <c r="H680" s="12" t="s">
        <v>4147</v>
      </c>
      <c r="I680" s="84">
        <v>2600118</v>
      </c>
      <c r="J680" s="12" t="s">
        <v>54</v>
      </c>
      <c r="L680" s="12" t="str">
        <f>IF(OR(ISBLANK(tblSites[[#This Row],[Implementing Partner]]), tblSites[[#This Row],[Implementing Partner]]="-"), tblSites[[#This Row],[Site Agency]], tblSites[[#This Row],[Implementing Partner]])</f>
        <v>PHC</v>
      </c>
      <c r="M680" s="12" t="s">
        <v>55</v>
      </c>
      <c r="N680" s="12" t="str">
        <f>tblSites[[#This Row],[FinalImplementingPartner]]</f>
        <v>PHC</v>
      </c>
    </row>
    <row r="681" spans="1:14" x14ac:dyDescent="0.25">
      <c r="A681" s="12" t="s">
        <v>3546</v>
      </c>
      <c r="B681" s="12" t="s">
        <v>1898</v>
      </c>
      <c r="C681" s="12" t="s">
        <v>435</v>
      </c>
      <c r="D681" t="s">
        <v>59</v>
      </c>
      <c r="E681" s="12" t="s">
        <v>3179</v>
      </c>
      <c r="F681" s="12" t="s">
        <v>67</v>
      </c>
      <c r="G681" s="12" t="s">
        <v>5125</v>
      </c>
      <c r="H681" s="12" t="s">
        <v>1898</v>
      </c>
      <c r="I681" s="84">
        <v>2600118</v>
      </c>
      <c r="J681" s="12" t="s">
        <v>54</v>
      </c>
      <c r="L681" s="12" t="str">
        <f>IF(OR(ISBLANK(tblSites[[#This Row],[Implementing Partner]]), tblSites[[#This Row],[Implementing Partner]]="-"), tblSites[[#This Row],[Site Agency]], tblSites[[#This Row],[Implementing Partner]])</f>
        <v>PHC</v>
      </c>
      <c r="M681" s="12" t="s">
        <v>55</v>
      </c>
      <c r="N681" s="12" t="str">
        <f>tblSites[[#This Row],[FinalImplementingPartner]]</f>
        <v>PHC</v>
      </c>
    </row>
    <row r="682" spans="1:14" x14ac:dyDescent="0.25">
      <c r="A682" s="12" t="s">
        <v>3547</v>
      </c>
      <c r="B682" s="12" t="s">
        <v>4148</v>
      </c>
      <c r="C682" s="12" t="s">
        <v>5286</v>
      </c>
      <c r="D682" t="s">
        <v>59</v>
      </c>
      <c r="E682" s="12" t="s">
        <v>3179</v>
      </c>
      <c r="F682" s="12" t="s">
        <v>114</v>
      </c>
      <c r="G682" s="12" t="s">
        <v>5122</v>
      </c>
      <c r="H682" s="12" t="s">
        <v>4148</v>
      </c>
      <c r="I682" s="84">
        <v>2600123</v>
      </c>
      <c r="J682" s="12" t="s">
        <v>5102</v>
      </c>
      <c r="L682" s="12" t="str">
        <f>IF(OR(ISBLANK(tblSites[[#This Row],[Implementing Partner]]), tblSites[[#This Row],[Implementing Partner]]="-"), tblSites[[#This Row],[Site Agency]], tblSites[[#This Row],[Implementing Partner]])</f>
        <v>No SMA</v>
      </c>
      <c r="M682" s="12" t="s">
        <v>55</v>
      </c>
      <c r="N682" s="12" t="str">
        <f>tblSites[[#This Row],[FinalImplementingPartner]]</f>
        <v>No SMA</v>
      </c>
    </row>
    <row r="683" spans="1:14" x14ac:dyDescent="0.25">
      <c r="A683" s="12" t="s">
        <v>3548</v>
      </c>
      <c r="B683" s="12" t="s">
        <v>4149</v>
      </c>
      <c r="C683" s="12" t="s">
        <v>4720</v>
      </c>
      <c r="D683" t="s">
        <v>59</v>
      </c>
      <c r="E683" s="12" t="s">
        <v>3179</v>
      </c>
      <c r="F683" s="47" t="s">
        <v>114</v>
      </c>
      <c r="G683" s="12" t="s">
        <v>5147</v>
      </c>
      <c r="H683" s="12" t="s">
        <v>4149</v>
      </c>
      <c r="I683" s="84">
        <v>2600123</v>
      </c>
      <c r="J683" s="12" t="s">
        <v>34</v>
      </c>
      <c r="K683" s="12" t="s">
        <v>389</v>
      </c>
      <c r="L683" s="12" t="str">
        <f>IF(OR(ISBLANK(tblSites[[#This Row],[Implementing Partner]]), tblSites[[#This Row],[Implementing Partner]]="-"), tblSites[[#This Row],[Site Agency]], tblSites[[#This Row],[Implementing Partner]])</f>
        <v>DRC</v>
      </c>
      <c r="M683" s="12" t="s">
        <v>55</v>
      </c>
      <c r="N683" s="12" t="str">
        <f>tblSites[[#This Row],[FinalImplementingPartner]]</f>
        <v>DRC</v>
      </c>
    </row>
    <row r="684" spans="1:14" x14ac:dyDescent="0.25">
      <c r="A684" s="12" t="s">
        <v>3549</v>
      </c>
      <c r="B684" s="12" t="s">
        <v>2868</v>
      </c>
      <c r="C684" s="12" t="s">
        <v>4721</v>
      </c>
      <c r="D684" t="s">
        <v>59</v>
      </c>
      <c r="E684" s="12" t="s">
        <v>3179</v>
      </c>
      <c r="F684" s="12" t="s">
        <v>60</v>
      </c>
      <c r="G684" s="12" t="s">
        <v>5138</v>
      </c>
      <c r="H684" s="12" t="s">
        <v>2868</v>
      </c>
      <c r="I684" s="84">
        <v>2600119</v>
      </c>
      <c r="J684" s="12" t="s">
        <v>34</v>
      </c>
      <c r="K684" s="12" t="s">
        <v>389</v>
      </c>
      <c r="L684" s="12" t="str">
        <f>IF(OR(ISBLANK(tblSites[[#This Row],[Implementing Partner]]), tblSites[[#This Row],[Implementing Partner]]="-"), tblSites[[#This Row],[Site Agency]], tblSites[[#This Row],[Implementing Partner]])</f>
        <v>DRC</v>
      </c>
      <c r="M684" s="12" t="s">
        <v>55</v>
      </c>
      <c r="N684" s="12" t="str">
        <f>tblSites[[#This Row],[FinalImplementingPartner]]</f>
        <v>DRC</v>
      </c>
    </row>
    <row r="685" spans="1:14" x14ac:dyDescent="0.25">
      <c r="A685" s="12" t="s">
        <v>3550</v>
      </c>
      <c r="B685" s="12" t="s">
        <v>4150</v>
      </c>
      <c r="C685" s="12" t="s">
        <v>5287</v>
      </c>
      <c r="D685" t="s">
        <v>59</v>
      </c>
      <c r="E685" s="12" t="s">
        <v>3179</v>
      </c>
      <c r="F685" s="12" t="s">
        <v>114</v>
      </c>
      <c r="G685" s="12" t="s">
        <v>5124</v>
      </c>
      <c r="H685" s="12" t="s">
        <v>4150</v>
      </c>
      <c r="I685" s="84">
        <v>2600123</v>
      </c>
      <c r="J685" s="12" t="s">
        <v>54</v>
      </c>
      <c r="L685" s="12" t="str">
        <f>IF(OR(ISBLANK(tblSites[[#This Row],[Implementing Partner]]), tblSites[[#This Row],[Implementing Partner]]="-"), tblSites[[#This Row],[Site Agency]], tblSites[[#This Row],[Implementing Partner]])</f>
        <v>PHC</v>
      </c>
      <c r="M685" s="12" t="s">
        <v>55</v>
      </c>
      <c r="N685" s="12" t="str">
        <f>tblSites[[#This Row],[FinalImplementingPartner]]</f>
        <v>PHC</v>
      </c>
    </row>
    <row r="686" spans="1:14" x14ac:dyDescent="0.25">
      <c r="A686" s="12" t="s">
        <v>3551</v>
      </c>
      <c r="B686" s="12" t="s">
        <v>4151</v>
      </c>
      <c r="C686" s="12" t="s">
        <v>4722</v>
      </c>
      <c r="D686" t="s">
        <v>59</v>
      </c>
      <c r="E686" s="12" t="s">
        <v>3179</v>
      </c>
      <c r="F686" s="12" t="s">
        <v>426</v>
      </c>
      <c r="G686" s="12" t="s">
        <v>5148</v>
      </c>
      <c r="H686" s="12" t="s">
        <v>4151</v>
      </c>
      <c r="I686" s="84">
        <v>2600112</v>
      </c>
      <c r="J686" s="12" t="s">
        <v>54</v>
      </c>
      <c r="L686" s="12" t="str">
        <f>IF(OR(ISBLANK(tblSites[[#This Row],[Implementing Partner]]), tblSites[[#This Row],[Implementing Partner]]="-"), tblSites[[#This Row],[Site Agency]], tblSites[[#This Row],[Implementing Partner]])</f>
        <v>PHC</v>
      </c>
      <c r="M686" s="12" t="s">
        <v>55</v>
      </c>
      <c r="N686" s="12" t="str">
        <f>tblSites[[#This Row],[FinalImplementingPartner]]</f>
        <v>PHC</v>
      </c>
    </row>
    <row r="687" spans="1:14" x14ac:dyDescent="0.25">
      <c r="A687" s="12" t="s">
        <v>3552</v>
      </c>
      <c r="B687" s="12" t="s">
        <v>4152</v>
      </c>
      <c r="C687" s="12" t="s">
        <v>4723</v>
      </c>
      <c r="D687" t="s">
        <v>59</v>
      </c>
      <c r="E687" s="12" t="s">
        <v>3179</v>
      </c>
      <c r="F687" s="12" t="s">
        <v>60</v>
      </c>
      <c r="G687" s="12" t="s">
        <v>5128</v>
      </c>
      <c r="H687" s="12" t="s">
        <v>4152</v>
      </c>
      <c r="I687" s="84">
        <v>2600119</v>
      </c>
      <c r="J687" s="12" t="s">
        <v>54</v>
      </c>
      <c r="L687" s="12" t="str">
        <f>IF(OR(ISBLANK(tblSites[[#This Row],[Implementing Partner]]), tblSites[[#This Row],[Implementing Partner]]="-"), tblSites[[#This Row],[Site Agency]], tblSites[[#This Row],[Implementing Partner]])</f>
        <v>PHC</v>
      </c>
      <c r="M687" s="12" t="s">
        <v>55</v>
      </c>
      <c r="N687" s="12" t="str">
        <f>tblSites[[#This Row],[FinalImplementingPartner]]</f>
        <v>PHC</v>
      </c>
    </row>
    <row r="688" spans="1:14" x14ac:dyDescent="0.25">
      <c r="A688" s="12" t="s">
        <v>3553</v>
      </c>
      <c r="B688" s="12" t="s">
        <v>4153</v>
      </c>
      <c r="C688" s="12" t="s">
        <v>4724</v>
      </c>
      <c r="D688" t="s">
        <v>59</v>
      </c>
      <c r="E688" s="12" t="s">
        <v>3179</v>
      </c>
      <c r="F688" s="12" t="s">
        <v>67</v>
      </c>
      <c r="G688" s="12" t="s">
        <v>5125</v>
      </c>
      <c r="H688" s="12" t="s">
        <v>4153</v>
      </c>
      <c r="I688" s="84">
        <v>2600118</v>
      </c>
      <c r="J688" s="12" t="s">
        <v>54</v>
      </c>
      <c r="L688" s="12" t="str">
        <f>IF(OR(ISBLANK(tblSites[[#This Row],[Implementing Partner]]), tblSites[[#This Row],[Implementing Partner]]="-"), tblSites[[#This Row],[Site Agency]], tblSites[[#This Row],[Implementing Partner]])</f>
        <v>PHC</v>
      </c>
      <c r="M688" s="12" t="s">
        <v>55</v>
      </c>
      <c r="N688" s="12" t="str">
        <f>tblSites[[#This Row],[FinalImplementingPartner]]</f>
        <v>PHC</v>
      </c>
    </row>
    <row r="689" spans="1:14" x14ac:dyDescent="0.25">
      <c r="A689" s="12" t="s">
        <v>3554</v>
      </c>
      <c r="B689" s="12" t="s">
        <v>4154</v>
      </c>
      <c r="C689" s="12" t="s">
        <v>1197</v>
      </c>
      <c r="D689" t="s">
        <v>59</v>
      </c>
      <c r="E689" s="12" t="s">
        <v>3179</v>
      </c>
      <c r="F689" s="12" t="s">
        <v>60</v>
      </c>
      <c r="G689" s="12" t="s">
        <v>5119</v>
      </c>
      <c r="H689" s="12" t="s">
        <v>4154</v>
      </c>
      <c r="I689" s="84">
        <v>2600119</v>
      </c>
      <c r="J689" s="12" t="s">
        <v>5102</v>
      </c>
      <c r="L689" s="12" t="str">
        <f>IF(OR(ISBLANK(tblSites[[#This Row],[Implementing Partner]]), tblSites[[#This Row],[Implementing Partner]]="-"), tblSites[[#This Row],[Site Agency]], tblSites[[#This Row],[Implementing Partner]])</f>
        <v>No SMA</v>
      </c>
      <c r="M689" s="12" t="s">
        <v>55</v>
      </c>
      <c r="N689" s="12" t="str">
        <f>tblSites[[#This Row],[FinalImplementingPartner]]</f>
        <v>No SMA</v>
      </c>
    </row>
    <row r="690" spans="1:14" x14ac:dyDescent="0.25">
      <c r="A690" s="12" t="s">
        <v>3555</v>
      </c>
      <c r="B690" s="12" t="s">
        <v>4155</v>
      </c>
      <c r="C690" s="12" t="s">
        <v>1766</v>
      </c>
      <c r="D690" t="s">
        <v>59</v>
      </c>
      <c r="E690" s="12" t="s">
        <v>3179</v>
      </c>
      <c r="F690" s="12" t="s">
        <v>324</v>
      </c>
      <c r="G690" s="12" t="s">
        <v>5149</v>
      </c>
      <c r="H690" s="12" t="s">
        <v>4155</v>
      </c>
      <c r="I690" s="84">
        <v>2600120</v>
      </c>
      <c r="J690" s="12" t="s">
        <v>54</v>
      </c>
      <c r="L690" s="12" t="str">
        <f>IF(OR(ISBLANK(tblSites[[#This Row],[Implementing Partner]]), tblSites[[#This Row],[Implementing Partner]]="-"), tblSites[[#This Row],[Site Agency]], tblSites[[#This Row],[Implementing Partner]])</f>
        <v>PHC</v>
      </c>
      <c r="M690" s="12" t="s">
        <v>55</v>
      </c>
      <c r="N690" s="12" t="str">
        <f>tblSites[[#This Row],[FinalImplementingPartner]]</f>
        <v>PHC</v>
      </c>
    </row>
    <row r="691" spans="1:14" x14ac:dyDescent="0.25">
      <c r="A691" s="12" t="s">
        <v>3556</v>
      </c>
      <c r="B691" s="12" t="s">
        <v>4156</v>
      </c>
      <c r="C691" s="12" t="s">
        <v>4725</v>
      </c>
      <c r="D691" t="s">
        <v>59</v>
      </c>
      <c r="E691" s="12" t="s">
        <v>3179</v>
      </c>
      <c r="F691" s="12" t="s">
        <v>60</v>
      </c>
      <c r="G691" s="12" t="s">
        <v>5128</v>
      </c>
      <c r="H691" s="12" t="s">
        <v>4156</v>
      </c>
      <c r="I691" s="84">
        <v>2600119</v>
      </c>
      <c r="J691" s="12" t="s">
        <v>54</v>
      </c>
      <c r="L691" s="12" t="str">
        <f>IF(OR(ISBLANK(tblSites[[#This Row],[Implementing Partner]]), tblSites[[#This Row],[Implementing Partner]]="-"), tblSites[[#This Row],[Site Agency]], tblSites[[#This Row],[Implementing Partner]])</f>
        <v>PHC</v>
      </c>
      <c r="M691" s="12" t="s">
        <v>55</v>
      </c>
      <c r="N691" s="12" t="str">
        <f>tblSites[[#This Row],[FinalImplementingPartner]]</f>
        <v>PHC</v>
      </c>
    </row>
    <row r="692" spans="1:14" x14ac:dyDescent="0.25">
      <c r="A692" s="12" t="s">
        <v>3557</v>
      </c>
      <c r="B692" s="12" t="s">
        <v>4157</v>
      </c>
      <c r="C692" s="12" t="s">
        <v>1120</v>
      </c>
      <c r="D692" t="s">
        <v>59</v>
      </c>
      <c r="E692" s="12" t="s">
        <v>3179</v>
      </c>
      <c r="F692" s="12" t="s">
        <v>60</v>
      </c>
      <c r="G692" s="12" t="s">
        <v>5128</v>
      </c>
      <c r="H692" s="12" t="s">
        <v>4157</v>
      </c>
      <c r="I692" s="84">
        <v>2600119</v>
      </c>
      <c r="J692" s="12" t="s">
        <v>54</v>
      </c>
      <c r="L692" s="12" t="str">
        <f>IF(OR(ISBLANK(tblSites[[#This Row],[Implementing Partner]]), tblSites[[#This Row],[Implementing Partner]]="-"), tblSites[[#This Row],[Site Agency]], tblSites[[#This Row],[Implementing Partner]])</f>
        <v>PHC</v>
      </c>
      <c r="M692" s="12" t="s">
        <v>55</v>
      </c>
      <c r="N692" s="12" t="str">
        <f>tblSites[[#This Row],[FinalImplementingPartner]]</f>
        <v>PHC</v>
      </c>
    </row>
    <row r="693" spans="1:14" x14ac:dyDescent="0.25">
      <c r="A693" s="12" t="s">
        <v>3558</v>
      </c>
      <c r="B693" s="12" t="s">
        <v>4158</v>
      </c>
      <c r="C693" s="12" t="s">
        <v>4726</v>
      </c>
      <c r="D693" t="s">
        <v>59</v>
      </c>
      <c r="E693" s="12" t="s">
        <v>3179</v>
      </c>
      <c r="F693" s="12" t="s">
        <v>60</v>
      </c>
      <c r="G693" s="12" t="s">
        <v>5128</v>
      </c>
      <c r="H693" s="12" t="s">
        <v>4158</v>
      </c>
      <c r="I693" s="84">
        <v>2600119</v>
      </c>
      <c r="J693" s="12" t="s">
        <v>54</v>
      </c>
      <c r="L693" s="12" t="str">
        <f>IF(OR(ISBLANK(tblSites[[#This Row],[Implementing Partner]]), tblSites[[#This Row],[Implementing Partner]]="-"), tblSites[[#This Row],[Site Agency]], tblSites[[#This Row],[Implementing Partner]])</f>
        <v>PHC</v>
      </c>
      <c r="M693" s="12" t="s">
        <v>55</v>
      </c>
      <c r="N693" s="12" t="str">
        <f>tblSites[[#This Row],[FinalImplementingPartner]]</f>
        <v>PHC</v>
      </c>
    </row>
    <row r="694" spans="1:14" x14ac:dyDescent="0.25">
      <c r="A694" s="12" t="s">
        <v>3559</v>
      </c>
      <c r="B694" s="12" t="s">
        <v>4159</v>
      </c>
      <c r="C694" s="12" t="s">
        <v>4727</v>
      </c>
      <c r="D694" t="s">
        <v>59</v>
      </c>
      <c r="E694" s="12" t="s">
        <v>3179</v>
      </c>
      <c r="F694" s="12" t="s">
        <v>114</v>
      </c>
      <c r="G694" s="12" t="s">
        <v>5124</v>
      </c>
      <c r="H694" s="12" t="s">
        <v>4159</v>
      </c>
      <c r="I694" s="84">
        <v>2600123</v>
      </c>
      <c r="J694" s="12" t="s">
        <v>54</v>
      </c>
      <c r="L694" s="12" t="str">
        <f>IF(OR(ISBLANK(tblSites[[#This Row],[Implementing Partner]]), tblSites[[#This Row],[Implementing Partner]]="-"), tblSites[[#This Row],[Site Agency]], tblSites[[#This Row],[Implementing Partner]])</f>
        <v>PHC</v>
      </c>
      <c r="M694" s="12" t="s">
        <v>55</v>
      </c>
      <c r="N694" s="12" t="str">
        <f>tblSites[[#This Row],[FinalImplementingPartner]]</f>
        <v>PHC</v>
      </c>
    </row>
    <row r="695" spans="1:14" x14ac:dyDescent="0.25">
      <c r="A695" s="12" t="s">
        <v>3560</v>
      </c>
      <c r="B695" s="12" t="s">
        <v>4160</v>
      </c>
      <c r="C695" s="12" t="s">
        <v>2686</v>
      </c>
      <c r="D695" t="s">
        <v>59</v>
      </c>
      <c r="E695" s="12" t="s">
        <v>3179</v>
      </c>
      <c r="F695" s="12" t="s">
        <v>695</v>
      </c>
      <c r="G695" s="12" t="s">
        <v>5104</v>
      </c>
      <c r="H695" s="12" t="s">
        <v>4160</v>
      </c>
      <c r="I695" s="84">
        <v>2600116</v>
      </c>
      <c r="J695" s="12" t="s">
        <v>5102</v>
      </c>
      <c r="K695" s="12" t="s">
        <v>389</v>
      </c>
      <c r="L695" s="12" t="str">
        <f>IF(OR(ISBLANK(tblSites[[#This Row],[Implementing Partner]]), tblSites[[#This Row],[Implementing Partner]]="-"), tblSites[[#This Row],[Site Agency]], tblSites[[#This Row],[Implementing Partner]])</f>
        <v>No SMA</v>
      </c>
      <c r="M695" s="12" t="s">
        <v>55</v>
      </c>
      <c r="N695" s="12" t="str">
        <f>tblSites[[#This Row],[FinalImplementingPartner]]</f>
        <v>No SMA</v>
      </c>
    </row>
    <row r="696" spans="1:14" x14ac:dyDescent="0.25">
      <c r="A696" s="12" t="s">
        <v>3561</v>
      </c>
      <c r="B696" s="12" t="s">
        <v>4161</v>
      </c>
      <c r="C696" s="12" t="s">
        <v>4728</v>
      </c>
      <c r="D696" t="s">
        <v>59</v>
      </c>
      <c r="E696" s="12" t="s">
        <v>3179</v>
      </c>
      <c r="F696" s="12" t="s">
        <v>426</v>
      </c>
      <c r="G696" s="12" t="s">
        <v>5133</v>
      </c>
      <c r="H696" s="12" t="s">
        <v>4161</v>
      </c>
      <c r="I696" s="84">
        <v>2600112</v>
      </c>
      <c r="J696" s="12" t="s">
        <v>35</v>
      </c>
      <c r="L696" s="12" t="str">
        <f>IF(OR(ISBLANK(tblSites[[#This Row],[Implementing Partner]]), tblSites[[#This Row],[Implementing Partner]]="-"), tblSites[[#This Row],[Site Agency]], tblSites[[#This Row],[Implementing Partner]])</f>
        <v>NRC</v>
      </c>
      <c r="M696" s="12" t="s">
        <v>55</v>
      </c>
      <c r="N696" s="12" t="str">
        <f>tblSites[[#This Row],[FinalImplementingPartner]]</f>
        <v>NRC</v>
      </c>
    </row>
    <row r="697" spans="1:14" x14ac:dyDescent="0.25">
      <c r="A697" s="12" t="s">
        <v>3562</v>
      </c>
      <c r="B697" s="12" t="s">
        <v>4162</v>
      </c>
      <c r="C697" s="12" t="s">
        <v>4729</v>
      </c>
      <c r="D697" t="s">
        <v>59</v>
      </c>
      <c r="E697" s="12" t="s">
        <v>3179</v>
      </c>
      <c r="F697" s="12" t="s">
        <v>426</v>
      </c>
      <c r="G697" s="12" t="s">
        <v>5133</v>
      </c>
      <c r="H697" s="12" t="s">
        <v>4162</v>
      </c>
      <c r="I697" s="84">
        <v>2600112</v>
      </c>
      <c r="J697" s="12" t="s">
        <v>35</v>
      </c>
      <c r="L697" s="12" t="str">
        <f>IF(OR(ISBLANK(tblSites[[#This Row],[Implementing Partner]]), tblSites[[#This Row],[Implementing Partner]]="-"), tblSites[[#This Row],[Site Agency]], tblSites[[#This Row],[Implementing Partner]])</f>
        <v>NRC</v>
      </c>
      <c r="M697" s="12" t="s">
        <v>55</v>
      </c>
      <c r="N697" s="12" t="str">
        <f>tblSites[[#This Row],[FinalImplementingPartner]]</f>
        <v>NRC</v>
      </c>
    </row>
    <row r="698" spans="1:14" x14ac:dyDescent="0.25">
      <c r="A698" s="12" t="s">
        <v>3563</v>
      </c>
      <c r="B698" s="12" t="s">
        <v>4163</v>
      </c>
      <c r="C698" s="12" t="s">
        <v>4730</v>
      </c>
      <c r="D698" t="s">
        <v>59</v>
      </c>
      <c r="E698" s="12" t="s">
        <v>3179</v>
      </c>
      <c r="F698" s="12" t="s">
        <v>114</v>
      </c>
      <c r="G698" s="12" t="s">
        <v>5124</v>
      </c>
      <c r="H698" s="12" t="s">
        <v>4163</v>
      </c>
      <c r="I698" s="84">
        <v>2600123</v>
      </c>
      <c r="J698" s="12" t="s">
        <v>54</v>
      </c>
      <c r="L698" s="12" t="str">
        <f>IF(OR(ISBLANK(tblSites[[#This Row],[Implementing Partner]]), tblSites[[#This Row],[Implementing Partner]]="-"), tblSites[[#This Row],[Site Agency]], tblSites[[#This Row],[Implementing Partner]])</f>
        <v>PHC</v>
      </c>
      <c r="M698" s="12" t="s">
        <v>55</v>
      </c>
      <c r="N698" s="12" t="str">
        <f>tblSites[[#This Row],[FinalImplementingPartner]]</f>
        <v>PHC</v>
      </c>
    </row>
    <row r="699" spans="1:14" x14ac:dyDescent="0.25">
      <c r="A699" s="12" t="s">
        <v>3564</v>
      </c>
      <c r="B699" s="12" t="s">
        <v>4164</v>
      </c>
      <c r="C699" s="12" t="s">
        <v>4731</v>
      </c>
      <c r="D699" t="s">
        <v>59</v>
      </c>
      <c r="E699" s="12" t="s">
        <v>3179</v>
      </c>
      <c r="F699" s="12" t="s">
        <v>324</v>
      </c>
      <c r="G699" s="12" t="s">
        <v>5118</v>
      </c>
      <c r="H699" s="12" t="s">
        <v>4164</v>
      </c>
      <c r="I699" s="84">
        <v>2600120</v>
      </c>
      <c r="J699" s="12" t="s">
        <v>5102</v>
      </c>
      <c r="K699" s="12" t="s">
        <v>389</v>
      </c>
      <c r="L699" s="12" t="str">
        <f>IF(OR(ISBLANK(tblSites[[#This Row],[Implementing Partner]]), tblSites[[#This Row],[Implementing Partner]]="-"), tblSites[[#This Row],[Site Agency]], tblSites[[#This Row],[Implementing Partner]])</f>
        <v>No SMA</v>
      </c>
      <c r="M699" s="12" t="s">
        <v>55</v>
      </c>
      <c r="N699" s="12" t="str">
        <f>tblSites[[#This Row],[FinalImplementingPartner]]</f>
        <v>No SMA</v>
      </c>
    </row>
    <row r="700" spans="1:14" x14ac:dyDescent="0.25">
      <c r="A700" s="12" t="s">
        <v>3565</v>
      </c>
      <c r="B700" s="12" t="s">
        <v>4165</v>
      </c>
      <c r="C700" s="12" t="s">
        <v>4732</v>
      </c>
      <c r="D700" t="s">
        <v>59</v>
      </c>
      <c r="E700" s="12" t="s">
        <v>3179</v>
      </c>
      <c r="F700" s="12" t="s">
        <v>67</v>
      </c>
      <c r="G700" s="12" t="s">
        <v>5109</v>
      </c>
      <c r="H700" s="12" t="s">
        <v>4165</v>
      </c>
      <c r="I700" s="84">
        <v>2600118</v>
      </c>
      <c r="J700" s="12" t="s">
        <v>5102</v>
      </c>
      <c r="K700" s="12" t="s">
        <v>389</v>
      </c>
      <c r="L700" s="12" t="str">
        <f>IF(OR(ISBLANK(tblSites[[#This Row],[Implementing Partner]]), tblSites[[#This Row],[Implementing Partner]]="-"), tblSites[[#This Row],[Site Agency]], tblSites[[#This Row],[Implementing Partner]])</f>
        <v>No SMA</v>
      </c>
      <c r="M700" s="12" t="s">
        <v>55</v>
      </c>
      <c r="N700" s="12" t="str">
        <f>tblSites[[#This Row],[FinalImplementingPartner]]</f>
        <v>No SMA</v>
      </c>
    </row>
    <row r="701" spans="1:14" x14ac:dyDescent="0.25">
      <c r="A701" s="12" t="s">
        <v>3566</v>
      </c>
      <c r="B701" s="12" t="s">
        <v>4166</v>
      </c>
      <c r="C701" s="12" t="s">
        <v>5288</v>
      </c>
      <c r="D701" t="s">
        <v>59</v>
      </c>
      <c r="E701" s="12" t="s">
        <v>3179</v>
      </c>
      <c r="F701" s="12" t="s">
        <v>1305</v>
      </c>
      <c r="G701" s="12" t="s">
        <v>5142</v>
      </c>
      <c r="H701" s="12" t="s">
        <v>4166</v>
      </c>
      <c r="I701" s="84">
        <v>26002181</v>
      </c>
      <c r="J701" s="12" t="s">
        <v>5102</v>
      </c>
      <c r="K701" s="12" t="s">
        <v>389</v>
      </c>
      <c r="L701" s="12" t="str">
        <f>IF(OR(ISBLANK(tblSites[[#This Row],[Implementing Partner]]), tblSites[[#This Row],[Implementing Partner]]="-"), tblSites[[#This Row],[Site Agency]], tblSites[[#This Row],[Implementing Partner]])</f>
        <v>No SMA</v>
      </c>
      <c r="M701" s="12" t="s">
        <v>55</v>
      </c>
      <c r="N701" s="12" t="str">
        <f>tblSites[[#This Row],[FinalImplementingPartner]]</f>
        <v>No SMA</v>
      </c>
    </row>
    <row r="702" spans="1:14" x14ac:dyDescent="0.25">
      <c r="A702" s="12" t="s">
        <v>3567</v>
      </c>
      <c r="B702" s="12" t="s">
        <v>4167</v>
      </c>
      <c r="C702" s="12" t="s">
        <v>4733</v>
      </c>
      <c r="D702" t="s">
        <v>59</v>
      </c>
      <c r="E702" s="12" t="s">
        <v>3179</v>
      </c>
      <c r="F702" s="12" t="s">
        <v>60</v>
      </c>
      <c r="G702" s="12" t="s">
        <v>5150</v>
      </c>
      <c r="H702" s="12" t="s">
        <v>4167</v>
      </c>
      <c r="I702" s="84">
        <v>2600119</v>
      </c>
      <c r="J702" s="12" t="s">
        <v>5103</v>
      </c>
      <c r="K702" s="12" t="s">
        <v>389</v>
      </c>
      <c r="L702" s="12" t="str">
        <f>IF(OR(ISBLANK(tblSites[[#This Row],[Implementing Partner]]), tblSites[[#This Row],[Implementing Partner]]="-"), tblSites[[#This Row],[Site Agency]], tblSites[[#This Row],[Implementing Partner]])</f>
        <v>HEKS EPER</v>
      </c>
      <c r="M702" s="12" t="s">
        <v>55</v>
      </c>
      <c r="N702" s="12" t="str">
        <f>tblSites[[#This Row],[FinalImplementingPartner]]</f>
        <v>HEKS EPER</v>
      </c>
    </row>
    <row r="703" spans="1:14" x14ac:dyDescent="0.25">
      <c r="A703" s="12" t="s">
        <v>3568</v>
      </c>
      <c r="B703" s="12" t="s">
        <v>1875</v>
      </c>
      <c r="C703" s="12" t="s">
        <v>4734</v>
      </c>
      <c r="D703" t="s">
        <v>59</v>
      </c>
      <c r="E703" s="12" t="s">
        <v>3179</v>
      </c>
      <c r="F703" s="12" t="s">
        <v>67</v>
      </c>
      <c r="G703" s="12" t="s">
        <v>5109</v>
      </c>
      <c r="H703" s="12" t="s">
        <v>1875</v>
      </c>
      <c r="I703" s="84">
        <v>2600118</v>
      </c>
      <c r="J703" s="12" t="s">
        <v>5102</v>
      </c>
      <c r="K703" s="12" t="s">
        <v>389</v>
      </c>
      <c r="L703" s="12" t="str">
        <f>IF(OR(ISBLANK(tblSites[[#This Row],[Implementing Partner]]), tblSites[[#This Row],[Implementing Partner]]="-"), tblSites[[#This Row],[Site Agency]], tblSites[[#This Row],[Implementing Partner]])</f>
        <v>No SMA</v>
      </c>
      <c r="M703" s="12" t="s">
        <v>55</v>
      </c>
      <c r="N703" s="12" t="str">
        <f>tblSites[[#This Row],[FinalImplementingPartner]]</f>
        <v>No SMA</v>
      </c>
    </row>
    <row r="704" spans="1:14" x14ac:dyDescent="0.25">
      <c r="A704" s="12" t="s">
        <v>3569</v>
      </c>
      <c r="B704" s="12" t="s">
        <v>4168</v>
      </c>
      <c r="C704" s="12" t="s">
        <v>4735</v>
      </c>
      <c r="D704" t="s">
        <v>59</v>
      </c>
      <c r="E704" s="12" t="s">
        <v>3179</v>
      </c>
      <c r="F704" s="12" t="s">
        <v>67</v>
      </c>
      <c r="G704" s="12" t="s">
        <v>5109</v>
      </c>
      <c r="H704" s="12" t="s">
        <v>4168</v>
      </c>
      <c r="I704" s="84">
        <v>2600118</v>
      </c>
      <c r="J704" s="12" t="s">
        <v>5102</v>
      </c>
      <c r="K704" s="12" t="s">
        <v>389</v>
      </c>
      <c r="L704" s="12" t="str">
        <f>IF(OR(ISBLANK(tblSites[[#This Row],[Implementing Partner]]), tblSites[[#This Row],[Implementing Partner]]="-"), tblSites[[#This Row],[Site Agency]], tblSites[[#This Row],[Implementing Partner]])</f>
        <v>No SMA</v>
      </c>
      <c r="M704" s="12" t="s">
        <v>55</v>
      </c>
      <c r="N704" s="12" t="str">
        <f>tblSites[[#This Row],[FinalImplementingPartner]]</f>
        <v>No SMA</v>
      </c>
    </row>
    <row r="705" spans="1:14" x14ac:dyDescent="0.25">
      <c r="A705" s="12" t="s">
        <v>3570</v>
      </c>
      <c r="B705" s="12" t="s">
        <v>4169</v>
      </c>
      <c r="C705" s="12" t="s">
        <v>4736</v>
      </c>
      <c r="D705" t="s">
        <v>59</v>
      </c>
      <c r="E705" s="12" t="s">
        <v>3179</v>
      </c>
      <c r="F705" s="12" t="s">
        <v>67</v>
      </c>
      <c r="G705" s="12" t="s">
        <v>5109</v>
      </c>
      <c r="H705" s="12" t="s">
        <v>4169</v>
      </c>
      <c r="I705" s="84">
        <v>2600118</v>
      </c>
      <c r="J705" s="12" t="s">
        <v>5102</v>
      </c>
      <c r="K705" s="12" t="s">
        <v>389</v>
      </c>
      <c r="L705" s="12" t="str">
        <f>IF(OR(ISBLANK(tblSites[[#This Row],[Implementing Partner]]), tblSites[[#This Row],[Implementing Partner]]="-"), tblSites[[#This Row],[Site Agency]], tblSites[[#This Row],[Implementing Partner]])</f>
        <v>No SMA</v>
      </c>
      <c r="M705" s="12" t="s">
        <v>55</v>
      </c>
      <c r="N705" s="12" t="str">
        <f>tblSites[[#This Row],[FinalImplementingPartner]]</f>
        <v>No SMA</v>
      </c>
    </row>
    <row r="706" spans="1:14" x14ac:dyDescent="0.25">
      <c r="A706" s="12" t="s">
        <v>3571</v>
      </c>
      <c r="B706" s="12" t="s">
        <v>4170</v>
      </c>
      <c r="C706" s="12" t="s">
        <v>4737</v>
      </c>
      <c r="D706" t="s">
        <v>59</v>
      </c>
      <c r="E706" s="12" t="s">
        <v>3179</v>
      </c>
      <c r="F706" s="12" t="s">
        <v>695</v>
      </c>
      <c r="G706" s="12" t="s">
        <v>5104</v>
      </c>
      <c r="H706" s="12" t="s">
        <v>4170</v>
      </c>
      <c r="I706" s="84">
        <v>2600116</v>
      </c>
      <c r="J706" s="12" t="s">
        <v>5102</v>
      </c>
      <c r="K706" s="12" t="s">
        <v>389</v>
      </c>
      <c r="L706" s="12" t="str">
        <f>IF(OR(ISBLANK(tblSites[[#This Row],[Implementing Partner]]), tblSites[[#This Row],[Implementing Partner]]="-"), tblSites[[#This Row],[Site Agency]], tblSites[[#This Row],[Implementing Partner]])</f>
        <v>No SMA</v>
      </c>
      <c r="M706" s="12" t="s">
        <v>55</v>
      </c>
      <c r="N706" s="12" t="str">
        <f>tblSites[[#This Row],[FinalImplementingPartner]]</f>
        <v>No SMA</v>
      </c>
    </row>
    <row r="707" spans="1:14" x14ac:dyDescent="0.25">
      <c r="A707" s="12" t="s">
        <v>3572</v>
      </c>
      <c r="B707" s="12" t="s">
        <v>4171</v>
      </c>
      <c r="C707" s="12" t="s">
        <v>4738</v>
      </c>
      <c r="D707" t="s">
        <v>59</v>
      </c>
      <c r="E707" s="12" t="s">
        <v>3179</v>
      </c>
      <c r="F707" s="12" t="s">
        <v>60</v>
      </c>
      <c r="G707" s="12" t="s">
        <v>5119</v>
      </c>
      <c r="H707" s="12" t="s">
        <v>4171</v>
      </c>
      <c r="I707" s="84">
        <v>2600119</v>
      </c>
      <c r="J707" s="12" t="s">
        <v>5102</v>
      </c>
      <c r="K707" s="12" t="s">
        <v>389</v>
      </c>
      <c r="L707" s="12" t="str">
        <f>IF(OR(ISBLANK(tblSites[[#This Row],[Implementing Partner]]), tblSites[[#This Row],[Implementing Partner]]="-"), tblSites[[#This Row],[Site Agency]], tblSites[[#This Row],[Implementing Partner]])</f>
        <v>No SMA</v>
      </c>
      <c r="M707" s="12" t="s">
        <v>55</v>
      </c>
      <c r="N707" s="12" t="str">
        <f>tblSites[[#This Row],[FinalImplementingPartner]]</f>
        <v>No SMA</v>
      </c>
    </row>
    <row r="708" spans="1:14" x14ac:dyDescent="0.25">
      <c r="A708" s="12" t="s">
        <v>3573</v>
      </c>
      <c r="B708" s="12" t="s">
        <v>4172</v>
      </c>
      <c r="C708" s="12" t="s">
        <v>4739</v>
      </c>
      <c r="D708" t="s">
        <v>59</v>
      </c>
      <c r="E708" s="12" t="s">
        <v>3179</v>
      </c>
      <c r="F708" s="12" t="s">
        <v>60</v>
      </c>
      <c r="G708" s="12" t="s">
        <v>5119</v>
      </c>
      <c r="H708" s="12" t="s">
        <v>4172</v>
      </c>
      <c r="I708" s="84">
        <v>2600119</v>
      </c>
      <c r="J708" s="12" t="s">
        <v>5102</v>
      </c>
      <c r="K708" s="12" t="s">
        <v>389</v>
      </c>
      <c r="L708" s="12" t="str">
        <f>IF(OR(ISBLANK(tblSites[[#This Row],[Implementing Partner]]), tblSites[[#This Row],[Implementing Partner]]="-"), tblSites[[#This Row],[Site Agency]], tblSites[[#This Row],[Implementing Partner]])</f>
        <v>No SMA</v>
      </c>
      <c r="M708" s="12" t="s">
        <v>55</v>
      </c>
      <c r="N708" s="12" t="str">
        <f>tblSites[[#This Row],[FinalImplementingPartner]]</f>
        <v>No SMA</v>
      </c>
    </row>
    <row r="709" spans="1:14" x14ac:dyDescent="0.25">
      <c r="A709" s="12" t="s">
        <v>3574</v>
      </c>
      <c r="B709" s="12" t="s">
        <v>4173</v>
      </c>
      <c r="C709" s="12" t="s">
        <v>4740</v>
      </c>
      <c r="D709" t="s">
        <v>59</v>
      </c>
      <c r="E709" s="12" t="s">
        <v>3179</v>
      </c>
      <c r="F709" s="12" t="s">
        <v>60</v>
      </c>
      <c r="G709" s="12" t="s">
        <v>5119</v>
      </c>
      <c r="H709" s="12" t="s">
        <v>4173</v>
      </c>
      <c r="I709" s="84">
        <v>2600119</v>
      </c>
      <c r="J709" s="12" t="s">
        <v>5102</v>
      </c>
      <c r="K709" s="12" t="s">
        <v>389</v>
      </c>
      <c r="L709" s="12" t="str">
        <f>IF(OR(ISBLANK(tblSites[[#This Row],[Implementing Partner]]), tblSites[[#This Row],[Implementing Partner]]="-"), tblSites[[#This Row],[Site Agency]], tblSites[[#This Row],[Implementing Partner]])</f>
        <v>No SMA</v>
      </c>
      <c r="M709" s="12" t="s">
        <v>55</v>
      </c>
      <c r="N709" s="12" t="str">
        <f>tblSites[[#This Row],[FinalImplementingPartner]]</f>
        <v>No SMA</v>
      </c>
    </row>
    <row r="710" spans="1:14" x14ac:dyDescent="0.25">
      <c r="A710" s="12" t="s">
        <v>3575</v>
      </c>
      <c r="B710" s="12" t="s">
        <v>4174</v>
      </c>
      <c r="C710" s="12" t="s">
        <v>4741</v>
      </c>
      <c r="D710" t="s">
        <v>59</v>
      </c>
      <c r="E710" s="12" t="s">
        <v>3179</v>
      </c>
      <c r="F710" s="12" t="s">
        <v>60</v>
      </c>
      <c r="G710" s="12" t="s">
        <v>5119</v>
      </c>
      <c r="H710" s="12" t="s">
        <v>4174</v>
      </c>
      <c r="I710" s="84">
        <v>2600119</v>
      </c>
      <c r="J710" s="12" t="s">
        <v>5102</v>
      </c>
      <c r="K710" s="12" t="s">
        <v>389</v>
      </c>
      <c r="L710" s="12" t="str">
        <f>IF(OR(ISBLANK(tblSites[[#This Row],[Implementing Partner]]), tblSites[[#This Row],[Implementing Partner]]="-"), tblSites[[#This Row],[Site Agency]], tblSites[[#This Row],[Implementing Partner]])</f>
        <v>No SMA</v>
      </c>
      <c r="M710" s="12" t="s">
        <v>55</v>
      </c>
      <c r="N710" s="12" t="str">
        <f>tblSites[[#This Row],[FinalImplementingPartner]]</f>
        <v>No SMA</v>
      </c>
    </row>
    <row r="711" spans="1:14" x14ac:dyDescent="0.25">
      <c r="A711" s="12" t="s">
        <v>3576</v>
      </c>
      <c r="B711" s="12" t="s">
        <v>4175</v>
      </c>
      <c r="C711" s="12" t="s">
        <v>4742</v>
      </c>
      <c r="D711" t="s">
        <v>59</v>
      </c>
      <c r="E711" s="12" t="s">
        <v>3179</v>
      </c>
      <c r="F711" s="12" t="s">
        <v>426</v>
      </c>
      <c r="G711" s="12" t="s">
        <v>5143</v>
      </c>
      <c r="H711" s="12" t="s">
        <v>4175</v>
      </c>
      <c r="I711" s="84">
        <v>2600112</v>
      </c>
      <c r="J711" s="12" t="s">
        <v>5102</v>
      </c>
      <c r="L711" s="12" t="str">
        <f>IF(OR(ISBLANK(tblSites[[#This Row],[Implementing Partner]]), tblSites[[#This Row],[Implementing Partner]]="-"), tblSites[[#This Row],[Site Agency]], tblSites[[#This Row],[Implementing Partner]])</f>
        <v>No SMA</v>
      </c>
      <c r="M711" s="12" t="s">
        <v>55</v>
      </c>
      <c r="N711" s="12" t="str">
        <f>tblSites[[#This Row],[FinalImplementingPartner]]</f>
        <v>No SMA</v>
      </c>
    </row>
    <row r="712" spans="1:14" x14ac:dyDescent="0.25">
      <c r="A712" s="12" t="s">
        <v>3577</v>
      </c>
      <c r="B712" s="12" t="s">
        <v>4176</v>
      </c>
      <c r="C712" s="12" t="s">
        <v>4743</v>
      </c>
      <c r="D712" t="s">
        <v>59</v>
      </c>
      <c r="E712" s="12" t="s">
        <v>3179</v>
      </c>
      <c r="F712" s="12" t="s">
        <v>60</v>
      </c>
      <c r="G712" s="12" t="s">
        <v>5119</v>
      </c>
      <c r="H712" s="12" t="s">
        <v>4176</v>
      </c>
      <c r="I712" s="84">
        <v>2600119</v>
      </c>
      <c r="J712" s="12" t="s">
        <v>5102</v>
      </c>
      <c r="K712" s="12" t="s">
        <v>389</v>
      </c>
      <c r="L712" s="12" t="str">
        <f>IF(OR(ISBLANK(tblSites[[#This Row],[Implementing Partner]]), tblSites[[#This Row],[Implementing Partner]]="-"), tblSites[[#This Row],[Site Agency]], tblSites[[#This Row],[Implementing Partner]])</f>
        <v>No SMA</v>
      </c>
      <c r="M712" s="12" t="s">
        <v>55</v>
      </c>
      <c r="N712" s="12" t="str">
        <f>tblSites[[#This Row],[FinalImplementingPartner]]</f>
        <v>No SMA</v>
      </c>
    </row>
    <row r="713" spans="1:14" x14ac:dyDescent="0.25">
      <c r="A713" s="12" t="s">
        <v>3578</v>
      </c>
      <c r="B713" s="12" t="s">
        <v>4178</v>
      </c>
      <c r="C713" s="12" t="s">
        <v>4745</v>
      </c>
      <c r="D713" t="s">
        <v>59</v>
      </c>
      <c r="E713" s="12" t="s">
        <v>3179</v>
      </c>
      <c r="F713" s="12" t="s">
        <v>60</v>
      </c>
      <c r="G713" s="12" t="s">
        <v>5119</v>
      </c>
      <c r="H713" s="12" t="s">
        <v>4178</v>
      </c>
      <c r="I713" s="84">
        <v>2600119</v>
      </c>
      <c r="J713" s="12" t="s">
        <v>5102</v>
      </c>
      <c r="K713" s="12" t="s">
        <v>389</v>
      </c>
      <c r="L713" s="12" t="str">
        <f>IF(OR(ISBLANK(tblSites[[#This Row],[Implementing Partner]]), tblSites[[#This Row],[Implementing Partner]]="-"), tblSites[[#This Row],[Site Agency]], tblSites[[#This Row],[Implementing Partner]])</f>
        <v>No SMA</v>
      </c>
      <c r="M713" s="12" t="s">
        <v>55</v>
      </c>
      <c r="N713" s="12" t="str">
        <f>tblSites[[#This Row],[FinalImplementingPartner]]</f>
        <v>No SMA</v>
      </c>
    </row>
    <row r="714" spans="1:14" x14ac:dyDescent="0.25">
      <c r="A714" s="12" t="s">
        <v>3579</v>
      </c>
      <c r="B714" s="12" t="s">
        <v>4179</v>
      </c>
      <c r="C714" s="12" t="s">
        <v>4746</v>
      </c>
      <c r="D714" t="s">
        <v>59</v>
      </c>
      <c r="E714" s="12" t="s">
        <v>3179</v>
      </c>
      <c r="F714" s="12" t="s">
        <v>60</v>
      </c>
      <c r="G714" s="12" t="s">
        <v>5119</v>
      </c>
      <c r="H714" s="12" t="s">
        <v>4179</v>
      </c>
      <c r="I714" s="84">
        <v>2600119</v>
      </c>
      <c r="J714" s="12" t="s">
        <v>5102</v>
      </c>
      <c r="K714" s="12" t="s">
        <v>389</v>
      </c>
      <c r="L714" s="12" t="str">
        <f>IF(OR(ISBLANK(tblSites[[#This Row],[Implementing Partner]]), tblSites[[#This Row],[Implementing Partner]]="-"), tblSites[[#This Row],[Site Agency]], tblSites[[#This Row],[Implementing Partner]])</f>
        <v>No SMA</v>
      </c>
      <c r="M714" s="12" t="s">
        <v>55</v>
      </c>
      <c r="N714" s="12" t="str">
        <f>tblSites[[#This Row],[FinalImplementingPartner]]</f>
        <v>No SMA</v>
      </c>
    </row>
    <row r="715" spans="1:14" x14ac:dyDescent="0.25">
      <c r="A715" s="12" t="s">
        <v>3580</v>
      </c>
      <c r="B715" s="12" t="s">
        <v>4180</v>
      </c>
      <c r="C715" s="12" t="s">
        <v>4747</v>
      </c>
      <c r="D715" t="s">
        <v>59</v>
      </c>
      <c r="E715" s="12" t="s">
        <v>3179</v>
      </c>
      <c r="F715" s="12" t="s">
        <v>60</v>
      </c>
      <c r="G715" s="12" t="s">
        <v>5119</v>
      </c>
      <c r="H715" s="12" t="s">
        <v>4180</v>
      </c>
      <c r="I715" s="84">
        <v>2600119</v>
      </c>
      <c r="J715" s="12" t="s">
        <v>5102</v>
      </c>
      <c r="K715" s="12" t="s">
        <v>389</v>
      </c>
      <c r="L715" s="12" t="str">
        <f>IF(OR(ISBLANK(tblSites[[#This Row],[Implementing Partner]]), tblSites[[#This Row],[Implementing Partner]]="-"), tblSites[[#This Row],[Site Agency]], tblSites[[#This Row],[Implementing Partner]])</f>
        <v>No SMA</v>
      </c>
      <c r="M715" s="12" t="s">
        <v>55</v>
      </c>
      <c r="N715" s="12" t="str">
        <f>tblSites[[#This Row],[FinalImplementingPartner]]</f>
        <v>No SMA</v>
      </c>
    </row>
    <row r="716" spans="1:14" x14ac:dyDescent="0.25">
      <c r="A716" s="12" t="s">
        <v>3581</v>
      </c>
      <c r="B716" s="12" t="s">
        <v>4181</v>
      </c>
      <c r="C716" s="12" t="s">
        <v>4748</v>
      </c>
      <c r="D716" t="s">
        <v>59</v>
      </c>
      <c r="E716" s="12" t="s">
        <v>3179</v>
      </c>
      <c r="F716" s="12" t="s">
        <v>67</v>
      </c>
      <c r="G716" s="12" t="s">
        <v>5109</v>
      </c>
      <c r="H716" s="12" t="s">
        <v>4181</v>
      </c>
      <c r="I716" s="84">
        <v>2600118</v>
      </c>
      <c r="J716" s="12" t="s">
        <v>5102</v>
      </c>
      <c r="K716" s="12" t="s">
        <v>389</v>
      </c>
      <c r="L716" s="12" t="str">
        <f>IF(OR(ISBLANK(tblSites[[#This Row],[Implementing Partner]]), tblSites[[#This Row],[Implementing Partner]]="-"), tblSites[[#This Row],[Site Agency]], tblSites[[#This Row],[Implementing Partner]])</f>
        <v>No SMA</v>
      </c>
      <c r="M716" s="12" t="s">
        <v>55</v>
      </c>
      <c r="N716" s="12" t="str">
        <f>tblSites[[#This Row],[FinalImplementingPartner]]</f>
        <v>No SMA</v>
      </c>
    </row>
    <row r="717" spans="1:14" x14ac:dyDescent="0.25">
      <c r="A717" s="12" t="s">
        <v>3582</v>
      </c>
      <c r="B717" s="12" t="s">
        <v>4182</v>
      </c>
      <c r="C717" s="12" t="s">
        <v>4749</v>
      </c>
      <c r="D717" t="s">
        <v>59</v>
      </c>
      <c r="E717" s="12" t="s">
        <v>3179</v>
      </c>
      <c r="F717" s="12" t="s">
        <v>60</v>
      </c>
      <c r="G717" s="12" t="s">
        <v>5119</v>
      </c>
      <c r="H717" s="12" t="s">
        <v>4182</v>
      </c>
      <c r="I717" s="84">
        <v>2600119</v>
      </c>
      <c r="J717" s="12" t="s">
        <v>5102</v>
      </c>
      <c r="K717" s="12" t="s">
        <v>389</v>
      </c>
      <c r="L717" s="12" t="str">
        <f>IF(OR(ISBLANK(tblSites[[#This Row],[Implementing Partner]]), tblSites[[#This Row],[Implementing Partner]]="-"), tblSites[[#This Row],[Site Agency]], tblSites[[#This Row],[Implementing Partner]])</f>
        <v>No SMA</v>
      </c>
      <c r="M717" s="12" t="s">
        <v>55</v>
      </c>
      <c r="N717" s="12" t="str">
        <f>tblSites[[#This Row],[FinalImplementingPartner]]</f>
        <v>No SMA</v>
      </c>
    </row>
    <row r="718" spans="1:14" x14ac:dyDescent="0.25">
      <c r="A718" s="12" t="s">
        <v>3583</v>
      </c>
      <c r="B718" s="12" t="s">
        <v>4183</v>
      </c>
      <c r="C718" s="12" t="s">
        <v>4750</v>
      </c>
      <c r="D718" t="s">
        <v>59</v>
      </c>
      <c r="E718" s="12" t="s">
        <v>3179</v>
      </c>
      <c r="F718" s="12" t="s">
        <v>60</v>
      </c>
      <c r="G718" s="12" t="s">
        <v>5119</v>
      </c>
      <c r="H718" s="12" t="s">
        <v>4183</v>
      </c>
      <c r="I718" s="84">
        <v>2600119</v>
      </c>
      <c r="J718" s="12" t="s">
        <v>5102</v>
      </c>
      <c r="L718" s="12" t="str">
        <f>IF(OR(ISBLANK(tblSites[[#This Row],[Implementing Partner]]), tblSites[[#This Row],[Implementing Partner]]="-"), tblSites[[#This Row],[Site Agency]], tblSites[[#This Row],[Implementing Partner]])</f>
        <v>No SMA</v>
      </c>
      <c r="M718" s="12" t="s">
        <v>55</v>
      </c>
      <c r="N718" s="12" t="str">
        <f>tblSites[[#This Row],[FinalImplementingPartner]]</f>
        <v>No SMA</v>
      </c>
    </row>
    <row r="719" spans="1:14" x14ac:dyDescent="0.25">
      <c r="A719" s="12" t="s">
        <v>3584</v>
      </c>
      <c r="B719" s="12" t="s">
        <v>4184</v>
      </c>
      <c r="C719" s="12" t="s">
        <v>4751</v>
      </c>
      <c r="D719" t="s">
        <v>59</v>
      </c>
      <c r="E719" s="12" t="s">
        <v>3179</v>
      </c>
      <c r="F719" s="12" t="s">
        <v>114</v>
      </c>
      <c r="G719" s="12" t="s">
        <v>5127</v>
      </c>
      <c r="H719" s="12" t="s">
        <v>4184</v>
      </c>
      <c r="I719" s="84">
        <v>2600123</v>
      </c>
      <c r="J719" s="12" t="s">
        <v>5</v>
      </c>
      <c r="K719" s="12" t="s">
        <v>119</v>
      </c>
      <c r="L719" s="12" t="str">
        <f>IF(OR(ISBLANK(tblSites[[#This Row],[Implementing Partner]]), tblSites[[#This Row],[Implementing Partner]]="-"), tblSites[[#This Row],[Site Agency]], tblSites[[#This Row],[Implementing Partner]])</f>
        <v>BLDA</v>
      </c>
      <c r="M719" s="12" t="s">
        <v>55</v>
      </c>
      <c r="N719" s="12" t="str">
        <f>tblSites[[#This Row],[FinalImplementingPartner]]</f>
        <v>BLDA</v>
      </c>
    </row>
    <row r="720" spans="1:14" x14ac:dyDescent="0.25">
      <c r="A720" s="12" t="s">
        <v>3585</v>
      </c>
      <c r="B720" s="12" t="s">
        <v>4185</v>
      </c>
      <c r="C720" s="12" t="s">
        <v>4185</v>
      </c>
      <c r="D720" t="s">
        <v>59</v>
      </c>
      <c r="E720" s="12" t="s">
        <v>3179</v>
      </c>
      <c r="F720" s="12" t="s">
        <v>114</v>
      </c>
      <c r="G720" s="12" t="s">
        <v>5127</v>
      </c>
      <c r="H720" s="12" t="s">
        <v>4185</v>
      </c>
      <c r="I720" s="84">
        <v>2600123</v>
      </c>
      <c r="J720" s="12" t="s">
        <v>5</v>
      </c>
      <c r="K720" s="12" t="s">
        <v>119</v>
      </c>
      <c r="L720" s="12" t="str">
        <f>IF(OR(ISBLANK(tblSites[[#This Row],[Implementing Partner]]), tblSites[[#This Row],[Implementing Partner]]="-"), tblSites[[#This Row],[Site Agency]], tblSites[[#This Row],[Implementing Partner]])</f>
        <v>BLDA</v>
      </c>
      <c r="M720" s="12" t="s">
        <v>55</v>
      </c>
      <c r="N720" s="12" t="str">
        <f>tblSites[[#This Row],[FinalImplementingPartner]]</f>
        <v>BLDA</v>
      </c>
    </row>
    <row r="721" spans="1:14" x14ac:dyDescent="0.25">
      <c r="A721" s="12" t="s">
        <v>3586</v>
      </c>
      <c r="B721" s="12" t="s">
        <v>4186</v>
      </c>
      <c r="C721" s="12" t="s">
        <v>4186</v>
      </c>
      <c r="D721" t="s">
        <v>59</v>
      </c>
      <c r="E721" s="12" t="s">
        <v>3179</v>
      </c>
      <c r="F721" s="12" t="s">
        <v>114</v>
      </c>
      <c r="G721" s="12" t="s">
        <v>5127</v>
      </c>
      <c r="H721" s="12" t="s">
        <v>4186</v>
      </c>
      <c r="I721" s="84">
        <v>2600123</v>
      </c>
      <c r="J721" s="12" t="s">
        <v>5</v>
      </c>
      <c r="K721" s="12" t="s">
        <v>119</v>
      </c>
      <c r="L721" s="12" t="str">
        <f>IF(OR(ISBLANK(tblSites[[#This Row],[Implementing Partner]]), tblSites[[#This Row],[Implementing Partner]]="-"), tblSites[[#This Row],[Site Agency]], tblSites[[#This Row],[Implementing Partner]])</f>
        <v>BLDA</v>
      </c>
      <c r="M721" s="12" t="s">
        <v>55</v>
      </c>
      <c r="N721" s="12" t="str">
        <f>tblSites[[#This Row],[FinalImplementingPartner]]</f>
        <v>BLDA</v>
      </c>
    </row>
    <row r="722" spans="1:14" x14ac:dyDescent="0.25">
      <c r="A722" s="12" t="s">
        <v>3587</v>
      </c>
      <c r="B722" s="12" t="s">
        <v>4187</v>
      </c>
      <c r="C722" s="12" t="s">
        <v>4752</v>
      </c>
      <c r="D722" t="s">
        <v>59</v>
      </c>
      <c r="E722" s="12" t="s">
        <v>3179</v>
      </c>
      <c r="F722" s="12" t="s">
        <v>114</v>
      </c>
      <c r="G722" s="12" t="s">
        <v>5127</v>
      </c>
      <c r="H722" s="12" t="s">
        <v>4187</v>
      </c>
      <c r="I722" s="84">
        <v>2600123</v>
      </c>
      <c r="J722" s="12" t="s">
        <v>5</v>
      </c>
      <c r="K722" s="12" t="s">
        <v>119</v>
      </c>
      <c r="L722" s="12" t="str">
        <f>IF(OR(ISBLANK(tblSites[[#This Row],[Implementing Partner]]), tblSites[[#This Row],[Implementing Partner]]="-"), tblSites[[#This Row],[Site Agency]], tblSites[[#This Row],[Implementing Partner]])</f>
        <v>BLDA</v>
      </c>
      <c r="M722" s="12" t="s">
        <v>55</v>
      </c>
      <c r="N722" s="12" t="str">
        <f>tblSites[[#This Row],[FinalImplementingPartner]]</f>
        <v>BLDA</v>
      </c>
    </row>
    <row r="723" spans="1:14" x14ac:dyDescent="0.25">
      <c r="A723" s="12" t="s">
        <v>3588</v>
      </c>
      <c r="B723" s="12" t="s">
        <v>4188</v>
      </c>
      <c r="C723" s="12" t="s">
        <v>289</v>
      </c>
      <c r="D723" t="s">
        <v>59</v>
      </c>
      <c r="E723" s="12" t="s">
        <v>3179</v>
      </c>
      <c r="F723" s="12" t="s">
        <v>60</v>
      </c>
      <c r="G723" s="12" t="s">
        <v>5119</v>
      </c>
      <c r="H723" s="12" t="s">
        <v>4188</v>
      </c>
      <c r="I723" s="84">
        <v>2600119</v>
      </c>
      <c r="J723" s="12" t="s">
        <v>5102</v>
      </c>
      <c r="K723" s="12" t="s">
        <v>389</v>
      </c>
      <c r="L723" s="12" t="str">
        <f>IF(OR(ISBLANK(tblSites[[#This Row],[Implementing Partner]]), tblSites[[#This Row],[Implementing Partner]]="-"), tblSites[[#This Row],[Site Agency]], tblSites[[#This Row],[Implementing Partner]])</f>
        <v>No SMA</v>
      </c>
      <c r="M723" s="12" t="s">
        <v>55</v>
      </c>
      <c r="N723" s="12" t="str">
        <f>tblSites[[#This Row],[FinalImplementingPartner]]</f>
        <v>No SMA</v>
      </c>
    </row>
    <row r="724" spans="1:14" x14ac:dyDescent="0.25">
      <c r="A724" s="12" t="s">
        <v>5226</v>
      </c>
      <c r="B724" s="12" t="s">
        <v>4367</v>
      </c>
      <c r="C724" s="12" t="s">
        <v>4902</v>
      </c>
      <c r="D724" t="s">
        <v>59</v>
      </c>
      <c r="E724" s="12" t="s">
        <v>3179</v>
      </c>
      <c r="F724" s="12" t="s">
        <v>114</v>
      </c>
      <c r="G724" s="12" t="s">
        <v>5122</v>
      </c>
      <c r="H724" s="12" t="s">
        <v>4367</v>
      </c>
      <c r="I724" s="84">
        <v>2600123</v>
      </c>
      <c r="J724" s="12" t="s">
        <v>5102</v>
      </c>
      <c r="K724" s="12" t="s">
        <v>389</v>
      </c>
      <c r="L724" s="12" t="str">
        <f>IF(OR(ISBLANK(tblSites[[#This Row],[Implementing Partner]]), tblSites[[#This Row],[Implementing Partner]]="-"), tblSites[[#This Row],[Site Agency]], tblSites[[#This Row],[Implementing Partner]])</f>
        <v>No SMA</v>
      </c>
      <c r="M724" s="12" t="s">
        <v>55</v>
      </c>
      <c r="N724" s="12" t="str">
        <f>tblSites[[#This Row],[FinalImplementingPartner]]</f>
        <v>No SMA</v>
      </c>
    </row>
    <row r="725" spans="1:14" x14ac:dyDescent="0.25">
      <c r="A725" s="12" t="s">
        <v>3589</v>
      </c>
      <c r="B725" s="12" t="s">
        <v>4189</v>
      </c>
      <c r="C725" s="12" t="s">
        <v>5289</v>
      </c>
      <c r="D725" t="s">
        <v>59</v>
      </c>
      <c r="E725" s="12" t="s">
        <v>3179</v>
      </c>
      <c r="F725" s="12" t="s">
        <v>60</v>
      </c>
      <c r="G725" s="12" t="s">
        <v>5119</v>
      </c>
      <c r="H725" s="12" t="s">
        <v>4189</v>
      </c>
      <c r="I725" s="84">
        <v>2600119</v>
      </c>
      <c r="J725" s="12" t="s">
        <v>5102</v>
      </c>
      <c r="L725" s="12" t="str">
        <f>IF(OR(ISBLANK(tblSites[[#This Row],[Implementing Partner]]), tblSites[[#This Row],[Implementing Partner]]="-"), tblSites[[#This Row],[Site Agency]], tblSites[[#This Row],[Implementing Partner]])</f>
        <v>No SMA</v>
      </c>
      <c r="M725" s="12" t="s">
        <v>55</v>
      </c>
      <c r="N725" s="12" t="str">
        <f>tblSites[[#This Row],[FinalImplementingPartner]]</f>
        <v>No SMA</v>
      </c>
    </row>
    <row r="726" spans="1:14" x14ac:dyDescent="0.25">
      <c r="A726" s="12" t="s">
        <v>3590</v>
      </c>
      <c r="B726" s="12" t="s">
        <v>4190</v>
      </c>
      <c r="C726" s="12" t="s">
        <v>4753</v>
      </c>
      <c r="D726" t="s">
        <v>59</v>
      </c>
      <c r="E726" s="12" t="s">
        <v>3179</v>
      </c>
      <c r="F726" s="12" t="s">
        <v>60</v>
      </c>
      <c r="G726" s="12" t="s">
        <v>5119</v>
      </c>
      <c r="H726" s="12" t="s">
        <v>4190</v>
      </c>
      <c r="I726" s="84">
        <v>2600119</v>
      </c>
      <c r="J726" s="12" t="s">
        <v>5102</v>
      </c>
      <c r="K726" s="12" t="s">
        <v>389</v>
      </c>
      <c r="L726" s="12" t="str">
        <f>IF(OR(ISBLANK(tblSites[[#This Row],[Implementing Partner]]), tblSites[[#This Row],[Implementing Partner]]="-"), tblSites[[#This Row],[Site Agency]], tblSites[[#This Row],[Implementing Partner]])</f>
        <v>No SMA</v>
      </c>
      <c r="M726" s="12" t="s">
        <v>55</v>
      </c>
      <c r="N726" s="12" t="str">
        <f>tblSites[[#This Row],[FinalImplementingPartner]]</f>
        <v>No SMA</v>
      </c>
    </row>
    <row r="727" spans="1:14" x14ac:dyDescent="0.25">
      <c r="A727" s="12" t="s">
        <v>3591</v>
      </c>
      <c r="B727" s="12" t="s">
        <v>4191</v>
      </c>
      <c r="C727" s="12" t="s">
        <v>4754</v>
      </c>
      <c r="D727" t="s">
        <v>59</v>
      </c>
      <c r="E727" s="12" t="s">
        <v>3179</v>
      </c>
      <c r="F727" s="12" t="s">
        <v>1305</v>
      </c>
      <c r="G727" s="12" t="s">
        <v>5142</v>
      </c>
      <c r="H727" s="12" t="s">
        <v>4191</v>
      </c>
      <c r="I727" s="84">
        <v>26002181</v>
      </c>
      <c r="J727" s="12" t="s">
        <v>5102</v>
      </c>
      <c r="K727" s="12" t="s">
        <v>389</v>
      </c>
      <c r="L727" s="12" t="str">
        <f>IF(OR(ISBLANK(tblSites[[#This Row],[Implementing Partner]]), tblSites[[#This Row],[Implementing Partner]]="-"), tblSites[[#This Row],[Site Agency]], tblSites[[#This Row],[Implementing Partner]])</f>
        <v>No SMA</v>
      </c>
      <c r="M727" s="12" t="s">
        <v>55</v>
      </c>
      <c r="N727" s="12" t="str">
        <f>tblSites[[#This Row],[FinalImplementingPartner]]</f>
        <v>No SMA</v>
      </c>
    </row>
    <row r="728" spans="1:14" x14ac:dyDescent="0.25">
      <c r="A728" s="12" t="s">
        <v>3592</v>
      </c>
      <c r="B728" s="12" t="s">
        <v>4192</v>
      </c>
      <c r="C728" s="12" t="s">
        <v>4755</v>
      </c>
      <c r="D728" t="s">
        <v>59</v>
      </c>
      <c r="E728" s="12" t="s">
        <v>3179</v>
      </c>
      <c r="F728" s="12" t="s">
        <v>60</v>
      </c>
      <c r="G728" s="12" t="s">
        <v>5119</v>
      </c>
      <c r="H728" s="12" t="s">
        <v>4192</v>
      </c>
      <c r="I728" s="84">
        <v>2600119</v>
      </c>
      <c r="J728" s="12" t="s">
        <v>5102</v>
      </c>
      <c r="K728" s="12" t="s">
        <v>389</v>
      </c>
      <c r="L728" s="12" t="str">
        <f>IF(OR(ISBLANK(tblSites[[#This Row],[Implementing Partner]]), tblSites[[#This Row],[Implementing Partner]]="-"), tblSites[[#This Row],[Site Agency]], tblSites[[#This Row],[Implementing Partner]])</f>
        <v>No SMA</v>
      </c>
      <c r="M728" s="12" t="s">
        <v>55</v>
      </c>
      <c r="N728" s="12" t="str">
        <f>tblSites[[#This Row],[FinalImplementingPartner]]</f>
        <v>No SMA</v>
      </c>
    </row>
    <row r="729" spans="1:14" x14ac:dyDescent="0.25">
      <c r="A729" s="12" t="s">
        <v>3593</v>
      </c>
      <c r="B729" s="12" t="s">
        <v>4193</v>
      </c>
      <c r="C729" s="12" t="s">
        <v>4732</v>
      </c>
      <c r="D729" t="s">
        <v>59</v>
      </c>
      <c r="E729" s="12" t="s">
        <v>3179</v>
      </c>
      <c r="F729" s="12" t="s">
        <v>67</v>
      </c>
      <c r="G729" s="12" t="s">
        <v>5109</v>
      </c>
      <c r="H729" s="12" t="s">
        <v>4193</v>
      </c>
      <c r="I729" s="84">
        <v>2600118</v>
      </c>
      <c r="J729" s="12" t="s">
        <v>5102</v>
      </c>
      <c r="K729" s="12" t="s">
        <v>389</v>
      </c>
      <c r="L729" s="12" t="str">
        <f>IF(OR(ISBLANK(tblSites[[#This Row],[Implementing Partner]]), tblSites[[#This Row],[Implementing Partner]]="-"), tblSites[[#This Row],[Site Agency]], tblSites[[#This Row],[Implementing Partner]])</f>
        <v>No SMA</v>
      </c>
      <c r="M729" s="12" t="s">
        <v>55</v>
      </c>
      <c r="N729" s="12" t="str">
        <f>tblSites[[#This Row],[FinalImplementingPartner]]</f>
        <v>No SMA</v>
      </c>
    </row>
    <row r="730" spans="1:14" x14ac:dyDescent="0.25">
      <c r="A730" s="12" t="s">
        <v>3594</v>
      </c>
      <c r="B730" s="12" t="s">
        <v>4194</v>
      </c>
      <c r="C730" s="12" t="s">
        <v>1532</v>
      </c>
      <c r="D730" t="s">
        <v>59</v>
      </c>
      <c r="E730" s="12" t="s">
        <v>3179</v>
      </c>
      <c r="F730" s="12" t="s">
        <v>335</v>
      </c>
      <c r="G730" s="12" t="s">
        <v>5129</v>
      </c>
      <c r="H730" s="12" t="s">
        <v>4194</v>
      </c>
      <c r="I730" s="84">
        <v>2600122</v>
      </c>
      <c r="J730" s="12" t="s">
        <v>5102</v>
      </c>
      <c r="K730" s="12" t="s">
        <v>389</v>
      </c>
      <c r="L730" s="12" t="str">
        <f>IF(OR(ISBLANK(tblSites[[#This Row],[Implementing Partner]]), tblSites[[#This Row],[Implementing Partner]]="-"), tblSites[[#This Row],[Site Agency]], tblSites[[#This Row],[Implementing Partner]])</f>
        <v>No SMA</v>
      </c>
      <c r="M730" s="12" t="s">
        <v>55</v>
      </c>
      <c r="N730" s="12" t="str">
        <f>tblSites[[#This Row],[FinalImplementingPartner]]</f>
        <v>No SMA</v>
      </c>
    </row>
    <row r="731" spans="1:14" x14ac:dyDescent="0.25">
      <c r="A731" s="12" t="s">
        <v>3595</v>
      </c>
      <c r="B731" s="12" t="s">
        <v>4195</v>
      </c>
      <c r="C731" s="12" t="s">
        <v>4756</v>
      </c>
      <c r="D731" t="s">
        <v>59</v>
      </c>
      <c r="E731" s="12" t="s">
        <v>3179</v>
      </c>
      <c r="F731" s="12" t="s">
        <v>335</v>
      </c>
      <c r="G731" s="12" t="s">
        <v>5129</v>
      </c>
      <c r="H731" s="12" t="s">
        <v>4195</v>
      </c>
      <c r="I731" s="84">
        <v>2600122</v>
      </c>
      <c r="J731" s="12" t="s">
        <v>5102</v>
      </c>
      <c r="K731" s="12" t="s">
        <v>389</v>
      </c>
      <c r="L731" s="12" t="str">
        <f>IF(OR(ISBLANK(tblSites[[#This Row],[Implementing Partner]]), tblSites[[#This Row],[Implementing Partner]]="-"), tblSites[[#This Row],[Site Agency]], tblSites[[#This Row],[Implementing Partner]])</f>
        <v>No SMA</v>
      </c>
      <c r="M731" s="12" t="s">
        <v>55</v>
      </c>
      <c r="N731" s="12" t="str">
        <f>tblSites[[#This Row],[FinalImplementingPartner]]</f>
        <v>No SMA</v>
      </c>
    </row>
    <row r="732" spans="1:14" x14ac:dyDescent="0.25">
      <c r="A732" s="12" t="s">
        <v>3596</v>
      </c>
      <c r="B732" s="12" t="s">
        <v>4196</v>
      </c>
      <c r="C732" s="12" t="s">
        <v>912</v>
      </c>
      <c r="D732" t="s">
        <v>59</v>
      </c>
      <c r="E732" s="12" t="s">
        <v>3179</v>
      </c>
      <c r="F732" s="12" t="s">
        <v>67</v>
      </c>
      <c r="G732" s="12" t="s">
        <v>5109</v>
      </c>
      <c r="H732" s="12" t="s">
        <v>4196</v>
      </c>
      <c r="I732" s="84">
        <v>2600118</v>
      </c>
      <c r="J732" s="12" t="s">
        <v>5102</v>
      </c>
      <c r="K732" s="12" t="s">
        <v>389</v>
      </c>
      <c r="L732" s="12" t="str">
        <f>IF(OR(ISBLANK(tblSites[[#This Row],[Implementing Partner]]), tblSites[[#This Row],[Implementing Partner]]="-"), tblSites[[#This Row],[Site Agency]], tblSites[[#This Row],[Implementing Partner]])</f>
        <v>No SMA</v>
      </c>
      <c r="M732" s="12" t="s">
        <v>55</v>
      </c>
      <c r="N732" s="12" t="str">
        <f>tblSites[[#This Row],[FinalImplementingPartner]]</f>
        <v>No SMA</v>
      </c>
    </row>
    <row r="733" spans="1:14" x14ac:dyDescent="0.25">
      <c r="A733" s="12" t="s">
        <v>3597</v>
      </c>
      <c r="B733" s="12" t="s">
        <v>4197</v>
      </c>
      <c r="C733" s="12" t="s">
        <v>4757</v>
      </c>
      <c r="D733" t="s">
        <v>59</v>
      </c>
      <c r="E733" s="12" t="s">
        <v>3179</v>
      </c>
      <c r="F733" s="12" t="s">
        <v>335</v>
      </c>
      <c r="G733" s="12" t="s">
        <v>5129</v>
      </c>
      <c r="H733" s="12" t="s">
        <v>4197</v>
      </c>
      <c r="I733" s="84">
        <v>2600122</v>
      </c>
      <c r="J733" s="47" t="s">
        <v>5102</v>
      </c>
      <c r="K733" s="12" t="s">
        <v>389</v>
      </c>
      <c r="L733" s="12" t="str">
        <f>IF(OR(ISBLANK(tblSites[[#This Row],[Implementing Partner]]), tblSites[[#This Row],[Implementing Partner]]="-"), tblSites[[#This Row],[Site Agency]], tblSites[[#This Row],[Implementing Partner]])</f>
        <v>No SMA</v>
      </c>
      <c r="M733" s="12" t="s">
        <v>55</v>
      </c>
      <c r="N733" s="12" t="str">
        <f>tblSites[[#This Row],[FinalImplementingPartner]]</f>
        <v>No SMA</v>
      </c>
    </row>
    <row r="734" spans="1:14" x14ac:dyDescent="0.25">
      <c r="A734" s="12" t="s">
        <v>3598</v>
      </c>
      <c r="B734" s="12" t="s">
        <v>4198</v>
      </c>
      <c r="C734" s="12" t="s">
        <v>343</v>
      </c>
      <c r="D734" t="s">
        <v>59</v>
      </c>
      <c r="E734" s="12" t="s">
        <v>3179</v>
      </c>
      <c r="F734" s="12" t="s">
        <v>335</v>
      </c>
      <c r="G734" s="12" t="s">
        <v>5129</v>
      </c>
      <c r="H734" s="12" t="s">
        <v>4198</v>
      </c>
      <c r="I734" s="84">
        <v>2600122</v>
      </c>
      <c r="J734" s="12" t="s">
        <v>5102</v>
      </c>
      <c r="K734" s="12" t="s">
        <v>389</v>
      </c>
      <c r="L734" s="12" t="str">
        <f>IF(OR(ISBLANK(tblSites[[#This Row],[Implementing Partner]]), tblSites[[#This Row],[Implementing Partner]]="-"), tblSites[[#This Row],[Site Agency]], tblSites[[#This Row],[Implementing Partner]])</f>
        <v>No SMA</v>
      </c>
      <c r="M734" s="12" t="s">
        <v>55</v>
      </c>
      <c r="N734" s="12" t="str">
        <f>tblSites[[#This Row],[FinalImplementingPartner]]</f>
        <v>No SMA</v>
      </c>
    </row>
    <row r="735" spans="1:14" x14ac:dyDescent="0.25">
      <c r="A735" s="12" t="s">
        <v>3599</v>
      </c>
      <c r="B735" s="12" t="s">
        <v>4199</v>
      </c>
      <c r="C735" s="12" t="s">
        <v>4758</v>
      </c>
      <c r="D735" t="s">
        <v>59</v>
      </c>
      <c r="E735" s="12" t="s">
        <v>3179</v>
      </c>
      <c r="F735" s="12" t="s">
        <v>67</v>
      </c>
      <c r="G735" s="12" t="s">
        <v>5399</v>
      </c>
      <c r="H735" s="12" t="s">
        <v>4199</v>
      </c>
      <c r="I735" s="84">
        <v>2600118</v>
      </c>
      <c r="J735" s="12" t="s">
        <v>7</v>
      </c>
      <c r="K735" s="12" t="s">
        <v>389</v>
      </c>
      <c r="L735" s="12" t="str">
        <f>IF(OR(ISBLANK(tblSites[[#This Row],[Implementing Partner]]), tblSites[[#This Row],[Implementing Partner]]="-"), tblSites[[#This Row],[Site Agency]], tblSites[[#This Row],[Implementing Partner]])</f>
        <v>ACTED</v>
      </c>
      <c r="M735" s="12" t="s">
        <v>55</v>
      </c>
      <c r="N735" s="12" t="str">
        <f>tblSites[[#This Row],[FinalImplementingPartner]]</f>
        <v>ACTED</v>
      </c>
    </row>
    <row r="736" spans="1:14" x14ac:dyDescent="0.25">
      <c r="A736" s="12" t="s">
        <v>3600</v>
      </c>
      <c r="B736" s="12" t="s">
        <v>4200</v>
      </c>
      <c r="C736" s="12" t="s">
        <v>4759</v>
      </c>
      <c r="D736" t="s">
        <v>59</v>
      </c>
      <c r="E736" s="12" t="s">
        <v>3179</v>
      </c>
      <c r="F736" s="12" t="s">
        <v>67</v>
      </c>
      <c r="G736" s="12" t="s">
        <v>5109</v>
      </c>
      <c r="H736" s="12" t="s">
        <v>4200</v>
      </c>
      <c r="I736" s="84">
        <v>2600118</v>
      </c>
      <c r="J736" s="12" t="s">
        <v>5102</v>
      </c>
      <c r="K736" s="12" t="s">
        <v>389</v>
      </c>
      <c r="L736" s="12" t="str">
        <f>IF(OR(ISBLANK(tblSites[[#This Row],[Implementing Partner]]), tblSites[[#This Row],[Implementing Partner]]="-"), tblSites[[#This Row],[Site Agency]], tblSites[[#This Row],[Implementing Partner]])</f>
        <v>No SMA</v>
      </c>
      <c r="M736" s="12" t="s">
        <v>55</v>
      </c>
      <c r="N736" s="12" t="str">
        <f>tblSites[[#This Row],[FinalImplementingPartner]]</f>
        <v>No SMA</v>
      </c>
    </row>
    <row r="737" spans="1:14" x14ac:dyDescent="0.25">
      <c r="A737" s="12" t="s">
        <v>3601</v>
      </c>
      <c r="B737" s="12" t="s">
        <v>4201</v>
      </c>
      <c r="C737" s="12" t="s">
        <v>1239</v>
      </c>
      <c r="D737" t="s">
        <v>59</v>
      </c>
      <c r="E737" s="12" t="s">
        <v>3179</v>
      </c>
      <c r="F737" s="12" t="s">
        <v>67</v>
      </c>
      <c r="G737" s="12" t="s">
        <v>5109</v>
      </c>
      <c r="H737" s="12" t="s">
        <v>4201</v>
      </c>
      <c r="I737" s="84">
        <v>2600118</v>
      </c>
      <c r="J737" s="12" t="s">
        <v>5102</v>
      </c>
      <c r="K737" s="12" t="s">
        <v>389</v>
      </c>
      <c r="L737" s="12" t="str">
        <f>IF(OR(ISBLANK(tblSites[[#This Row],[Implementing Partner]]), tblSites[[#This Row],[Implementing Partner]]="-"), tblSites[[#This Row],[Site Agency]], tblSites[[#This Row],[Implementing Partner]])</f>
        <v>No SMA</v>
      </c>
      <c r="M737" s="12" t="s">
        <v>55</v>
      </c>
      <c r="N737" s="12" t="str">
        <f>tblSites[[#This Row],[FinalImplementingPartner]]</f>
        <v>No SMA</v>
      </c>
    </row>
    <row r="738" spans="1:14" x14ac:dyDescent="0.25">
      <c r="A738" s="12" t="s">
        <v>3602</v>
      </c>
      <c r="B738" s="12" t="s">
        <v>4202</v>
      </c>
      <c r="C738" s="12" t="s">
        <v>4760</v>
      </c>
      <c r="D738" t="s">
        <v>59</v>
      </c>
      <c r="E738" s="12" t="s">
        <v>3179</v>
      </c>
      <c r="F738" s="12" t="s">
        <v>335</v>
      </c>
      <c r="G738" s="12" t="s">
        <v>5129</v>
      </c>
      <c r="H738" s="12" t="s">
        <v>4202</v>
      </c>
      <c r="I738" s="84">
        <v>2600122</v>
      </c>
      <c r="J738" s="12" t="s">
        <v>5102</v>
      </c>
      <c r="K738" s="12" t="s">
        <v>389</v>
      </c>
      <c r="L738" s="12" t="str">
        <f>IF(OR(ISBLANK(tblSites[[#This Row],[Implementing Partner]]), tblSites[[#This Row],[Implementing Partner]]="-"), tblSites[[#This Row],[Site Agency]], tblSites[[#This Row],[Implementing Partner]])</f>
        <v>No SMA</v>
      </c>
      <c r="M738" s="12" t="s">
        <v>55</v>
      </c>
      <c r="N738" s="12" t="str">
        <f>tblSites[[#This Row],[FinalImplementingPartner]]</f>
        <v>No SMA</v>
      </c>
    </row>
    <row r="739" spans="1:14" x14ac:dyDescent="0.25">
      <c r="A739" s="12" t="s">
        <v>3603</v>
      </c>
      <c r="B739" s="12" t="s">
        <v>4203</v>
      </c>
      <c r="C739" s="12" t="s">
        <v>4761</v>
      </c>
      <c r="D739" t="s">
        <v>59</v>
      </c>
      <c r="E739" s="12" t="s">
        <v>3179</v>
      </c>
      <c r="F739" s="12" t="s">
        <v>695</v>
      </c>
      <c r="G739" s="12" t="s">
        <v>5104</v>
      </c>
      <c r="H739" s="12" t="s">
        <v>4203</v>
      </c>
      <c r="I739" s="84">
        <v>2600116</v>
      </c>
      <c r="J739" s="12" t="s">
        <v>5102</v>
      </c>
      <c r="K739" s="12" t="s">
        <v>389</v>
      </c>
      <c r="L739" s="12" t="str">
        <f>IF(OR(ISBLANK(tblSites[[#This Row],[Implementing Partner]]), tblSites[[#This Row],[Implementing Partner]]="-"), tblSites[[#This Row],[Site Agency]], tblSites[[#This Row],[Implementing Partner]])</f>
        <v>No SMA</v>
      </c>
      <c r="M739" s="12" t="s">
        <v>55</v>
      </c>
      <c r="N739" s="12" t="str">
        <f>tblSites[[#This Row],[FinalImplementingPartner]]</f>
        <v>No SMA</v>
      </c>
    </row>
    <row r="740" spans="1:14" x14ac:dyDescent="0.25">
      <c r="A740" s="12" t="s">
        <v>3604</v>
      </c>
      <c r="B740" s="12" t="s">
        <v>4124</v>
      </c>
      <c r="C740" s="12" t="s">
        <v>752</v>
      </c>
      <c r="D740" t="s">
        <v>59</v>
      </c>
      <c r="E740" s="12" t="s">
        <v>3179</v>
      </c>
      <c r="F740" s="12" t="s">
        <v>335</v>
      </c>
      <c r="G740" s="12" t="s">
        <v>5129</v>
      </c>
      <c r="H740" s="12" t="s">
        <v>4124</v>
      </c>
      <c r="I740" s="84">
        <v>2600122</v>
      </c>
      <c r="J740" s="12" t="s">
        <v>5102</v>
      </c>
      <c r="K740" s="12" t="s">
        <v>389</v>
      </c>
      <c r="L740" s="12" t="str">
        <f>IF(OR(ISBLANK(tblSites[[#This Row],[Implementing Partner]]), tblSites[[#This Row],[Implementing Partner]]="-"), tblSites[[#This Row],[Site Agency]], tblSites[[#This Row],[Implementing Partner]])</f>
        <v>No SMA</v>
      </c>
      <c r="M740" s="12" t="s">
        <v>55</v>
      </c>
      <c r="N740" s="12" t="str">
        <f>tblSites[[#This Row],[FinalImplementingPartner]]</f>
        <v>No SMA</v>
      </c>
    </row>
    <row r="741" spans="1:14" x14ac:dyDescent="0.25">
      <c r="A741" s="12" t="s">
        <v>3605</v>
      </c>
      <c r="B741" s="12" t="s">
        <v>4204</v>
      </c>
      <c r="C741" s="12" t="s">
        <v>4762</v>
      </c>
      <c r="D741" t="s">
        <v>59</v>
      </c>
      <c r="E741" s="12" t="s">
        <v>3179</v>
      </c>
      <c r="F741" s="12" t="s">
        <v>67</v>
      </c>
      <c r="G741" s="12" t="s">
        <v>5109</v>
      </c>
      <c r="H741" s="12" t="s">
        <v>4204</v>
      </c>
      <c r="I741" s="84">
        <v>2600118</v>
      </c>
      <c r="J741" s="12" t="s">
        <v>5102</v>
      </c>
      <c r="K741" s="12" t="s">
        <v>389</v>
      </c>
      <c r="L741" s="12" t="str">
        <f>IF(OR(ISBLANK(tblSites[[#This Row],[Implementing Partner]]), tblSites[[#This Row],[Implementing Partner]]="-"), tblSites[[#This Row],[Site Agency]], tblSites[[#This Row],[Implementing Partner]])</f>
        <v>No SMA</v>
      </c>
      <c r="M741" s="12" t="s">
        <v>55</v>
      </c>
      <c r="N741" s="12" t="str">
        <f>tblSites[[#This Row],[FinalImplementingPartner]]</f>
        <v>No SMA</v>
      </c>
    </row>
    <row r="742" spans="1:14" x14ac:dyDescent="0.25">
      <c r="A742" s="12" t="s">
        <v>3606</v>
      </c>
      <c r="B742" s="12" t="s">
        <v>4205</v>
      </c>
      <c r="C742" s="12" t="s">
        <v>4763</v>
      </c>
      <c r="D742" t="s">
        <v>59</v>
      </c>
      <c r="E742" s="12" t="s">
        <v>3179</v>
      </c>
      <c r="F742" s="12" t="s">
        <v>67</v>
      </c>
      <c r="G742" s="12" t="s">
        <v>5109</v>
      </c>
      <c r="H742" s="12" t="s">
        <v>4205</v>
      </c>
      <c r="I742" s="84">
        <v>2600118</v>
      </c>
      <c r="J742" s="12" t="s">
        <v>5102</v>
      </c>
      <c r="K742" s="12" t="s">
        <v>389</v>
      </c>
      <c r="L742" s="12" t="str">
        <f>IF(OR(ISBLANK(tblSites[[#This Row],[Implementing Partner]]), tblSites[[#This Row],[Implementing Partner]]="-"), tblSites[[#This Row],[Site Agency]], tblSites[[#This Row],[Implementing Partner]])</f>
        <v>No SMA</v>
      </c>
      <c r="M742" s="12" t="s">
        <v>55</v>
      </c>
      <c r="N742" s="12" t="str">
        <f>tblSites[[#This Row],[FinalImplementingPartner]]</f>
        <v>No SMA</v>
      </c>
    </row>
    <row r="743" spans="1:14" x14ac:dyDescent="0.25">
      <c r="A743" s="12" t="s">
        <v>3607</v>
      </c>
      <c r="B743" s="12" t="s">
        <v>4206</v>
      </c>
      <c r="C743" s="12" t="s">
        <v>4764</v>
      </c>
      <c r="D743" t="s">
        <v>59</v>
      </c>
      <c r="E743" s="12" t="s">
        <v>3179</v>
      </c>
      <c r="F743" s="12" t="s">
        <v>695</v>
      </c>
      <c r="G743" s="12" t="s">
        <v>5104</v>
      </c>
      <c r="H743" s="12" t="s">
        <v>4206</v>
      </c>
      <c r="I743" s="84">
        <v>2600116</v>
      </c>
      <c r="J743" s="12" t="s">
        <v>5102</v>
      </c>
      <c r="K743" s="12" t="s">
        <v>389</v>
      </c>
      <c r="L743" s="12" t="str">
        <f>IF(OR(ISBLANK(tblSites[[#This Row],[Implementing Partner]]), tblSites[[#This Row],[Implementing Partner]]="-"), tblSites[[#This Row],[Site Agency]], tblSites[[#This Row],[Implementing Partner]])</f>
        <v>No SMA</v>
      </c>
      <c r="M743" s="12" t="s">
        <v>55</v>
      </c>
      <c r="N743" s="12" t="str">
        <f>tblSites[[#This Row],[FinalImplementingPartner]]</f>
        <v>No SMA</v>
      </c>
    </row>
    <row r="744" spans="1:14" x14ac:dyDescent="0.25">
      <c r="A744" s="12" t="s">
        <v>3608</v>
      </c>
      <c r="B744" s="12" t="s">
        <v>4207</v>
      </c>
      <c r="C744" s="12" t="s">
        <v>4622</v>
      </c>
      <c r="D744" t="s">
        <v>59</v>
      </c>
      <c r="E744" s="12" t="s">
        <v>3179</v>
      </c>
      <c r="F744" s="12" t="s">
        <v>67</v>
      </c>
      <c r="G744" s="12" t="s">
        <v>5109</v>
      </c>
      <c r="H744" s="12" t="s">
        <v>4207</v>
      </c>
      <c r="I744" s="84">
        <v>2600118</v>
      </c>
      <c r="J744" s="12" t="s">
        <v>5102</v>
      </c>
      <c r="K744" s="12" t="s">
        <v>389</v>
      </c>
      <c r="L744" s="12" t="str">
        <f>IF(OR(ISBLANK(tblSites[[#This Row],[Implementing Partner]]), tblSites[[#This Row],[Implementing Partner]]="-"), tblSites[[#This Row],[Site Agency]], tblSites[[#This Row],[Implementing Partner]])</f>
        <v>No SMA</v>
      </c>
      <c r="M744" s="12" t="s">
        <v>55</v>
      </c>
      <c r="N744" s="12" t="str">
        <f>tblSites[[#This Row],[FinalImplementingPartner]]</f>
        <v>No SMA</v>
      </c>
    </row>
    <row r="745" spans="1:14" x14ac:dyDescent="0.25">
      <c r="A745" s="12" t="s">
        <v>3609</v>
      </c>
      <c r="B745" s="12" t="s">
        <v>4208</v>
      </c>
      <c r="C745" s="12" t="s">
        <v>4765</v>
      </c>
      <c r="D745" t="s">
        <v>59</v>
      </c>
      <c r="E745" s="12" t="s">
        <v>3179</v>
      </c>
      <c r="F745" s="12" t="s">
        <v>335</v>
      </c>
      <c r="G745" s="12" t="s">
        <v>5129</v>
      </c>
      <c r="H745" s="12" t="s">
        <v>4208</v>
      </c>
      <c r="I745" s="84">
        <v>2600122</v>
      </c>
      <c r="J745" s="12" t="s">
        <v>5102</v>
      </c>
      <c r="K745" s="12" t="s">
        <v>389</v>
      </c>
      <c r="L745" s="12" t="str">
        <f>IF(OR(ISBLANK(tblSites[[#This Row],[Implementing Partner]]), tblSites[[#This Row],[Implementing Partner]]="-"), tblSites[[#This Row],[Site Agency]], tblSites[[#This Row],[Implementing Partner]])</f>
        <v>No SMA</v>
      </c>
      <c r="M745" s="12" t="s">
        <v>55</v>
      </c>
      <c r="N745" s="12" t="str">
        <f>tblSites[[#This Row],[FinalImplementingPartner]]</f>
        <v>No SMA</v>
      </c>
    </row>
    <row r="746" spans="1:14" x14ac:dyDescent="0.25">
      <c r="A746" s="12" t="s">
        <v>3610</v>
      </c>
      <c r="B746" s="12" t="s">
        <v>4209</v>
      </c>
      <c r="C746" s="12" t="s">
        <v>2384</v>
      </c>
      <c r="D746" t="s">
        <v>59</v>
      </c>
      <c r="E746" s="12" t="s">
        <v>3179</v>
      </c>
      <c r="F746" s="12" t="s">
        <v>335</v>
      </c>
      <c r="G746" s="12" t="s">
        <v>5129</v>
      </c>
      <c r="H746" s="12" t="s">
        <v>4209</v>
      </c>
      <c r="I746" s="84">
        <v>2600122</v>
      </c>
      <c r="J746" s="12" t="s">
        <v>5102</v>
      </c>
      <c r="K746" s="12" t="s">
        <v>389</v>
      </c>
      <c r="L746" s="12" t="str">
        <f>IF(OR(ISBLANK(tblSites[[#This Row],[Implementing Partner]]), tblSites[[#This Row],[Implementing Partner]]="-"), tblSites[[#This Row],[Site Agency]], tblSites[[#This Row],[Implementing Partner]])</f>
        <v>No SMA</v>
      </c>
      <c r="M746" s="12" t="s">
        <v>55</v>
      </c>
      <c r="N746" s="12" t="str">
        <f>tblSites[[#This Row],[FinalImplementingPartner]]</f>
        <v>No SMA</v>
      </c>
    </row>
    <row r="747" spans="1:14" x14ac:dyDescent="0.25">
      <c r="A747" s="12" t="s">
        <v>3611</v>
      </c>
      <c r="B747" s="12" t="s">
        <v>4210</v>
      </c>
      <c r="C747" s="12" t="s">
        <v>2384</v>
      </c>
      <c r="D747" t="s">
        <v>59</v>
      </c>
      <c r="E747" s="12" t="s">
        <v>3179</v>
      </c>
      <c r="F747" s="12" t="s">
        <v>67</v>
      </c>
      <c r="G747" s="12" t="s">
        <v>5109</v>
      </c>
      <c r="H747" s="12" t="s">
        <v>4210</v>
      </c>
      <c r="I747" s="84">
        <v>2600118</v>
      </c>
      <c r="J747" s="12" t="s">
        <v>5102</v>
      </c>
      <c r="K747" s="12" t="s">
        <v>389</v>
      </c>
      <c r="L747" s="12" t="str">
        <f>IF(OR(ISBLANK(tblSites[[#This Row],[Implementing Partner]]), tblSites[[#This Row],[Implementing Partner]]="-"), tblSites[[#This Row],[Site Agency]], tblSites[[#This Row],[Implementing Partner]])</f>
        <v>No SMA</v>
      </c>
      <c r="M747" s="12" t="s">
        <v>55</v>
      </c>
      <c r="N747" s="12" t="str">
        <f>tblSites[[#This Row],[FinalImplementingPartner]]</f>
        <v>No SMA</v>
      </c>
    </row>
    <row r="748" spans="1:14" x14ac:dyDescent="0.25">
      <c r="A748" s="12" t="s">
        <v>3612</v>
      </c>
      <c r="B748" s="12" t="s">
        <v>4211</v>
      </c>
      <c r="C748" s="12" t="s">
        <v>4766</v>
      </c>
      <c r="D748" t="s">
        <v>59</v>
      </c>
      <c r="E748" s="12" t="s">
        <v>3179</v>
      </c>
      <c r="F748" s="12" t="s">
        <v>67</v>
      </c>
      <c r="G748" s="12" t="s">
        <v>5109</v>
      </c>
      <c r="H748" s="12" t="s">
        <v>4211</v>
      </c>
      <c r="I748" s="84">
        <v>2600118</v>
      </c>
      <c r="J748" s="12" t="s">
        <v>5102</v>
      </c>
      <c r="K748" s="12" t="s">
        <v>389</v>
      </c>
      <c r="L748" s="12" t="str">
        <f>IF(OR(ISBLANK(tblSites[[#This Row],[Implementing Partner]]), tblSites[[#This Row],[Implementing Partner]]="-"), tblSites[[#This Row],[Site Agency]], tblSites[[#This Row],[Implementing Partner]])</f>
        <v>No SMA</v>
      </c>
      <c r="M748" s="12" t="s">
        <v>55</v>
      </c>
      <c r="N748" s="12" t="str">
        <f>tblSites[[#This Row],[FinalImplementingPartner]]</f>
        <v>No SMA</v>
      </c>
    </row>
    <row r="749" spans="1:14" x14ac:dyDescent="0.25">
      <c r="A749" s="12" t="s">
        <v>3613</v>
      </c>
      <c r="B749" s="12" t="s">
        <v>4212</v>
      </c>
      <c r="C749" s="12" t="s">
        <v>4767</v>
      </c>
      <c r="D749" t="s">
        <v>59</v>
      </c>
      <c r="E749" s="12" t="s">
        <v>3179</v>
      </c>
      <c r="F749" s="12" t="s">
        <v>67</v>
      </c>
      <c r="G749" s="12" t="s">
        <v>5109</v>
      </c>
      <c r="H749" s="12" t="s">
        <v>4212</v>
      </c>
      <c r="I749" s="84">
        <v>2600118</v>
      </c>
      <c r="J749" s="12" t="s">
        <v>5102</v>
      </c>
      <c r="K749" s="12" t="s">
        <v>389</v>
      </c>
      <c r="L749" s="12" t="str">
        <f>IF(OR(ISBLANK(tblSites[[#This Row],[Implementing Partner]]), tblSites[[#This Row],[Implementing Partner]]="-"), tblSites[[#This Row],[Site Agency]], tblSites[[#This Row],[Implementing Partner]])</f>
        <v>No SMA</v>
      </c>
      <c r="M749" s="12" t="s">
        <v>55</v>
      </c>
      <c r="N749" s="12" t="str">
        <f>tblSites[[#This Row],[FinalImplementingPartner]]</f>
        <v>No SMA</v>
      </c>
    </row>
    <row r="750" spans="1:14" x14ac:dyDescent="0.25">
      <c r="A750" s="12" t="s">
        <v>3614</v>
      </c>
      <c r="B750" s="12" t="s">
        <v>4213</v>
      </c>
      <c r="C750" s="12" t="s">
        <v>4768</v>
      </c>
      <c r="D750" t="s">
        <v>59</v>
      </c>
      <c r="E750" s="12" t="s">
        <v>3179</v>
      </c>
      <c r="F750" s="12" t="s">
        <v>695</v>
      </c>
      <c r="G750" s="12" t="s">
        <v>5104</v>
      </c>
      <c r="H750" s="12" t="s">
        <v>4213</v>
      </c>
      <c r="I750" s="84">
        <v>2600116</v>
      </c>
      <c r="J750" s="12" t="s">
        <v>5102</v>
      </c>
      <c r="K750" s="12" t="s">
        <v>389</v>
      </c>
      <c r="L750" s="12" t="str">
        <f>IF(OR(ISBLANK(tblSites[[#This Row],[Implementing Partner]]), tblSites[[#This Row],[Implementing Partner]]="-"), tblSites[[#This Row],[Site Agency]], tblSites[[#This Row],[Implementing Partner]])</f>
        <v>No SMA</v>
      </c>
      <c r="M750" s="12" t="s">
        <v>55</v>
      </c>
      <c r="N750" s="12" t="str">
        <f>tblSites[[#This Row],[FinalImplementingPartner]]</f>
        <v>No SMA</v>
      </c>
    </row>
    <row r="751" spans="1:14" x14ac:dyDescent="0.25">
      <c r="A751" s="12" t="s">
        <v>3615</v>
      </c>
      <c r="B751" s="12" t="s">
        <v>4214</v>
      </c>
      <c r="C751" s="12" t="s">
        <v>4769</v>
      </c>
      <c r="D751" t="s">
        <v>59</v>
      </c>
      <c r="E751" s="12" t="s">
        <v>3179</v>
      </c>
      <c r="F751" s="12" t="s">
        <v>67</v>
      </c>
      <c r="G751" s="12" t="s">
        <v>5399</v>
      </c>
      <c r="H751" s="12" t="s">
        <v>4214</v>
      </c>
      <c r="I751" s="84">
        <v>2600118</v>
      </c>
      <c r="J751" s="12" t="s">
        <v>7</v>
      </c>
      <c r="K751" s="12" t="s">
        <v>389</v>
      </c>
      <c r="L751" s="12" t="str">
        <f>IF(OR(ISBLANK(tblSites[[#This Row],[Implementing Partner]]), tblSites[[#This Row],[Implementing Partner]]="-"), tblSites[[#This Row],[Site Agency]], tblSites[[#This Row],[Implementing Partner]])</f>
        <v>ACTED</v>
      </c>
      <c r="M751" s="12" t="s">
        <v>55</v>
      </c>
      <c r="N751" s="12" t="str">
        <f>tblSites[[#This Row],[FinalImplementingPartner]]</f>
        <v>ACTED</v>
      </c>
    </row>
    <row r="752" spans="1:14" x14ac:dyDescent="0.25">
      <c r="A752" s="12" t="s">
        <v>3616</v>
      </c>
      <c r="B752" s="12" t="s">
        <v>4215</v>
      </c>
      <c r="C752" s="12" t="s">
        <v>262</v>
      </c>
      <c r="D752" t="s">
        <v>59</v>
      </c>
      <c r="E752" s="12" t="s">
        <v>3179</v>
      </c>
      <c r="F752" s="12" t="s">
        <v>67</v>
      </c>
      <c r="G752" s="12" t="s">
        <v>5109</v>
      </c>
      <c r="H752" s="12" t="s">
        <v>4215</v>
      </c>
      <c r="I752" s="84">
        <v>2600118</v>
      </c>
      <c r="J752" s="12" t="s">
        <v>5102</v>
      </c>
      <c r="K752" s="12" t="s">
        <v>389</v>
      </c>
      <c r="L752" s="12" t="str">
        <f>IF(OR(ISBLANK(tblSites[[#This Row],[Implementing Partner]]), tblSites[[#This Row],[Implementing Partner]]="-"), tblSites[[#This Row],[Site Agency]], tblSites[[#This Row],[Implementing Partner]])</f>
        <v>No SMA</v>
      </c>
      <c r="M752" s="12" t="s">
        <v>55</v>
      </c>
      <c r="N752" s="12" t="str">
        <f>tblSites[[#This Row],[FinalImplementingPartner]]</f>
        <v>No SMA</v>
      </c>
    </row>
    <row r="753" spans="1:14" x14ac:dyDescent="0.25">
      <c r="A753" s="12" t="s">
        <v>3617</v>
      </c>
      <c r="B753" s="12" t="s">
        <v>4216</v>
      </c>
      <c r="C753" s="12" t="s">
        <v>4770</v>
      </c>
      <c r="D753" t="s">
        <v>59</v>
      </c>
      <c r="E753" s="12" t="s">
        <v>3179</v>
      </c>
      <c r="F753" s="12" t="s">
        <v>695</v>
      </c>
      <c r="G753" s="12" t="s">
        <v>5104</v>
      </c>
      <c r="H753" s="12" t="s">
        <v>4216</v>
      </c>
      <c r="I753" s="84">
        <v>2600116</v>
      </c>
      <c r="J753" s="12" t="s">
        <v>5102</v>
      </c>
      <c r="K753" s="12" t="s">
        <v>389</v>
      </c>
      <c r="L753" s="12" t="str">
        <f>IF(OR(ISBLANK(tblSites[[#This Row],[Implementing Partner]]), tblSites[[#This Row],[Implementing Partner]]="-"), tblSites[[#This Row],[Site Agency]], tblSites[[#This Row],[Implementing Partner]])</f>
        <v>No SMA</v>
      </c>
      <c r="M753" s="12" t="s">
        <v>55</v>
      </c>
      <c r="N753" s="12" t="str">
        <f>tblSites[[#This Row],[FinalImplementingPartner]]</f>
        <v>No SMA</v>
      </c>
    </row>
    <row r="754" spans="1:14" x14ac:dyDescent="0.25">
      <c r="A754" s="12" t="s">
        <v>3618</v>
      </c>
      <c r="B754" s="12" t="s">
        <v>4217</v>
      </c>
      <c r="C754" s="12" t="s">
        <v>4771</v>
      </c>
      <c r="D754" t="s">
        <v>59</v>
      </c>
      <c r="E754" s="12" t="s">
        <v>3179</v>
      </c>
      <c r="F754" s="12" t="s">
        <v>695</v>
      </c>
      <c r="G754" s="12" t="s">
        <v>5104</v>
      </c>
      <c r="H754" s="12" t="s">
        <v>4217</v>
      </c>
      <c r="I754" s="84">
        <v>2600116</v>
      </c>
      <c r="J754" s="12" t="s">
        <v>5102</v>
      </c>
      <c r="K754" s="12" t="s">
        <v>389</v>
      </c>
      <c r="L754" s="12" t="str">
        <f>IF(OR(ISBLANK(tblSites[[#This Row],[Implementing Partner]]), tblSites[[#This Row],[Implementing Partner]]="-"), tblSites[[#This Row],[Site Agency]], tblSites[[#This Row],[Implementing Partner]])</f>
        <v>No SMA</v>
      </c>
      <c r="M754" s="12" t="s">
        <v>55</v>
      </c>
      <c r="N754" s="12" t="str">
        <f>tblSites[[#This Row],[FinalImplementingPartner]]</f>
        <v>No SMA</v>
      </c>
    </row>
    <row r="755" spans="1:14" x14ac:dyDescent="0.25">
      <c r="A755" s="12" t="s">
        <v>3619</v>
      </c>
      <c r="B755" s="12" t="s">
        <v>4218</v>
      </c>
      <c r="C755" s="12" t="s">
        <v>4772</v>
      </c>
      <c r="D755" t="s">
        <v>59</v>
      </c>
      <c r="E755" s="12" t="s">
        <v>3179</v>
      </c>
      <c r="F755" s="12" t="s">
        <v>67</v>
      </c>
      <c r="G755" s="12" t="s">
        <v>5109</v>
      </c>
      <c r="H755" s="12" t="s">
        <v>4218</v>
      </c>
      <c r="I755" s="84">
        <v>2600118</v>
      </c>
      <c r="J755" s="12" t="s">
        <v>5102</v>
      </c>
      <c r="K755" s="12" t="s">
        <v>389</v>
      </c>
      <c r="L755" s="12" t="str">
        <f>IF(OR(ISBLANK(tblSites[[#This Row],[Implementing Partner]]), tblSites[[#This Row],[Implementing Partner]]="-"), tblSites[[#This Row],[Site Agency]], tblSites[[#This Row],[Implementing Partner]])</f>
        <v>No SMA</v>
      </c>
      <c r="M755" s="12" t="s">
        <v>55</v>
      </c>
      <c r="N755" s="12" t="str">
        <f>tblSites[[#This Row],[FinalImplementingPartner]]</f>
        <v>No SMA</v>
      </c>
    </row>
    <row r="756" spans="1:14" x14ac:dyDescent="0.25">
      <c r="A756" s="12" t="s">
        <v>3620</v>
      </c>
      <c r="B756" s="12" t="s">
        <v>1093</v>
      </c>
      <c r="C756" s="12" t="s">
        <v>4773</v>
      </c>
      <c r="D756" t="s">
        <v>59</v>
      </c>
      <c r="E756" s="12" t="s">
        <v>3179</v>
      </c>
      <c r="F756" s="12" t="s">
        <v>67</v>
      </c>
      <c r="G756" s="12" t="s">
        <v>5109</v>
      </c>
      <c r="H756" s="12" t="s">
        <v>1093</v>
      </c>
      <c r="I756" s="84">
        <v>2600118</v>
      </c>
      <c r="J756" s="12" t="s">
        <v>5102</v>
      </c>
      <c r="K756" s="12" t="s">
        <v>389</v>
      </c>
      <c r="L756" s="12" t="str">
        <f>IF(OR(ISBLANK(tblSites[[#This Row],[Implementing Partner]]), tblSites[[#This Row],[Implementing Partner]]="-"), tblSites[[#This Row],[Site Agency]], tblSites[[#This Row],[Implementing Partner]])</f>
        <v>No SMA</v>
      </c>
      <c r="M756" s="12" t="s">
        <v>55</v>
      </c>
      <c r="N756" s="12" t="str">
        <f>tblSites[[#This Row],[FinalImplementingPartner]]</f>
        <v>No SMA</v>
      </c>
    </row>
    <row r="757" spans="1:14" x14ac:dyDescent="0.25">
      <c r="A757" s="12" t="s">
        <v>3621</v>
      </c>
      <c r="B757" s="12" t="s">
        <v>4219</v>
      </c>
      <c r="C757" s="12" t="s">
        <v>4774</v>
      </c>
      <c r="D757" t="s">
        <v>59</v>
      </c>
      <c r="E757" s="12" t="s">
        <v>3179</v>
      </c>
      <c r="F757" s="12" t="s">
        <v>335</v>
      </c>
      <c r="G757" s="12" t="s">
        <v>5129</v>
      </c>
      <c r="H757" s="12" t="s">
        <v>4219</v>
      </c>
      <c r="I757" s="84">
        <v>2600122</v>
      </c>
      <c r="J757" s="12" t="s">
        <v>5102</v>
      </c>
      <c r="K757" s="12" t="s">
        <v>389</v>
      </c>
      <c r="L757" s="12" t="str">
        <f>IF(OR(ISBLANK(tblSites[[#This Row],[Implementing Partner]]), tblSites[[#This Row],[Implementing Partner]]="-"), tblSites[[#This Row],[Site Agency]], tblSites[[#This Row],[Implementing Partner]])</f>
        <v>No SMA</v>
      </c>
      <c r="M757" s="12" t="s">
        <v>55</v>
      </c>
      <c r="N757" s="12" t="str">
        <f>tblSites[[#This Row],[FinalImplementingPartner]]</f>
        <v>No SMA</v>
      </c>
    </row>
    <row r="758" spans="1:14" x14ac:dyDescent="0.25">
      <c r="A758" s="12" t="s">
        <v>3622</v>
      </c>
      <c r="B758" s="12" t="s">
        <v>4220</v>
      </c>
      <c r="C758" s="12" t="s">
        <v>4775</v>
      </c>
      <c r="D758" t="s">
        <v>59</v>
      </c>
      <c r="E758" s="12" t="s">
        <v>3179</v>
      </c>
      <c r="F758" s="12" t="s">
        <v>67</v>
      </c>
      <c r="G758" s="12" t="s">
        <v>5109</v>
      </c>
      <c r="H758" s="12" t="s">
        <v>4220</v>
      </c>
      <c r="I758" s="84">
        <v>2600118</v>
      </c>
      <c r="J758" s="12" t="s">
        <v>5102</v>
      </c>
      <c r="K758" s="12" t="s">
        <v>389</v>
      </c>
      <c r="L758" s="12" t="str">
        <f>IF(OR(ISBLANK(tblSites[[#This Row],[Implementing Partner]]), tblSites[[#This Row],[Implementing Partner]]="-"), tblSites[[#This Row],[Site Agency]], tblSites[[#This Row],[Implementing Partner]])</f>
        <v>No SMA</v>
      </c>
      <c r="M758" s="12" t="s">
        <v>55</v>
      </c>
      <c r="N758" s="12" t="str">
        <f>tblSites[[#This Row],[FinalImplementingPartner]]</f>
        <v>No SMA</v>
      </c>
    </row>
    <row r="759" spans="1:14" x14ac:dyDescent="0.25">
      <c r="A759" s="12" t="s">
        <v>3623</v>
      </c>
      <c r="B759" s="12" t="s">
        <v>4221</v>
      </c>
      <c r="C759" s="12" t="s">
        <v>4776</v>
      </c>
      <c r="D759" t="s">
        <v>59</v>
      </c>
      <c r="E759" s="12" t="s">
        <v>3179</v>
      </c>
      <c r="F759" s="12" t="s">
        <v>335</v>
      </c>
      <c r="G759" s="12" t="s">
        <v>5129</v>
      </c>
      <c r="H759" s="12" t="s">
        <v>4221</v>
      </c>
      <c r="I759" s="84">
        <v>2600122</v>
      </c>
      <c r="J759" s="12" t="s">
        <v>5102</v>
      </c>
      <c r="L759" s="12" t="str">
        <f>IF(OR(ISBLANK(tblSites[[#This Row],[Implementing Partner]]), tblSites[[#This Row],[Implementing Partner]]="-"), tblSites[[#This Row],[Site Agency]], tblSites[[#This Row],[Implementing Partner]])</f>
        <v>No SMA</v>
      </c>
      <c r="M759" s="12" t="s">
        <v>55</v>
      </c>
      <c r="N759" s="12" t="str">
        <f>tblSites[[#This Row],[FinalImplementingPartner]]</f>
        <v>No SMA</v>
      </c>
    </row>
    <row r="760" spans="1:14" x14ac:dyDescent="0.25">
      <c r="A760" s="12" t="s">
        <v>3624</v>
      </c>
      <c r="B760" s="12" t="s">
        <v>4222</v>
      </c>
      <c r="C760" s="12" t="s">
        <v>4777</v>
      </c>
      <c r="D760" t="s">
        <v>59</v>
      </c>
      <c r="E760" s="12" t="s">
        <v>3179</v>
      </c>
      <c r="F760" s="12" t="s">
        <v>67</v>
      </c>
      <c r="G760" s="12" t="s">
        <v>5109</v>
      </c>
      <c r="H760" s="12" t="s">
        <v>4222</v>
      </c>
      <c r="I760" s="84">
        <v>2600118</v>
      </c>
      <c r="J760" s="12" t="s">
        <v>5102</v>
      </c>
      <c r="K760" s="12" t="s">
        <v>389</v>
      </c>
      <c r="L760" s="12" t="str">
        <f>IF(OR(ISBLANK(tblSites[[#This Row],[Implementing Partner]]), tblSites[[#This Row],[Implementing Partner]]="-"), tblSites[[#This Row],[Site Agency]], tblSites[[#This Row],[Implementing Partner]])</f>
        <v>No SMA</v>
      </c>
      <c r="M760" s="12" t="s">
        <v>55</v>
      </c>
      <c r="N760" s="12" t="str">
        <f>tblSites[[#This Row],[FinalImplementingPartner]]</f>
        <v>No SMA</v>
      </c>
    </row>
    <row r="761" spans="1:14" x14ac:dyDescent="0.25">
      <c r="A761" s="12" t="s">
        <v>3625</v>
      </c>
      <c r="B761" s="12" t="s">
        <v>4223</v>
      </c>
      <c r="C761" s="12" t="s">
        <v>4778</v>
      </c>
      <c r="D761" t="s">
        <v>59</v>
      </c>
      <c r="E761" s="12" t="s">
        <v>3179</v>
      </c>
      <c r="F761" s="12" t="s">
        <v>67</v>
      </c>
      <c r="G761" s="12" t="s">
        <v>5109</v>
      </c>
      <c r="H761" s="12" t="s">
        <v>4223</v>
      </c>
      <c r="I761" s="84">
        <v>2600118</v>
      </c>
      <c r="J761" s="12" t="s">
        <v>5102</v>
      </c>
      <c r="K761" s="12" t="s">
        <v>389</v>
      </c>
      <c r="L761" s="12" t="str">
        <f>IF(OR(ISBLANK(tblSites[[#This Row],[Implementing Partner]]), tblSites[[#This Row],[Implementing Partner]]="-"), tblSites[[#This Row],[Site Agency]], tblSites[[#This Row],[Implementing Partner]])</f>
        <v>No SMA</v>
      </c>
      <c r="M761" s="12" t="s">
        <v>55</v>
      </c>
      <c r="N761" s="12" t="str">
        <f>tblSites[[#This Row],[FinalImplementingPartner]]</f>
        <v>No SMA</v>
      </c>
    </row>
    <row r="762" spans="1:14" x14ac:dyDescent="0.25">
      <c r="A762" s="12" t="s">
        <v>3626</v>
      </c>
      <c r="B762" s="12" t="s">
        <v>4224</v>
      </c>
      <c r="C762" s="12" t="s">
        <v>4779</v>
      </c>
      <c r="D762" t="s">
        <v>59</v>
      </c>
      <c r="E762" s="12" t="s">
        <v>3179</v>
      </c>
      <c r="F762" s="12" t="s">
        <v>67</v>
      </c>
      <c r="G762" s="12" t="s">
        <v>5109</v>
      </c>
      <c r="H762" s="12" t="s">
        <v>4224</v>
      </c>
      <c r="I762" s="84">
        <v>2600118</v>
      </c>
      <c r="J762" s="12" t="s">
        <v>5102</v>
      </c>
      <c r="K762" s="12" t="s">
        <v>389</v>
      </c>
      <c r="L762" s="12" t="str">
        <f>IF(OR(ISBLANK(tblSites[[#This Row],[Implementing Partner]]), tblSites[[#This Row],[Implementing Partner]]="-"), tblSites[[#This Row],[Site Agency]], tblSites[[#This Row],[Implementing Partner]])</f>
        <v>No SMA</v>
      </c>
      <c r="M762" s="12" t="s">
        <v>55</v>
      </c>
      <c r="N762" s="12" t="str">
        <f>tblSites[[#This Row],[FinalImplementingPartner]]</f>
        <v>No SMA</v>
      </c>
    </row>
    <row r="763" spans="1:14" x14ac:dyDescent="0.25">
      <c r="A763" s="12" t="s">
        <v>3627</v>
      </c>
      <c r="B763" s="12" t="s">
        <v>4225</v>
      </c>
      <c r="C763" s="12" t="s">
        <v>4780</v>
      </c>
      <c r="D763" t="s">
        <v>59</v>
      </c>
      <c r="E763" s="12" t="s">
        <v>3179</v>
      </c>
      <c r="F763" s="12" t="s">
        <v>695</v>
      </c>
      <c r="G763" s="12" t="s">
        <v>5104</v>
      </c>
      <c r="H763" s="12" t="s">
        <v>4225</v>
      </c>
      <c r="I763" s="84">
        <v>2600116</v>
      </c>
      <c r="J763" s="12" t="s">
        <v>5102</v>
      </c>
      <c r="K763" s="12" t="s">
        <v>389</v>
      </c>
      <c r="L763" s="12" t="str">
        <f>IF(OR(ISBLANK(tblSites[[#This Row],[Implementing Partner]]), tblSites[[#This Row],[Implementing Partner]]="-"), tblSites[[#This Row],[Site Agency]], tblSites[[#This Row],[Implementing Partner]])</f>
        <v>No SMA</v>
      </c>
      <c r="M763" s="12" t="s">
        <v>55</v>
      </c>
      <c r="N763" s="12" t="str">
        <f>tblSites[[#This Row],[FinalImplementingPartner]]</f>
        <v>No SMA</v>
      </c>
    </row>
    <row r="764" spans="1:14" x14ac:dyDescent="0.25">
      <c r="A764" s="12" t="s">
        <v>3628</v>
      </c>
      <c r="B764" s="12" t="s">
        <v>4226</v>
      </c>
      <c r="C764" s="12" t="s">
        <v>4781</v>
      </c>
      <c r="D764" t="s">
        <v>59</v>
      </c>
      <c r="E764" s="12" t="s">
        <v>3179</v>
      </c>
      <c r="F764" s="12" t="s">
        <v>335</v>
      </c>
      <c r="G764" s="12" t="s">
        <v>5129</v>
      </c>
      <c r="H764" s="12" t="s">
        <v>4226</v>
      </c>
      <c r="I764" s="84">
        <v>2600122</v>
      </c>
      <c r="J764" s="12" t="s">
        <v>5102</v>
      </c>
      <c r="K764" s="12" t="s">
        <v>389</v>
      </c>
      <c r="L764" s="12" t="str">
        <f>IF(OR(ISBLANK(tblSites[[#This Row],[Implementing Partner]]), tblSites[[#This Row],[Implementing Partner]]="-"), tblSites[[#This Row],[Site Agency]], tblSites[[#This Row],[Implementing Partner]])</f>
        <v>No SMA</v>
      </c>
      <c r="M764" s="12" t="s">
        <v>55</v>
      </c>
      <c r="N764" s="12" t="str">
        <f>tblSites[[#This Row],[FinalImplementingPartner]]</f>
        <v>No SMA</v>
      </c>
    </row>
    <row r="765" spans="1:14" x14ac:dyDescent="0.25">
      <c r="A765" s="12" t="s">
        <v>3629</v>
      </c>
      <c r="B765" s="12" t="s">
        <v>4227</v>
      </c>
      <c r="C765" s="12" t="s">
        <v>4782</v>
      </c>
      <c r="D765" t="s">
        <v>59</v>
      </c>
      <c r="E765" s="12" t="s">
        <v>3179</v>
      </c>
      <c r="F765" s="12" t="s">
        <v>335</v>
      </c>
      <c r="G765" s="12" t="s">
        <v>5129</v>
      </c>
      <c r="H765" s="12" t="s">
        <v>4227</v>
      </c>
      <c r="I765" s="84">
        <v>2600122</v>
      </c>
      <c r="J765" s="12" t="s">
        <v>5102</v>
      </c>
      <c r="K765" s="12" t="s">
        <v>389</v>
      </c>
      <c r="L765" s="12" t="str">
        <f>IF(OR(ISBLANK(tblSites[[#This Row],[Implementing Partner]]), tblSites[[#This Row],[Implementing Partner]]="-"), tblSites[[#This Row],[Site Agency]], tblSites[[#This Row],[Implementing Partner]])</f>
        <v>No SMA</v>
      </c>
      <c r="M765" s="12" t="s">
        <v>55</v>
      </c>
      <c r="N765" s="12" t="str">
        <f>tblSites[[#This Row],[FinalImplementingPartner]]</f>
        <v>No SMA</v>
      </c>
    </row>
    <row r="766" spans="1:14" x14ac:dyDescent="0.25">
      <c r="A766" s="12" t="s">
        <v>3630</v>
      </c>
      <c r="B766" s="12" t="s">
        <v>4228</v>
      </c>
      <c r="C766" s="12" t="s">
        <v>4783</v>
      </c>
      <c r="D766" t="s">
        <v>59</v>
      </c>
      <c r="E766" s="12" t="s">
        <v>3179</v>
      </c>
      <c r="F766" s="12" t="s">
        <v>67</v>
      </c>
      <c r="G766" s="12" t="s">
        <v>5109</v>
      </c>
      <c r="H766" s="12" t="s">
        <v>4228</v>
      </c>
      <c r="I766" s="84">
        <v>2600118</v>
      </c>
      <c r="J766" s="12" t="s">
        <v>5102</v>
      </c>
      <c r="K766" s="12" t="s">
        <v>389</v>
      </c>
      <c r="L766" s="12" t="str">
        <f>IF(OR(ISBLANK(tblSites[[#This Row],[Implementing Partner]]), tblSites[[#This Row],[Implementing Partner]]="-"), tblSites[[#This Row],[Site Agency]], tblSites[[#This Row],[Implementing Partner]])</f>
        <v>No SMA</v>
      </c>
      <c r="M766" s="12" t="s">
        <v>55</v>
      </c>
      <c r="N766" s="12" t="str">
        <f>tblSites[[#This Row],[FinalImplementingPartner]]</f>
        <v>No SMA</v>
      </c>
    </row>
    <row r="767" spans="1:14" x14ac:dyDescent="0.25">
      <c r="A767" s="12" t="s">
        <v>3631</v>
      </c>
      <c r="B767" s="12" t="s">
        <v>4229</v>
      </c>
      <c r="C767" s="12" t="s">
        <v>4784</v>
      </c>
      <c r="D767" t="s">
        <v>59</v>
      </c>
      <c r="E767" s="12" t="s">
        <v>3179</v>
      </c>
      <c r="F767" s="12" t="s">
        <v>67</v>
      </c>
      <c r="G767" s="12" t="s">
        <v>5109</v>
      </c>
      <c r="H767" s="12" t="s">
        <v>4229</v>
      </c>
      <c r="I767" s="84">
        <v>2600118</v>
      </c>
      <c r="J767" s="12" t="s">
        <v>5102</v>
      </c>
      <c r="K767" s="12" t="s">
        <v>389</v>
      </c>
      <c r="L767" s="12" t="str">
        <f>IF(OR(ISBLANK(tblSites[[#This Row],[Implementing Partner]]), tblSites[[#This Row],[Implementing Partner]]="-"), tblSites[[#This Row],[Site Agency]], tblSites[[#This Row],[Implementing Partner]])</f>
        <v>No SMA</v>
      </c>
      <c r="M767" s="12" t="s">
        <v>55</v>
      </c>
      <c r="N767" s="12" t="str">
        <f>tblSites[[#This Row],[FinalImplementingPartner]]</f>
        <v>No SMA</v>
      </c>
    </row>
    <row r="768" spans="1:14" x14ac:dyDescent="0.25">
      <c r="A768" s="12" t="s">
        <v>3632</v>
      </c>
      <c r="B768" s="12" t="s">
        <v>4230</v>
      </c>
      <c r="C768" s="12" t="s">
        <v>1429</v>
      </c>
      <c r="D768" t="s">
        <v>59</v>
      </c>
      <c r="E768" s="12" t="s">
        <v>3179</v>
      </c>
      <c r="F768" s="12" t="s">
        <v>67</v>
      </c>
      <c r="G768" s="12" t="s">
        <v>5109</v>
      </c>
      <c r="H768" s="12" t="s">
        <v>4230</v>
      </c>
      <c r="I768" s="84">
        <v>2600118</v>
      </c>
      <c r="J768" s="12" t="s">
        <v>5102</v>
      </c>
      <c r="K768" s="12" t="s">
        <v>389</v>
      </c>
      <c r="L768" s="12" t="str">
        <f>IF(OR(ISBLANK(tblSites[[#This Row],[Implementing Partner]]), tblSites[[#This Row],[Implementing Partner]]="-"), tblSites[[#This Row],[Site Agency]], tblSites[[#This Row],[Implementing Partner]])</f>
        <v>No SMA</v>
      </c>
      <c r="M768" s="12" t="s">
        <v>55</v>
      </c>
      <c r="N768" s="12" t="str">
        <f>tblSites[[#This Row],[FinalImplementingPartner]]</f>
        <v>No SMA</v>
      </c>
    </row>
    <row r="769" spans="1:14" x14ac:dyDescent="0.25">
      <c r="A769" s="12" t="s">
        <v>3633</v>
      </c>
      <c r="B769" s="12" t="s">
        <v>4231</v>
      </c>
      <c r="C769" s="12" t="s">
        <v>4785</v>
      </c>
      <c r="D769" t="s">
        <v>59</v>
      </c>
      <c r="E769" s="12" t="s">
        <v>3179</v>
      </c>
      <c r="F769" s="12" t="s">
        <v>695</v>
      </c>
      <c r="G769" s="12" t="s">
        <v>5104</v>
      </c>
      <c r="H769" s="12" t="s">
        <v>4231</v>
      </c>
      <c r="I769" s="84">
        <v>2600116</v>
      </c>
      <c r="J769" s="12" t="s">
        <v>5102</v>
      </c>
      <c r="K769" s="12" t="s">
        <v>389</v>
      </c>
      <c r="L769" s="12" t="str">
        <f>IF(OR(ISBLANK(tblSites[[#This Row],[Implementing Partner]]), tblSites[[#This Row],[Implementing Partner]]="-"), tblSites[[#This Row],[Site Agency]], tblSites[[#This Row],[Implementing Partner]])</f>
        <v>No SMA</v>
      </c>
      <c r="M769" s="12" t="s">
        <v>55</v>
      </c>
      <c r="N769" s="12" t="str">
        <f>tblSites[[#This Row],[FinalImplementingPartner]]</f>
        <v>No SMA</v>
      </c>
    </row>
    <row r="770" spans="1:14" x14ac:dyDescent="0.25">
      <c r="A770" s="12" t="s">
        <v>3634</v>
      </c>
      <c r="B770" s="12" t="s">
        <v>4232</v>
      </c>
      <c r="C770" s="12" t="s">
        <v>4786</v>
      </c>
      <c r="D770" t="s">
        <v>59</v>
      </c>
      <c r="E770" s="12" t="s">
        <v>3179</v>
      </c>
      <c r="F770" s="12" t="s">
        <v>695</v>
      </c>
      <c r="G770" s="12" t="s">
        <v>5104</v>
      </c>
      <c r="H770" s="12" t="s">
        <v>4232</v>
      </c>
      <c r="I770" s="84">
        <v>2600116</v>
      </c>
      <c r="J770" s="12" t="s">
        <v>5102</v>
      </c>
      <c r="L770" s="12" t="str">
        <f>IF(OR(ISBLANK(tblSites[[#This Row],[Implementing Partner]]), tblSites[[#This Row],[Implementing Partner]]="-"), tblSites[[#This Row],[Site Agency]], tblSites[[#This Row],[Implementing Partner]])</f>
        <v>No SMA</v>
      </c>
      <c r="M770" s="12" t="s">
        <v>55</v>
      </c>
      <c r="N770" s="12" t="str">
        <f>tblSites[[#This Row],[FinalImplementingPartner]]</f>
        <v>No SMA</v>
      </c>
    </row>
    <row r="771" spans="1:14" x14ac:dyDescent="0.25">
      <c r="A771" s="12" t="s">
        <v>3635</v>
      </c>
      <c r="B771" s="12" t="s">
        <v>4233</v>
      </c>
      <c r="C771" s="12" t="s">
        <v>4787</v>
      </c>
      <c r="D771" t="s">
        <v>59</v>
      </c>
      <c r="E771" s="12" t="s">
        <v>3179</v>
      </c>
      <c r="F771" s="12" t="s">
        <v>335</v>
      </c>
      <c r="G771" s="12" t="s">
        <v>5129</v>
      </c>
      <c r="H771" s="12" t="s">
        <v>4233</v>
      </c>
      <c r="I771" s="84">
        <v>2600122</v>
      </c>
      <c r="J771" s="12" t="s">
        <v>5102</v>
      </c>
      <c r="K771" s="12" t="s">
        <v>389</v>
      </c>
      <c r="L771" s="12" t="str">
        <f>IF(OR(ISBLANK(tblSites[[#This Row],[Implementing Partner]]), tblSites[[#This Row],[Implementing Partner]]="-"), tblSites[[#This Row],[Site Agency]], tblSites[[#This Row],[Implementing Partner]])</f>
        <v>No SMA</v>
      </c>
      <c r="M771" s="12" t="s">
        <v>55</v>
      </c>
      <c r="N771" s="12" t="str">
        <f>tblSites[[#This Row],[FinalImplementingPartner]]</f>
        <v>No SMA</v>
      </c>
    </row>
    <row r="772" spans="1:14" x14ac:dyDescent="0.25">
      <c r="A772" s="12" t="s">
        <v>3636</v>
      </c>
      <c r="B772" s="12" t="s">
        <v>4234</v>
      </c>
      <c r="C772" s="12" t="s">
        <v>4788</v>
      </c>
      <c r="D772" t="s">
        <v>59</v>
      </c>
      <c r="E772" s="12" t="s">
        <v>3179</v>
      </c>
      <c r="F772" s="12" t="s">
        <v>335</v>
      </c>
      <c r="G772" s="12" t="s">
        <v>5129</v>
      </c>
      <c r="H772" s="12" t="s">
        <v>4234</v>
      </c>
      <c r="I772" s="84">
        <v>2600122</v>
      </c>
      <c r="J772" s="12" t="s">
        <v>5102</v>
      </c>
      <c r="K772" s="12" t="s">
        <v>389</v>
      </c>
      <c r="L772" s="12" t="str">
        <f>IF(OR(ISBLANK(tblSites[[#This Row],[Implementing Partner]]), tblSites[[#This Row],[Implementing Partner]]="-"), tblSites[[#This Row],[Site Agency]], tblSites[[#This Row],[Implementing Partner]])</f>
        <v>No SMA</v>
      </c>
      <c r="M772" s="12" t="s">
        <v>55</v>
      </c>
      <c r="N772" s="12" t="str">
        <f>tblSites[[#This Row],[FinalImplementingPartner]]</f>
        <v>No SMA</v>
      </c>
    </row>
    <row r="773" spans="1:14" x14ac:dyDescent="0.25">
      <c r="A773" s="12" t="s">
        <v>3637</v>
      </c>
      <c r="B773" s="12" t="s">
        <v>4235</v>
      </c>
      <c r="C773" s="12" t="s">
        <v>4789</v>
      </c>
      <c r="D773" t="s">
        <v>59</v>
      </c>
      <c r="E773" s="12" t="s">
        <v>3179</v>
      </c>
      <c r="F773" s="12" t="s">
        <v>67</v>
      </c>
      <c r="G773" s="12" t="s">
        <v>5109</v>
      </c>
      <c r="H773" s="12" t="s">
        <v>4235</v>
      </c>
      <c r="I773" s="84">
        <v>2600118</v>
      </c>
      <c r="J773" s="12" t="s">
        <v>5102</v>
      </c>
      <c r="K773" s="12" t="s">
        <v>389</v>
      </c>
      <c r="L773" s="12" t="str">
        <f>IF(OR(ISBLANK(tblSites[[#This Row],[Implementing Partner]]), tblSites[[#This Row],[Implementing Partner]]="-"), tblSites[[#This Row],[Site Agency]], tblSites[[#This Row],[Implementing Partner]])</f>
        <v>No SMA</v>
      </c>
      <c r="M773" s="12" t="s">
        <v>55</v>
      </c>
      <c r="N773" s="12" t="str">
        <f>tblSites[[#This Row],[FinalImplementingPartner]]</f>
        <v>No SMA</v>
      </c>
    </row>
    <row r="774" spans="1:14" x14ac:dyDescent="0.25">
      <c r="A774" s="12" t="s">
        <v>3638</v>
      </c>
      <c r="B774" s="12" t="s">
        <v>4236</v>
      </c>
      <c r="C774" s="12" t="s">
        <v>4790</v>
      </c>
      <c r="D774" t="s">
        <v>59</v>
      </c>
      <c r="E774" s="12" t="s">
        <v>3179</v>
      </c>
      <c r="F774" s="12" t="s">
        <v>67</v>
      </c>
      <c r="G774" s="12" t="s">
        <v>5109</v>
      </c>
      <c r="H774" s="12" t="s">
        <v>4236</v>
      </c>
      <c r="I774" s="84">
        <v>2600118</v>
      </c>
      <c r="J774" s="12" t="s">
        <v>5102</v>
      </c>
      <c r="K774" s="12" t="s">
        <v>389</v>
      </c>
      <c r="L774" s="12" t="str">
        <f>IF(OR(ISBLANK(tblSites[[#This Row],[Implementing Partner]]), tblSites[[#This Row],[Implementing Partner]]="-"), tblSites[[#This Row],[Site Agency]], tblSites[[#This Row],[Implementing Partner]])</f>
        <v>No SMA</v>
      </c>
      <c r="M774" s="12" t="s">
        <v>55</v>
      </c>
      <c r="N774" s="12" t="str">
        <f>tblSites[[#This Row],[FinalImplementingPartner]]</f>
        <v>No SMA</v>
      </c>
    </row>
    <row r="775" spans="1:14" x14ac:dyDescent="0.25">
      <c r="A775" s="12" t="s">
        <v>3639</v>
      </c>
      <c r="B775" s="12" t="s">
        <v>4237</v>
      </c>
      <c r="C775" s="12" t="s">
        <v>4791</v>
      </c>
      <c r="D775" t="s">
        <v>59</v>
      </c>
      <c r="E775" s="12" t="s">
        <v>3179</v>
      </c>
      <c r="F775" s="12" t="s">
        <v>67</v>
      </c>
      <c r="G775" s="12" t="s">
        <v>5109</v>
      </c>
      <c r="H775" s="12" t="s">
        <v>4237</v>
      </c>
      <c r="I775" s="84">
        <v>2600118</v>
      </c>
      <c r="J775" s="12" t="s">
        <v>5102</v>
      </c>
      <c r="K775" s="12" t="s">
        <v>389</v>
      </c>
      <c r="L775" s="12" t="str">
        <f>IF(OR(ISBLANK(tblSites[[#This Row],[Implementing Partner]]), tblSites[[#This Row],[Implementing Partner]]="-"), tblSites[[#This Row],[Site Agency]], tblSites[[#This Row],[Implementing Partner]])</f>
        <v>No SMA</v>
      </c>
      <c r="M775" s="12" t="s">
        <v>55</v>
      </c>
      <c r="N775" s="12" t="str">
        <f>tblSites[[#This Row],[FinalImplementingPartner]]</f>
        <v>No SMA</v>
      </c>
    </row>
    <row r="776" spans="1:14" x14ac:dyDescent="0.25">
      <c r="A776" s="12" t="s">
        <v>3640</v>
      </c>
      <c r="B776" s="12" t="s">
        <v>4238</v>
      </c>
      <c r="C776" s="12" t="s">
        <v>4792</v>
      </c>
      <c r="D776" t="s">
        <v>59</v>
      </c>
      <c r="E776" s="12" t="s">
        <v>3179</v>
      </c>
      <c r="F776" s="12" t="s">
        <v>67</v>
      </c>
      <c r="G776" s="12" t="s">
        <v>5109</v>
      </c>
      <c r="H776" s="12" t="s">
        <v>4238</v>
      </c>
      <c r="I776" s="84">
        <v>2600118</v>
      </c>
      <c r="J776" s="12" t="s">
        <v>5102</v>
      </c>
      <c r="K776" s="12" t="s">
        <v>389</v>
      </c>
      <c r="L776" s="12" t="str">
        <f>IF(OR(ISBLANK(tblSites[[#This Row],[Implementing Partner]]), tblSites[[#This Row],[Implementing Partner]]="-"), tblSites[[#This Row],[Site Agency]], tblSites[[#This Row],[Implementing Partner]])</f>
        <v>No SMA</v>
      </c>
      <c r="M776" s="12" t="s">
        <v>55</v>
      </c>
      <c r="N776" s="12" t="str">
        <f>tblSites[[#This Row],[FinalImplementingPartner]]</f>
        <v>No SMA</v>
      </c>
    </row>
    <row r="777" spans="1:14" x14ac:dyDescent="0.25">
      <c r="A777" s="12" t="s">
        <v>3641</v>
      </c>
      <c r="B777" s="12" t="s">
        <v>4239</v>
      </c>
      <c r="C777" s="12" t="s">
        <v>4793</v>
      </c>
      <c r="D777" t="s">
        <v>59</v>
      </c>
      <c r="E777" s="12" t="s">
        <v>3179</v>
      </c>
      <c r="F777" s="12" t="s">
        <v>335</v>
      </c>
      <c r="G777" s="12" t="s">
        <v>5129</v>
      </c>
      <c r="H777" s="12" t="s">
        <v>4239</v>
      </c>
      <c r="I777" s="84">
        <v>2600122</v>
      </c>
      <c r="J777" s="12" t="s">
        <v>5102</v>
      </c>
      <c r="K777" s="12" t="s">
        <v>389</v>
      </c>
      <c r="L777" s="12" t="str">
        <f>IF(OR(ISBLANK(tblSites[[#This Row],[Implementing Partner]]), tblSites[[#This Row],[Implementing Partner]]="-"), tblSites[[#This Row],[Site Agency]], tblSites[[#This Row],[Implementing Partner]])</f>
        <v>No SMA</v>
      </c>
      <c r="M777" s="12" t="s">
        <v>55</v>
      </c>
      <c r="N777" s="12" t="str">
        <f>tblSites[[#This Row],[FinalImplementingPartner]]</f>
        <v>No SMA</v>
      </c>
    </row>
    <row r="778" spans="1:14" x14ac:dyDescent="0.25">
      <c r="A778" s="12" t="s">
        <v>3642</v>
      </c>
      <c r="B778" s="12" t="s">
        <v>4240</v>
      </c>
      <c r="C778" s="12" t="s">
        <v>4794</v>
      </c>
      <c r="D778" t="s">
        <v>59</v>
      </c>
      <c r="E778" s="12" t="s">
        <v>3179</v>
      </c>
      <c r="F778" s="12" t="s">
        <v>335</v>
      </c>
      <c r="G778" s="12" t="s">
        <v>5129</v>
      </c>
      <c r="H778" s="12" t="s">
        <v>4240</v>
      </c>
      <c r="I778" s="84">
        <v>2600122</v>
      </c>
      <c r="J778" s="12" t="s">
        <v>5102</v>
      </c>
      <c r="K778" s="12" t="s">
        <v>389</v>
      </c>
      <c r="L778" s="12" t="str">
        <f>IF(OR(ISBLANK(tblSites[[#This Row],[Implementing Partner]]), tblSites[[#This Row],[Implementing Partner]]="-"), tblSites[[#This Row],[Site Agency]], tblSites[[#This Row],[Implementing Partner]])</f>
        <v>No SMA</v>
      </c>
      <c r="M778" s="12" t="s">
        <v>55</v>
      </c>
      <c r="N778" s="12" t="str">
        <f>tblSites[[#This Row],[FinalImplementingPartner]]</f>
        <v>No SMA</v>
      </c>
    </row>
    <row r="779" spans="1:14" x14ac:dyDescent="0.25">
      <c r="A779" s="12" t="s">
        <v>3643</v>
      </c>
      <c r="B779" s="12" t="s">
        <v>4241</v>
      </c>
      <c r="C779" s="12" t="s">
        <v>4795</v>
      </c>
      <c r="D779" t="s">
        <v>59</v>
      </c>
      <c r="E779" s="12" t="s">
        <v>3179</v>
      </c>
      <c r="F779" s="12" t="s">
        <v>67</v>
      </c>
      <c r="G779" s="12" t="s">
        <v>5109</v>
      </c>
      <c r="H779" s="12" t="s">
        <v>4241</v>
      </c>
      <c r="I779" s="84">
        <v>2600118</v>
      </c>
      <c r="J779" s="12" t="s">
        <v>5102</v>
      </c>
      <c r="K779" s="12" t="s">
        <v>389</v>
      </c>
      <c r="L779" s="12" t="str">
        <f>IF(OR(ISBLANK(tblSites[[#This Row],[Implementing Partner]]), tblSites[[#This Row],[Implementing Partner]]="-"), tblSites[[#This Row],[Site Agency]], tblSites[[#This Row],[Implementing Partner]])</f>
        <v>No SMA</v>
      </c>
      <c r="M779" s="12" t="s">
        <v>55</v>
      </c>
      <c r="N779" s="12" t="str">
        <f>tblSites[[#This Row],[FinalImplementingPartner]]</f>
        <v>No SMA</v>
      </c>
    </row>
    <row r="780" spans="1:14" x14ac:dyDescent="0.25">
      <c r="A780" s="12" t="s">
        <v>3644</v>
      </c>
      <c r="B780" s="12" t="s">
        <v>4242</v>
      </c>
      <c r="C780" s="12" t="s">
        <v>4796</v>
      </c>
      <c r="D780" t="s">
        <v>59</v>
      </c>
      <c r="E780" s="12" t="s">
        <v>3179</v>
      </c>
      <c r="F780" s="12" t="s">
        <v>335</v>
      </c>
      <c r="G780" s="12" t="s">
        <v>5129</v>
      </c>
      <c r="H780" s="12" t="s">
        <v>4242</v>
      </c>
      <c r="I780" s="84">
        <v>2600122</v>
      </c>
      <c r="J780" s="12" t="s">
        <v>5102</v>
      </c>
      <c r="K780" s="12" t="s">
        <v>389</v>
      </c>
      <c r="L780" s="12" t="str">
        <f>IF(OR(ISBLANK(tblSites[[#This Row],[Implementing Partner]]), tblSites[[#This Row],[Implementing Partner]]="-"), tblSites[[#This Row],[Site Agency]], tblSites[[#This Row],[Implementing Partner]])</f>
        <v>No SMA</v>
      </c>
      <c r="M780" s="12" t="s">
        <v>55</v>
      </c>
      <c r="N780" s="12" t="str">
        <f>tblSites[[#This Row],[FinalImplementingPartner]]</f>
        <v>No SMA</v>
      </c>
    </row>
    <row r="781" spans="1:14" x14ac:dyDescent="0.25">
      <c r="A781" s="12" t="s">
        <v>5227</v>
      </c>
      <c r="B781" s="12" t="s">
        <v>4503</v>
      </c>
      <c r="C781" s="12" t="s">
        <v>5022</v>
      </c>
      <c r="D781" t="s">
        <v>59</v>
      </c>
      <c r="E781" s="12" t="s">
        <v>3179</v>
      </c>
      <c r="F781" s="12" t="s">
        <v>67</v>
      </c>
      <c r="G781" s="12" t="s">
        <v>5109</v>
      </c>
      <c r="H781" s="12" t="s">
        <v>4503</v>
      </c>
      <c r="I781" s="84">
        <v>2600118</v>
      </c>
      <c r="J781" s="12" t="s">
        <v>5102</v>
      </c>
      <c r="K781" s="12" t="s">
        <v>389</v>
      </c>
      <c r="L781" s="12" t="str">
        <f>IF(OR(ISBLANK(tblSites[[#This Row],[Implementing Partner]]), tblSites[[#This Row],[Implementing Partner]]="-"), tblSites[[#This Row],[Site Agency]], tblSites[[#This Row],[Implementing Partner]])</f>
        <v>No SMA</v>
      </c>
      <c r="M781" s="12" t="s">
        <v>55</v>
      </c>
      <c r="N781" s="12" t="str">
        <f>tblSites[[#This Row],[FinalImplementingPartner]]</f>
        <v>No SMA</v>
      </c>
    </row>
    <row r="782" spans="1:14" x14ac:dyDescent="0.25">
      <c r="A782" s="12" t="s">
        <v>3645</v>
      </c>
      <c r="B782" s="12" t="s">
        <v>4243</v>
      </c>
      <c r="C782" s="12" t="s">
        <v>4797</v>
      </c>
      <c r="D782" t="s">
        <v>59</v>
      </c>
      <c r="E782" s="12" t="s">
        <v>3179</v>
      </c>
      <c r="F782" s="12" t="s">
        <v>335</v>
      </c>
      <c r="G782" s="12" t="s">
        <v>5129</v>
      </c>
      <c r="H782" s="12" t="s">
        <v>4243</v>
      </c>
      <c r="I782" s="84">
        <v>2600122</v>
      </c>
      <c r="J782" s="12" t="s">
        <v>5102</v>
      </c>
      <c r="L782" s="12" t="str">
        <f>IF(OR(ISBLANK(tblSites[[#This Row],[Implementing Partner]]), tblSites[[#This Row],[Implementing Partner]]="-"), tblSites[[#This Row],[Site Agency]], tblSites[[#This Row],[Implementing Partner]])</f>
        <v>No SMA</v>
      </c>
      <c r="M782" s="12" t="s">
        <v>55</v>
      </c>
      <c r="N782" s="12" t="str">
        <f>tblSites[[#This Row],[FinalImplementingPartner]]</f>
        <v>No SMA</v>
      </c>
    </row>
    <row r="783" spans="1:14" x14ac:dyDescent="0.25">
      <c r="A783" s="12" t="s">
        <v>3646</v>
      </c>
      <c r="B783" s="12" t="s">
        <v>4244</v>
      </c>
      <c r="C783" s="12" t="s">
        <v>4798</v>
      </c>
      <c r="D783" t="s">
        <v>59</v>
      </c>
      <c r="E783" s="12" t="s">
        <v>3179</v>
      </c>
      <c r="F783" s="12" t="s">
        <v>335</v>
      </c>
      <c r="G783" s="12" t="s">
        <v>5129</v>
      </c>
      <c r="H783" s="12" t="s">
        <v>4244</v>
      </c>
      <c r="I783" s="84">
        <v>2600122</v>
      </c>
      <c r="J783" s="12" t="s">
        <v>5102</v>
      </c>
      <c r="K783" s="12" t="s">
        <v>389</v>
      </c>
      <c r="L783" s="12" t="str">
        <f>IF(OR(ISBLANK(tblSites[[#This Row],[Implementing Partner]]), tblSites[[#This Row],[Implementing Partner]]="-"), tblSites[[#This Row],[Site Agency]], tblSites[[#This Row],[Implementing Partner]])</f>
        <v>No SMA</v>
      </c>
      <c r="M783" s="12" t="s">
        <v>55</v>
      </c>
      <c r="N783" s="12" t="str">
        <f>tblSites[[#This Row],[FinalImplementingPartner]]</f>
        <v>No SMA</v>
      </c>
    </row>
    <row r="784" spans="1:14" x14ac:dyDescent="0.25">
      <c r="A784" s="12" t="s">
        <v>3647</v>
      </c>
      <c r="B784" s="12" t="s">
        <v>4245</v>
      </c>
      <c r="C784" s="12" t="s">
        <v>4798</v>
      </c>
      <c r="D784" t="s">
        <v>59</v>
      </c>
      <c r="E784" s="12" t="s">
        <v>3179</v>
      </c>
      <c r="F784" s="12" t="s">
        <v>335</v>
      </c>
      <c r="G784" s="12" t="s">
        <v>5129</v>
      </c>
      <c r="H784" s="12" t="s">
        <v>4245</v>
      </c>
      <c r="I784" s="84">
        <v>2600122</v>
      </c>
      <c r="J784" s="12" t="s">
        <v>5102</v>
      </c>
      <c r="K784" s="12" t="s">
        <v>389</v>
      </c>
      <c r="L784" s="12" t="str">
        <f>IF(OR(ISBLANK(tblSites[[#This Row],[Implementing Partner]]), tblSites[[#This Row],[Implementing Partner]]="-"), tblSites[[#This Row],[Site Agency]], tblSites[[#This Row],[Implementing Partner]])</f>
        <v>No SMA</v>
      </c>
      <c r="M784" s="12" t="s">
        <v>55</v>
      </c>
      <c r="N784" s="12" t="str">
        <f>tblSites[[#This Row],[FinalImplementingPartner]]</f>
        <v>No SMA</v>
      </c>
    </row>
    <row r="785" spans="1:14" x14ac:dyDescent="0.25">
      <c r="A785" s="12" t="s">
        <v>3648</v>
      </c>
      <c r="B785" s="12" t="s">
        <v>4246</v>
      </c>
      <c r="C785" s="12" t="s">
        <v>4799</v>
      </c>
      <c r="D785" t="s">
        <v>59</v>
      </c>
      <c r="E785" s="12" t="s">
        <v>3179</v>
      </c>
      <c r="F785" s="12" t="s">
        <v>60</v>
      </c>
      <c r="G785" s="12" t="s">
        <v>5119</v>
      </c>
      <c r="H785" s="12" t="s">
        <v>4246</v>
      </c>
      <c r="I785" s="84">
        <v>2600119</v>
      </c>
      <c r="J785" s="12" t="s">
        <v>5102</v>
      </c>
      <c r="K785" s="12" t="s">
        <v>389</v>
      </c>
      <c r="L785" s="12" t="str">
        <f>IF(OR(ISBLANK(tblSites[[#This Row],[Implementing Partner]]), tblSites[[#This Row],[Implementing Partner]]="-"), tblSites[[#This Row],[Site Agency]], tblSites[[#This Row],[Implementing Partner]])</f>
        <v>No SMA</v>
      </c>
      <c r="M785" s="12" t="s">
        <v>55</v>
      </c>
      <c r="N785" s="12" t="str">
        <f>tblSites[[#This Row],[FinalImplementingPartner]]</f>
        <v>No SMA</v>
      </c>
    </row>
    <row r="786" spans="1:14" x14ac:dyDescent="0.25">
      <c r="A786" s="12" t="s">
        <v>3649</v>
      </c>
      <c r="B786" s="12" t="s">
        <v>4247</v>
      </c>
      <c r="C786" s="12" t="s">
        <v>4800</v>
      </c>
      <c r="D786" t="s">
        <v>59</v>
      </c>
      <c r="E786" s="12" t="s">
        <v>3179</v>
      </c>
      <c r="F786" s="12" t="s">
        <v>114</v>
      </c>
      <c r="G786" s="12" t="s">
        <v>5147</v>
      </c>
      <c r="H786" s="12" t="s">
        <v>4247</v>
      </c>
      <c r="I786" s="84">
        <v>2600123</v>
      </c>
      <c r="J786" s="12" t="s">
        <v>34</v>
      </c>
      <c r="K786" s="12" t="s">
        <v>389</v>
      </c>
      <c r="L786" s="12" t="str">
        <f>IF(OR(ISBLANK(tblSites[[#This Row],[Implementing Partner]]), tblSites[[#This Row],[Implementing Partner]]="-"), tblSites[[#This Row],[Site Agency]], tblSites[[#This Row],[Implementing Partner]])</f>
        <v>DRC</v>
      </c>
      <c r="M786" s="12" t="s">
        <v>55</v>
      </c>
      <c r="N786" s="12" t="str">
        <f>tblSites[[#This Row],[FinalImplementingPartner]]</f>
        <v>DRC</v>
      </c>
    </row>
    <row r="787" spans="1:14" x14ac:dyDescent="0.25">
      <c r="A787" s="12" t="s">
        <v>5228</v>
      </c>
      <c r="B787" s="12" t="s">
        <v>4504</v>
      </c>
      <c r="C787" s="12" t="s">
        <v>5023</v>
      </c>
      <c r="D787" t="s">
        <v>59</v>
      </c>
      <c r="E787" s="12" t="s">
        <v>3179</v>
      </c>
      <c r="F787" s="12" t="s">
        <v>114</v>
      </c>
      <c r="G787" s="12" t="s">
        <v>5147</v>
      </c>
      <c r="H787" s="12" t="s">
        <v>4504</v>
      </c>
      <c r="I787" s="84">
        <v>2600123</v>
      </c>
      <c r="J787" s="12" t="s">
        <v>34</v>
      </c>
      <c r="K787" s="12" t="s">
        <v>389</v>
      </c>
      <c r="L787" s="12" t="str">
        <f>IF(OR(ISBLANK(tblSites[[#This Row],[Implementing Partner]]), tblSites[[#This Row],[Implementing Partner]]="-"), tblSites[[#This Row],[Site Agency]], tblSites[[#This Row],[Implementing Partner]])</f>
        <v>DRC</v>
      </c>
      <c r="M787" s="12" t="s">
        <v>55</v>
      </c>
      <c r="N787" s="12" t="str">
        <f>tblSites[[#This Row],[FinalImplementingPartner]]</f>
        <v>DRC</v>
      </c>
    </row>
    <row r="788" spans="1:14" x14ac:dyDescent="0.25">
      <c r="A788" s="12" t="s">
        <v>3650</v>
      </c>
      <c r="B788" s="12" t="s">
        <v>4248</v>
      </c>
      <c r="C788" s="12" t="s">
        <v>4801</v>
      </c>
      <c r="D788" t="s">
        <v>59</v>
      </c>
      <c r="E788" s="12" t="s">
        <v>3179</v>
      </c>
      <c r="F788" s="12" t="s">
        <v>114</v>
      </c>
      <c r="G788" s="12" t="s">
        <v>5147</v>
      </c>
      <c r="H788" s="12" t="s">
        <v>4248</v>
      </c>
      <c r="I788" s="84">
        <v>2600123</v>
      </c>
      <c r="J788" s="12" t="s">
        <v>34</v>
      </c>
      <c r="K788" s="12" t="s">
        <v>389</v>
      </c>
      <c r="L788" s="12" t="str">
        <f>IF(OR(ISBLANK(tblSites[[#This Row],[Implementing Partner]]), tblSites[[#This Row],[Implementing Partner]]="-"), tblSites[[#This Row],[Site Agency]], tblSites[[#This Row],[Implementing Partner]])</f>
        <v>DRC</v>
      </c>
      <c r="M788" s="12" t="s">
        <v>55</v>
      </c>
      <c r="N788" s="12" t="str">
        <f>tblSites[[#This Row],[FinalImplementingPartner]]</f>
        <v>DRC</v>
      </c>
    </row>
    <row r="789" spans="1:14" x14ac:dyDescent="0.25">
      <c r="A789" s="12" t="s">
        <v>3651</v>
      </c>
      <c r="B789" s="12" t="s">
        <v>4249</v>
      </c>
      <c r="C789" s="12" t="s">
        <v>4802</v>
      </c>
      <c r="D789" t="s">
        <v>59</v>
      </c>
      <c r="E789" s="12" t="s">
        <v>3179</v>
      </c>
      <c r="F789" s="12" t="s">
        <v>426</v>
      </c>
      <c r="G789" s="12" t="s">
        <v>5402</v>
      </c>
      <c r="H789" s="12" t="s">
        <v>4249</v>
      </c>
      <c r="I789" s="84">
        <v>2600112</v>
      </c>
      <c r="J789" s="12" t="s">
        <v>34</v>
      </c>
      <c r="K789" s="12" t="s">
        <v>389</v>
      </c>
      <c r="L789" s="12" t="str">
        <f>IF(OR(ISBLANK(tblSites[[#This Row],[Implementing Partner]]), tblSites[[#This Row],[Implementing Partner]]="-"), tblSites[[#This Row],[Site Agency]], tblSites[[#This Row],[Implementing Partner]])</f>
        <v>DRC</v>
      </c>
      <c r="M789" s="12" t="s">
        <v>55</v>
      </c>
      <c r="N789" s="12" t="str">
        <f>tblSites[[#This Row],[FinalImplementingPartner]]</f>
        <v>DRC</v>
      </c>
    </row>
    <row r="790" spans="1:14" x14ac:dyDescent="0.25">
      <c r="A790" s="12" t="s">
        <v>3652</v>
      </c>
      <c r="B790" s="12" t="s">
        <v>4251</v>
      </c>
      <c r="C790" s="12" t="s">
        <v>4803</v>
      </c>
      <c r="D790" t="s">
        <v>59</v>
      </c>
      <c r="E790" s="12" t="s">
        <v>3179</v>
      </c>
      <c r="F790" s="12" t="s">
        <v>426</v>
      </c>
      <c r="G790" s="12" t="s">
        <v>5143</v>
      </c>
      <c r="H790" s="12" t="s">
        <v>4251</v>
      </c>
      <c r="I790" s="84">
        <v>2600112</v>
      </c>
      <c r="J790" s="12" t="s">
        <v>5102</v>
      </c>
      <c r="K790" s="12" t="s">
        <v>389</v>
      </c>
      <c r="L790" s="12" t="str">
        <f>IF(OR(ISBLANK(tblSites[[#This Row],[Implementing Partner]]), tblSites[[#This Row],[Implementing Partner]]="-"), tblSites[[#This Row],[Site Agency]], tblSites[[#This Row],[Implementing Partner]])</f>
        <v>No SMA</v>
      </c>
      <c r="M790" s="12" t="s">
        <v>55</v>
      </c>
      <c r="N790" s="12" t="str">
        <f>tblSites[[#This Row],[FinalImplementingPartner]]</f>
        <v>No SMA</v>
      </c>
    </row>
    <row r="791" spans="1:14" x14ac:dyDescent="0.25">
      <c r="A791" s="12" t="s">
        <v>3653</v>
      </c>
      <c r="B791" s="12" t="s">
        <v>4252</v>
      </c>
      <c r="C791" s="12" t="s">
        <v>4804</v>
      </c>
      <c r="D791" t="s">
        <v>59</v>
      </c>
      <c r="E791" s="12" t="s">
        <v>3179</v>
      </c>
      <c r="F791" s="12" t="s">
        <v>87</v>
      </c>
      <c r="G791" s="12" t="s">
        <v>5136</v>
      </c>
      <c r="H791" s="12" t="s">
        <v>4252</v>
      </c>
      <c r="I791" s="84">
        <v>2600114</v>
      </c>
      <c r="J791" s="12" t="s">
        <v>5102</v>
      </c>
      <c r="K791" s="12" t="s">
        <v>389</v>
      </c>
      <c r="L791" s="12" t="str">
        <f>IF(OR(ISBLANK(tblSites[[#This Row],[Implementing Partner]]), tblSites[[#This Row],[Implementing Partner]]="-"), tblSites[[#This Row],[Site Agency]], tblSites[[#This Row],[Implementing Partner]])</f>
        <v>No SMA</v>
      </c>
      <c r="M791" s="12" t="s">
        <v>55</v>
      </c>
      <c r="N791" s="12" t="str">
        <f>tblSites[[#This Row],[FinalImplementingPartner]]</f>
        <v>No SMA</v>
      </c>
    </row>
    <row r="792" spans="1:14" x14ac:dyDescent="0.25">
      <c r="A792" s="12" t="s">
        <v>5229</v>
      </c>
      <c r="B792" s="12" t="s">
        <v>4525</v>
      </c>
      <c r="C792" s="12" t="s">
        <v>96</v>
      </c>
      <c r="D792" t="s">
        <v>59</v>
      </c>
      <c r="E792" s="12" t="s">
        <v>3179</v>
      </c>
      <c r="F792" s="12" t="s">
        <v>397</v>
      </c>
      <c r="G792" s="12" t="s">
        <v>5105</v>
      </c>
      <c r="H792" s="12" t="s">
        <v>4525</v>
      </c>
      <c r="I792" s="84">
        <v>2600124</v>
      </c>
      <c r="J792" s="12" t="s">
        <v>5102</v>
      </c>
      <c r="K792" s="12" t="s">
        <v>389</v>
      </c>
      <c r="L792" s="12" t="str">
        <f>IF(OR(ISBLANK(tblSites[[#This Row],[Implementing Partner]]), tblSites[[#This Row],[Implementing Partner]]="-"), tblSites[[#This Row],[Site Agency]], tblSites[[#This Row],[Implementing Partner]])</f>
        <v>No SMA</v>
      </c>
      <c r="M792" s="12" t="s">
        <v>55</v>
      </c>
      <c r="N792" s="12" t="str">
        <f>tblSites[[#This Row],[FinalImplementingPartner]]</f>
        <v>No SMA</v>
      </c>
    </row>
    <row r="793" spans="1:14" x14ac:dyDescent="0.25">
      <c r="A793" s="12" t="s">
        <v>5230</v>
      </c>
      <c r="B793" s="12" t="s">
        <v>4529</v>
      </c>
      <c r="C793" s="12" t="s">
        <v>5290</v>
      </c>
      <c r="D793" t="s">
        <v>59</v>
      </c>
      <c r="E793" s="12" t="s">
        <v>3179</v>
      </c>
      <c r="F793" s="12" t="s">
        <v>397</v>
      </c>
      <c r="G793" s="12" t="s">
        <v>5105</v>
      </c>
      <c r="H793" s="12" t="s">
        <v>4529</v>
      </c>
      <c r="I793" s="84">
        <v>2600124</v>
      </c>
      <c r="J793" s="12" t="s">
        <v>5102</v>
      </c>
      <c r="K793" s="12" t="s">
        <v>389</v>
      </c>
      <c r="L793" s="12" t="str">
        <f>IF(OR(ISBLANK(tblSites[[#This Row],[Implementing Partner]]), tblSites[[#This Row],[Implementing Partner]]="-"), tblSites[[#This Row],[Site Agency]], tblSites[[#This Row],[Implementing Partner]])</f>
        <v>No SMA</v>
      </c>
      <c r="M793" s="12" t="s">
        <v>55</v>
      </c>
      <c r="N793" s="12" t="str">
        <f>tblSites[[#This Row],[FinalImplementingPartner]]</f>
        <v>No SMA</v>
      </c>
    </row>
    <row r="794" spans="1:14" x14ac:dyDescent="0.25">
      <c r="A794" s="12" t="s">
        <v>5231</v>
      </c>
      <c r="B794" s="12" t="s">
        <v>4142</v>
      </c>
      <c r="C794" s="12" t="s">
        <v>5046</v>
      </c>
      <c r="D794" t="s">
        <v>59</v>
      </c>
      <c r="E794" s="12" t="s">
        <v>3179</v>
      </c>
      <c r="F794" s="12" t="s">
        <v>397</v>
      </c>
      <c r="G794" s="12" t="s">
        <v>5105</v>
      </c>
      <c r="H794" s="12" t="s">
        <v>4142</v>
      </c>
      <c r="I794" s="84">
        <v>2600124</v>
      </c>
      <c r="J794" s="12" t="s">
        <v>5102</v>
      </c>
      <c r="K794" s="12" t="s">
        <v>389</v>
      </c>
      <c r="L794" s="12" t="str">
        <f>IF(OR(ISBLANK(tblSites[[#This Row],[Implementing Partner]]), tblSites[[#This Row],[Implementing Partner]]="-"), tblSites[[#This Row],[Site Agency]], tblSites[[#This Row],[Implementing Partner]])</f>
        <v>No SMA</v>
      </c>
      <c r="M794" s="12" t="s">
        <v>55</v>
      </c>
      <c r="N794" s="12" t="str">
        <f>tblSites[[#This Row],[FinalImplementingPartner]]</f>
        <v>No SMA</v>
      </c>
    </row>
    <row r="795" spans="1:14" x14ac:dyDescent="0.25">
      <c r="A795" s="12" t="s">
        <v>5232</v>
      </c>
      <c r="B795" s="12" t="s">
        <v>4537</v>
      </c>
      <c r="C795" s="12" t="s">
        <v>3099</v>
      </c>
      <c r="D795" t="s">
        <v>59</v>
      </c>
      <c r="E795" s="12" t="s">
        <v>3179</v>
      </c>
      <c r="F795" s="12" t="s">
        <v>60</v>
      </c>
      <c r="G795" s="12" t="s">
        <v>5119</v>
      </c>
      <c r="H795" s="12" t="s">
        <v>4537</v>
      </c>
      <c r="I795" s="84">
        <v>2600119</v>
      </c>
      <c r="J795" s="12" t="s">
        <v>5102</v>
      </c>
      <c r="L795" s="12" t="str">
        <f>IF(OR(ISBLANK(tblSites[[#This Row],[Implementing Partner]]), tblSites[[#This Row],[Implementing Partner]]="-"), tblSites[[#This Row],[Site Agency]], tblSites[[#This Row],[Implementing Partner]])</f>
        <v>No SMA</v>
      </c>
      <c r="M795" s="12" t="s">
        <v>55</v>
      </c>
      <c r="N795" s="12" t="str">
        <f>tblSites[[#This Row],[FinalImplementingPartner]]</f>
        <v>No SMA</v>
      </c>
    </row>
    <row r="796" spans="1:14" x14ac:dyDescent="0.25">
      <c r="A796" s="12" t="s">
        <v>3654</v>
      </c>
      <c r="B796" s="12" t="s">
        <v>4253</v>
      </c>
      <c r="C796" s="12" t="s">
        <v>4805</v>
      </c>
      <c r="D796" t="s">
        <v>59</v>
      </c>
      <c r="E796" s="12" t="s">
        <v>3179</v>
      </c>
      <c r="F796" s="12" t="s">
        <v>3233</v>
      </c>
      <c r="G796" s="12" t="s">
        <v>5151</v>
      </c>
      <c r="H796" s="12" t="s">
        <v>4253</v>
      </c>
      <c r="I796" s="84">
        <v>2600372</v>
      </c>
      <c r="J796" s="12" t="s">
        <v>5102</v>
      </c>
      <c r="L796" s="12" t="str">
        <f>IF(OR(ISBLANK(tblSites[[#This Row],[Implementing Partner]]), tblSites[[#This Row],[Implementing Partner]]="-"), tblSites[[#This Row],[Site Agency]], tblSites[[#This Row],[Implementing Partner]])</f>
        <v>No SMA</v>
      </c>
      <c r="M796" s="12" t="s">
        <v>55</v>
      </c>
      <c r="N796" s="12" t="str">
        <f>tblSites[[#This Row],[FinalImplementingPartner]]</f>
        <v>No SMA</v>
      </c>
    </row>
    <row r="797" spans="1:14" x14ac:dyDescent="0.25">
      <c r="A797" s="12" t="s">
        <v>5233</v>
      </c>
      <c r="B797" s="12" t="s">
        <v>4539</v>
      </c>
      <c r="C797" s="12" t="s">
        <v>5052</v>
      </c>
      <c r="D797" t="s">
        <v>59</v>
      </c>
      <c r="E797" s="12" t="s">
        <v>3179</v>
      </c>
      <c r="F797" s="12" t="s">
        <v>397</v>
      </c>
      <c r="G797" s="12" t="s">
        <v>5105</v>
      </c>
      <c r="H797" s="12" t="s">
        <v>4539</v>
      </c>
      <c r="I797" s="84">
        <v>2600124</v>
      </c>
      <c r="J797" s="12" t="s">
        <v>5102</v>
      </c>
      <c r="K797" s="12" t="s">
        <v>389</v>
      </c>
      <c r="L797" s="12" t="str">
        <f>IF(OR(ISBLANK(tblSites[[#This Row],[Implementing Partner]]), tblSites[[#This Row],[Implementing Partner]]="-"), tblSites[[#This Row],[Site Agency]], tblSites[[#This Row],[Implementing Partner]])</f>
        <v>No SMA</v>
      </c>
      <c r="M797" s="12" t="s">
        <v>55</v>
      </c>
      <c r="N797" s="12" t="str">
        <f>tblSites[[#This Row],[FinalImplementingPartner]]</f>
        <v>No SMA</v>
      </c>
    </row>
    <row r="798" spans="1:14" x14ac:dyDescent="0.25">
      <c r="A798" s="12" t="s">
        <v>3655</v>
      </c>
      <c r="B798" s="12" t="s">
        <v>4254</v>
      </c>
      <c r="C798" s="12" t="s">
        <v>4806</v>
      </c>
      <c r="D798" t="s">
        <v>59</v>
      </c>
      <c r="E798" s="12" t="s">
        <v>3179</v>
      </c>
      <c r="F798" s="12" t="s">
        <v>426</v>
      </c>
      <c r="G798" s="12" t="s">
        <v>5143</v>
      </c>
      <c r="H798" s="12" t="s">
        <v>4254</v>
      </c>
      <c r="I798" s="84">
        <v>2600112</v>
      </c>
      <c r="J798" s="12" t="s">
        <v>5102</v>
      </c>
      <c r="K798" s="12" t="s">
        <v>389</v>
      </c>
      <c r="L798" s="12" t="str">
        <f>IF(OR(ISBLANK(tblSites[[#This Row],[Implementing Partner]]), tblSites[[#This Row],[Implementing Partner]]="-"), tblSites[[#This Row],[Site Agency]], tblSites[[#This Row],[Implementing Partner]])</f>
        <v>No SMA</v>
      </c>
      <c r="M798" s="12" t="s">
        <v>55</v>
      </c>
      <c r="N798" s="12" t="str">
        <f>tblSites[[#This Row],[FinalImplementingPartner]]</f>
        <v>No SMA</v>
      </c>
    </row>
    <row r="799" spans="1:14" x14ac:dyDescent="0.25">
      <c r="A799" s="12" t="s">
        <v>5234</v>
      </c>
      <c r="B799" s="12" t="s">
        <v>4546</v>
      </c>
      <c r="C799" s="12" t="s">
        <v>5060</v>
      </c>
      <c r="D799" t="s">
        <v>59</v>
      </c>
      <c r="E799" s="12" t="s">
        <v>3179</v>
      </c>
      <c r="F799" s="12" t="s">
        <v>324</v>
      </c>
      <c r="G799" s="12" t="s">
        <v>5152</v>
      </c>
      <c r="H799" s="12" t="s">
        <v>4546</v>
      </c>
      <c r="I799" s="84">
        <v>2600120</v>
      </c>
      <c r="J799" s="47" t="s">
        <v>34</v>
      </c>
      <c r="K799" s="12" t="s">
        <v>389</v>
      </c>
      <c r="L799" s="12" t="str">
        <f>IF(OR(ISBLANK(tblSites[[#This Row],[Implementing Partner]]), tblSites[[#This Row],[Implementing Partner]]="-"), tblSites[[#This Row],[Site Agency]], tblSites[[#This Row],[Implementing Partner]])</f>
        <v>DRC</v>
      </c>
      <c r="M799" s="12" t="s">
        <v>55</v>
      </c>
      <c r="N799" s="12" t="str">
        <f>tblSites[[#This Row],[FinalImplementingPartner]]</f>
        <v>DRC</v>
      </c>
    </row>
    <row r="800" spans="1:14" x14ac:dyDescent="0.25">
      <c r="A800" s="12" t="s">
        <v>3656</v>
      </c>
      <c r="B800" s="12" t="s">
        <v>4255</v>
      </c>
      <c r="C800" s="12" t="s">
        <v>4807</v>
      </c>
      <c r="D800" t="s">
        <v>59</v>
      </c>
      <c r="E800" s="12" t="s">
        <v>3179</v>
      </c>
      <c r="F800" s="12" t="s">
        <v>1305</v>
      </c>
      <c r="G800" s="12" t="s">
        <v>5142</v>
      </c>
      <c r="H800" s="12" t="s">
        <v>4255</v>
      </c>
      <c r="I800" s="84">
        <v>26002181</v>
      </c>
      <c r="J800" s="12" t="s">
        <v>5102</v>
      </c>
      <c r="K800" s="12" t="s">
        <v>389</v>
      </c>
      <c r="L800" s="12" t="str">
        <f>IF(OR(ISBLANK(tblSites[[#This Row],[Implementing Partner]]), tblSites[[#This Row],[Implementing Partner]]="-"), tblSites[[#This Row],[Site Agency]], tblSites[[#This Row],[Implementing Partner]])</f>
        <v>No SMA</v>
      </c>
      <c r="M800" s="12" t="s">
        <v>55</v>
      </c>
      <c r="N800" s="12" t="str">
        <f>tblSites[[#This Row],[FinalImplementingPartner]]</f>
        <v>No SMA</v>
      </c>
    </row>
    <row r="801" spans="1:14" x14ac:dyDescent="0.25">
      <c r="A801" s="12" t="s">
        <v>5235</v>
      </c>
      <c r="B801" s="12" t="s">
        <v>4548</v>
      </c>
      <c r="C801" s="12" t="s">
        <v>5062</v>
      </c>
      <c r="D801" t="s">
        <v>59</v>
      </c>
      <c r="E801" s="12" t="s">
        <v>3179</v>
      </c>
      <c r="F801" s="12" t="s">
        <v>114</v>
      </c>
      <c r="G801" s="12" t="s">
        <v>5122</v>
      </c>
      <c r="H801" s="12" t="s">
        <v>4548</v>
      </c>
      <c r="I801" s="84">
        <v>2600123</v>
      </c>
      <c r="J801" s="12" t="s">
        <v>5102</v>
      </c>
      <c r="K801" s="12" t="s">
        <v>389</v>
      </c>
      <c r="L801" s="12" t="str">
        <f>IF(OR(ISBLANK(tblSites[[#This Row],[Implementing Partner]]), tblSites[[#This Row],[Implementing Partner]]="-"), tblSites[[#This Row],[Site Agency]], tblSites[[#This Row],[Implementing Partner]])</f>
        <v>No SMA</v>
      </c>
      <c r="M801" s="12" t="s">
        <v>55</v>
      </c>
      <c r="N801" s="12" t="str">
        <f>tblSites[[#This Row],[FinalImplementingPartner]]</f>
        <v>No SMA</v>
      </c>
    </row>
    <row r="802" spans="1:14" x14ac:dyDescent="0.25">
      <c r="A802" s="12" t="s">
        <v>5236</v>
      </c>
      <c r="B802" s="12" t="s">
        <v>4549</v>
      </c>
      <c r="C802" s="12" t="s">
        <v>5063</v>
      </c>
      <c r="D802" t="s">
        <v>59</v>
      </c>
      <c r="E802" s="12" t="s">
        <v>3179</v>
      </c>
      <c r="F802" s="12" t="s">
        <v>324</v>
      </c>
      <c r="G802" s="12" t="s">
        <v>5118</v>
      </c>
      <c r="H802" s="12" t="s">
        <v>4549</v>
      </c>
      <c r="I802" s="84">
        <v>2600120</v>
      </c>
      <c r="J802" s="12" t="s">
        <v>5102</v>
      </c>
      <c r="K802" s="12" t="s">
        <v>389</v>
      </c>
      <c r="L802" s="12" t="str">
        <f>IF(OR(ISBLANK(tblSites[[#This Row],[Implementing Partner]]), tblSites[[#This Row],[Implementing Partner]]="-"), tblSites[[#This Row],[Site Agency]], tblSites[[#This Row],[Implementing Partner]])</f>
        <v>No SMA</v>
      </c>
      <c r="M802" s="12" t="s">
        <v>55</v>
      </c>
      <c r="N802" s="12" t="str">
        <f>tblSites[[#This Row],[FinalImplementingPartner]]</f>
        <v>No SMA</v>
      </c>
    </row>
    <row r="803" spans="1:14" x14ac:dyDescent="0.25">
      <c r="A803" s="12" t="s">
        <v>5237</v>
      </c>
      <c r="B803" s="12" t="s">
        <v>4557</v>
      </c>
      <c r="C803" s="12" t="s">
        <v>5070</v>
      </c>
      <c r="D803" t="s">
        <v>59</v>
      </c>
      <c r="E803" s="12" t="s">
        <v>3179</v>
      </c>
      <c r="F803" s="12" t="s">
        <v>397</v>
      </c>
      <c r="G803" s="12" t="s">
        <v>5105</v>
      </c>
      <c r="H803" s="12" t="s">
        <v>4557</v>
      </c>
      <c r="I803" s="84">
        <v>2600124</v>
      </c>
      <c r="J803" s="12" t="s">
        <v>5102</v>
      </c>
      <c r="K803" s="12" t="s">
        <v>389</v>
      </c>
      <c r="L803" s="12" t="str">
        <f>IF(OR(ISBLANK(tblSites[[#This Row],[Implementing Partner]]), tblSites[[#This Row],[Implementing Partner]]="-"), tblSites[[#This Row],[Site Agency]], tblSites[[#This Row],[Implementing Partner]])</f>
        <v>No SMA</v>
      </c>
      <c r="M803" s="12" t="s">
        <v>55</v>
      </c>
      <c r="N803" s="12" t="str">
        <f>tblSites[[#This Row],[FinalImplementingPartner]]</f>
        <v>No SMA</v>
      </c>
    </row>
    <row r="804" spans="1:14" x14ac:dyDescent="0.25">
      <c r="A804" s="12" t="s">
        <v>5238</v>
      </c>
      <c r="B804" s="12" t="s">
        <v>4067</v>
      </c>
      <c r="C804" s="12" t="s">
        <v>4652</v>
      </c>
      <c r="D804" t="s">
        <v>59</v>
      </c>
      <c r="E804" s="12" t="s">
        <v>3179</v>
      </c>
      <c r="F804" s="12" t="s">
        <v>324</v>
      </c>
      <c r="G804" s="12" t="s">
        <v>5118</v>
      </c>
      <c r="H804" s="12" t="s">
        <v>4067</v>
      </c>
      <c r="I804" s="84">
        <v>2600120</v>
      </c>
      <c r="J804" s="12" t="s">
        <v>5102</v>
      </c>
      <c r="K804" s="12" t="s">
        <v>389</v>
      </c>
      <c r="L804" s="12" t="str">
        <f>IF(OR(ISBLANK(tblSites[[#This Row],[Implementing Partner]]), tblSites[[#This Row],[Implementing Partner]]="-"), tblSites[[#This Row],[Site Agency]], tblSites[[#This Row],[Implementing Partner]])</f>
        <v>No SMA</v>
      </c>
      <c r="M804" s="12" t="s">
        <v>55</v>
      </c>
      <c r="N804" s="12" t="str">
        <f>tblSites[[#This Row],[FinalImplementingPartner]]</f>
        <v>No SMA</v>
      </c>
    </row>
    <row r="805" spans="1:14" x14ac:dyDescent="0.25">
      <c r="A805" s="12" t="s">
        <v>5239</v>
      </c>
      <c r="B805" s="12" t="s">
        <v>4576</v>
      </c>
      <c r="C805" s="12" t="s">
        <v>5088</v>
      </c>
      <c r="D805" t="s">
        <v>59</v>
      </c>
      <c r="E805" s="12" t="s">
        <v>3179</v>
      </c>
      <c r="F805" s="12" t="s">
        <v>397</v>
      </c>
      <c r="G805" s="12" t="s">
        <v>5105</v>
      </c>
      <c r="H805" s="12" t="s">
        <v>4576</v>
      </c>
      <c r="I805" s="84">
        <v>2600124</v>
      </c>
      <c r="J805" s="12" t="s">
        <v>5102</v>
      </c>
      <c r="K805" s="12" t="s">
        <v>389</v>
      </c>
      <c r="L805" s="12" t="str">
        <f>IF(OR(ISBLANK(tblSites[[#This Row],[Implementing Partner]]), tblSites[[#This Row],[Implementing Partner]]="-"), tblSites[[#This Row],[Site Agency]], tblSites[[#This Row],[Implementing Partner]])</f>
        <v>No SMA</v>
      </c>
      <c r="M805" s="12" t="s">
        <v>55</v>
      </c>
      <c r="N805" s="12" t="str">
        <f>tblSites[[#This Row],[FinalImplementingPartner]]</f>
        <v>No SMA</v>
      </c>
    </row>
    <row r="806" spans="1:14" x14ac:dyDescent="0.25">
      <c r="A806" s="12" t="s">
        <v>3657</v>
      </c>
      <c r="B806" s="12" t="s">
        <v>2170</v>
      </c>
      <c r="C806" s="12" t="s">
        <v>4808</v>
      </c>
      <c r="D806" t="s">
        <v>59</v>
      </c>
      <c r="E806" s="12" t="s">
        <v>3179</v>
      </c>
      <c r="F806" s="12" t="s">
        <v>60</v>
      </c>
      <c r="G806" s="12" t="s">
        <v>5119</v>
      </c>
      <c r="H806" s="12" t="s">
        <v>2170</v>
      </c>
      <c r="I806" s="84">
        <v>2600119</v>
      </c>
      <c r="J806" s="12" t="s">
        <v>5102</v>
      </c>
      <c r="L806" s="12" t="str">
        <f>IF(OR(ISBLANK(tblSites[[#This Row],[Implementing Partner]]), tblSites[[#This Row],[Implementing Partner]]="-"), tblSites[[#This Row],[Site Agency]], tblSites[[#This Row],[Implementing Partner]])</f>
        <v>No SMA</v>
      </c>
      <c r="M806" s="12" t="s">
        <v>55</v>
      </c>
      <c r="N806" s="12" t="str">
        <f>tblSites[[#This Row],[FinalImplementingPartner]]</f>
        <v>No SMA</v>
      </c>
    </row>
    <row r="807" spans="1:14" x14ac:dyDescent="0.25">
      <c r="A807" s="12" t="s">
        <v>3658</v>
      </c>
      <c r="B807" s="12" t="s">
        <v>4256</v>
      </c>
      <c r="C807" s="12" t="s">
        <v>4809</v>
      </c>
      <c r="D807" t="s">
        <v>59</v>
      </c>
      <c r="E807" s="12" t="s">
        <v>3179</v>
      </c>
      <c r="F807" s="12" t="s">
        <v>60</v>
      </c>
      <c r="G807" s="12" t="s">
        <v>5119</v>
      </c>
      <c r="H807" s="12" t="s">
        <v>4256</v>
      </c>
      <c r="I807" s="84">
        <v>2600119</v>
      </c>
      <c r="J807" s="12" t="s">
        <v>5102</v>
      </c>
      <c r="K807" s="12" t="s">
        <v>389</v>
      </c>
      <c r="L807" s="12" t="str">
        <f>IF(OR(ISBLANK(tblSites[[#This Row],[Implementing Partner]]), tblSites[[#This Row],[Implementing Partner]]="-"), tblSites[[#This Row],[Site Agency]], tblSites[[#This Row],[Implementing Partner]])</f>
        <v>No SMA</v>
      </c>
      <c r="M807" s="12" t="s">
        <v>55</v>
      </c>
      <c r="N807" s="12" t="str">
        <f>tblSites[[#This Row],[FinalImplementingPartner]]</f>
        <v>No SMA</v>
      </c>
    </row>
    <row r="808" spans="1:14" x14ac:dyDescent="0.25">
      <c r="A808" s="12" t="s">
        <v>3659</v>
      </c>
      <c r="B808" s="12" t="s">
        <v>4257</v>
      </c>
      <c r="C808" s="12" t="s">
        <v>4810</v>
      </c>
      <c r="D808" t="s">
        <v>59</v>
      </c>
      <c r="E808" s="12" t="s">
        <v>3179</v>
      </c>
      <c r="F808" s="12" t="s">
        <v>60</v>
      </c>
      <c r="G808" s="12" t="s">
        <v>5119</v>
      </c>
      <c r="H808" s="12" t="s">
        <v>4257</v>
      </c>
      <c r="I808" s="84">
        <v>2600119</v>
      </c>
      <c r="J808" s="12" t="s">
        <v>5102</v>
      </c>
      <c r="L808" s="12" t="str">
        <f>IF(OR(ISBLANK(tblSites[[#This Row],[Implementing Partner]]), tblSites[[#This Row],[Implementing Partner]]="-"), tblSites[[#This Row],[Site Agency]], tblSites[[#This Row],[Implementing Partner]])</f>
        <v>No SMA</v>
      </c>
      <c r="M808" s="12" t="s">
        <v>55</v>
      </c>
      <c r="N808" s="12" t="str">
        <f>tblSites[[#This Row],[FinalImplementingPartner]]</f>
        <v>No SMA</v>
      </c>
    </row>
    <row r="809" spans="1:14" x14ac:dyDescent="0.25">
      <c r="A809" s="12" t="s">
        <v>3660</v>
      </c>
      <c r="B809" s="12" t="s">
        <v>4258</v>
      </c>
      <c r="C809" s="12" t="s">
        <v>4811</v>
      </c>
      <c r="D809" t="s">
        <v>59</v>
      </c>
      <c r="E809" s="12" t="s">
        <v>3179</v>
      </c>
      <c r="F809" s="12" t="s">
        <v>60</v>
      </c>
      <c r="G809" s="12" t="s">
        <v>5119</v>
      </c>
      <c r="H809" s="12" t="s">
        <v>4258</v>
      </c>
      <c r="I809" s="84">
        <v>2600119</v>
      </c>
      <c r="J809" s="12" t="s">
        <v>5102</v>
      </c>
      <c r="K809" s="12" t="s">
        <v>389</v>
      </c>
      <c r="L809" s="12" t="str">
        <f>IF(OR(ISBLANK(tblSites[[#This Row],[Implementing Partner]]), tblSites[[#This Row],[Implementing Partner]]="-"), tblSites[[#This Row],[Site Agency]], tblSites[[#This Row],[Implementing Partner]])</f>
        <v>No SMA</v>
      </c>
      <c r="M809" s="12" t="s">
        <v>55</v>
      </c>
      <c r="N809" s="12" t="str">
        <f>tblSites[[#This Row],[FinalImplementingPartner]]</f>
        <v>No SMA</v>
      </c>
    </row>
    <row r="810" spans="1:14" x14ac:dyDescent="0.25">
      <c r="A810" s="12" t="s">
        <v>3661</v>
      </c>
      <c r="B810" s="12" t="s">
        <v>4259</v>
      </c>
      <c r="C810" s="12" t="s">
        <v>4812</v>
      </c>
      <c r="D810" t="s">
        <v>59</v>
      </c>
      <c r="E810" s="12" t="s">
        <v>3179</v>
      </c>
      <c r="F810" s="12" t="s">
        <v>60</v>
      </c>
      <c r="G810" s="12" t="s">
        <v>5119</v>
      </c>
      <c r="H810" s="12" t="s">
        <v>4259</v>
      </c>
      <c r="I810" s="84">
        <v>2600119</v>
      </c>
      <c r="J810" s="12" t="s">
        <v>5102</v>
      </c>
      <c r="K810" s="12" t="s">
        <v>389</v>
      </c>
      <c r="L810" s="12" t="str">
        <f>IF(OR(ISBLANK(tblSites[[#This Row],[Implementing Partner]]), tblSites[[#This Row],[Implementing Partner]]="-"), tblSites[[#This Row],[Site Agency]], tblSites[[#This Row],[Implementing Partner]])</f>
        <v>No SMA</v>
      </c>
      <c r="M810" s="12" t="s">
        <v>55</v>
      </c>
      <c r="N810" s="12" t="str">
        <f>tblSites[[#This Row],[FinalImplementingPartner]]</f>
        <v>No SMA</v>
      </c>
    </row>
    <row r="811" spans="1:14" x14ac:dyDescent="0.25">
      <c r="A811" s="12" t="s">
        <v>3662</v>
      </c>
      <c r="B811" s="12" t="s">
        <v>4260</v>
      </c>
      <c r="C811" s="12" t="s">
        <v>4813</v>
      </c>
      <c r="D811" t="s">
        <v>59</v>
      </c>
      <c r="E811" s="12" t="s">
        <v>3179</v>
      </c>
      <c r="F811" s="12" t="s">
        <v>114</v>
      </c>
      <c r="G811" s="12" t="s">
        <v>5122</v>
      </c>
      <c r="H811" s="12" t="s">
        <v>4260</v>
      </c>
      <c r="I811" s="84">
        <v>2600123</v>
      </c>
      <c r="J811" s="12" t="s">
        <v>5102</v>
      </c>
      <c r="K811" s="12" t="s">
        <v>389</v>
      </c>
      <c r="L811" s="12" t="str">
        <f>IF(OR(ISBLANK(tblSites[[#This Row],[Implementing Partner]]), tblSites[[#This Row],[Implementing Partner]]="-"), tblSites[[#This Row],[Site Agency]], tblSites[[#This Row],[Implementing Partner]])</f>
        <v>No SMA</v>
      </c>
      <c r="M811" s="12" t="s">
        <v>55</v>
      </c>
      <c r="N811" s="12" t="str">
        <f>tblSites[[#This Row],[FinalImplementingPartner]]</f>
        <v>No SMA</v>
      </c>
    </row>
    <row r="812" spans="1:14" x14ac:dyDescent="0.25">
      <c r="A812" s="12" t="s">
        <v>3663</v>
      </c>
      <c r="B812" s="12" t="s">
        <v>4261</v>
      </c>
      <c r="C812" s="12" t="s">
        <v>4814</v>
      </c>
      <c r="D812" t="s">
        <v>59</v>
      </c>
      <c r="E812" s="12" t="s">
        <v>3179</v>
      </c>
      <c r="F812" s="12" t="s">
        <v>60</v>
      </c>
      <c r="G812" s="12" t="s">
        <v>5119</v>
      </c>
      <c r="H812" s="12" t="s">
        <v>4261</v>
      </c>
      <c r="I812" s="84">
        <v>2600119</v>
      </c>
      <c r="J812" s="12" t="s">
        <v>5102</v>
      </c>
      <c r="K812" s="12" t="s">
        <v>389</v>
      </c>
      <c r="L812" s="12" t="str">
        <f>IF(OR(ISBLANK(tblSites[[#This Row],[Implementing Partner]]), tblSites[[#This Row],[Implementing Partner]]="-"), tblSites[[#This Row],[Site Agency]], tblSites[[#This Row],[Implementing Partner]])</f>
        <v>No SMA</v>
      </c>
      <c r="M812" s="12" t="s">
        <v>55</v>
      </c>
      <c r="N812" s="12" t="str">
        <f>tblSites[[#This Row],[FinalImplementingPartner]]</f>
        <v>No SMA</v>
      </c>
    </row>
    <row r="813" spans="1:14" x14ac:dyDescent="0.25">
      <c r="A813" s="12" t="s">
        <v>3664</v>
      </c>
      <c r="B813" s="12" t="s">
        <v>4262</v>
      </c>
      <c r="C813" s="12" t="s">
        <v>4815</v>
      </c>
      <c r="D813" t="s">
        <v>59</v>
      </c>
      <c r="E813" s="12" t="s">
        <v>3179</v>
      </c>
      <c r="F813" s="12" t="s">
        <v>67</v>
      </c>
      <c r="G813" s="12" t="s">
        <v>5109</v>
      </c>
      <c r="H813" s="12" t="s">
        <v>4262</v>
      </c>
      <c r="I813" s="84">
        <v>2600118</v>
      </c>
      <c r="J813" s="12" t="s">
        <v>5102</v>
      </c>
      <c r="K813" s="12" t="s">
        <v>389</v>
      </c>
      <c r="L813" s="12" t="str">
        <f>IF(OR(ISBLANK(tblSites[[#This Row],[Implementing Partner]]), tblSites[[#This Row],[Implementing Partner]]="-"), tblSites[[#This Row],[Site Agency]], tblSites[[#This Row],[Implementing Partner]])</f>
        <v>No SMA</v>
      </c>
      <c r="M813" s="12" t="s">
        <v>55</v>
      </c>
      <c r="N813" s="12" t="str">
        <f>tblSites[[#This Row],[FinalImplementingPartner]]</f>
        <v>No SMA</v>
      </c>
    </row>
    <row r="814" spans="1:14" x14ac:dyDescent="0.25">
      <c r="A814" s="12" t="s">
        <v>5240</v>
      </c>
      <c r="B814" s="12" t="s">
        <v>4401</v>
      </c>
      <c r="C814" s="12" t="s">
        <v>4933</v>
      </c>
      <c r="D814" t="s">
        <v>59</v>
      </c>
      <c r="E814" s="12" t="s">
        <v>3179</v>
      </c>
      <c r="F814" s="12" t="s">
        <v>67</v>
      </c>
      <c r="G814" s="12" t="s">
        <v>5109</v>
      </c>
      <c r="H814" s="12" t="s">
        <v>4401</v>
      </c>
      <c r="I814" s="84">
        <v>2600118</v>
      </c>
      <c r="J814" s="12" t="s">
        <v>5102</v>
      </c>
      <c r="L814" s="12" t="str">
        <f>IF(OR(ISBLANK(tblSites[[#This Row],[Implementing Partner]]), tblSites[[#This Row],[Implementing Partner]]="-"), tblSites[[#This Row],[Site Agency]], tblSites[[#This Row],[Implementing Partner]])</f>
        <v>No SMA</v>
      </c>
      <c r="M814" s="12" t="s">
        <v>55</v>
      </c>
      <c r="N814" s="12" t="str">
        <f>tblSites[[#This Row],[FinalImplementingPartner]]</f>
        <v>No SMA</v>
      </c>
    </row>
    <row r="815" spans="1:14" x14ac:dyDescent="0.25">
      <c r="A815" s="12" t="s">
        <v>5241</v>
      </c>
      <c r="B815" s="12" t="s">
        <v>4404</v>
      </c>
      <c r="C815" s="12" t="s">
        <v>5291</v>
      </c>
      <c r="D815" t="s">
        <v>59</v>
      </c>
      <c r="E815" s="12" t="s">
        <v>3179</v>
      </c>
      <c r="F815" s="12" t="s">
        <v>114</v>
      </c>
      <c r="G815" s="12" t="s">
        <v>5122</v>
      </c>
      <c r="H815" s="12" t="s">
        <v>4404</v>
      </c>
      <c r="I815" s="84">
        <v>2600123</v>
      </c>
      <c r="J815" s="12" t="s">
        <v>5102</v>
      </c>
      <c r="K815" s="12" t="s">
        <v>389</v>
      </c>
      <c r="L815" s="12" t="str">
        <f>IF(OR(ISBLANK(tblSites[[#This Row],[Implementing Partner]]), tblSites[[#This Row],[Implementing Partner]]="-"), tblSites[[#This Row],[Site Agency]], tblSites[[#This Row],[Implementing Partner]])</f>
        <v>No SMA</v>
      </c>
      <c r="M815" s="12" t="s">
        <v>55</v>
      </c>
      <c r="N815" s="12" t="str">
        <f>tblSites[[#This Row],[FinalImplementingPartner]]</f>
        <v>No SMA</v>
      </c>
    </row>
    <row r="816" spans="1:14" x14ac:dyDescent="0.25">
      <c r="A816" s="12" t="s">
        <v>3665</v>
      </c>
      <c r="B816" s="12" t="s">
        <v>4263</v>
      </c>
      <c r="C816" s="12" t="s">
        <v>4660</v>
      </c>
      <c r="D816" t="s">
        <v>59</v>
      </c>
      <c r="E816" s="12" t="s">
        <v>3179</v>
      </c>
      <c r="F816" s="12" t="s">
        <v>60</v>
      </c>
      <c r="G816" s="12" t="s">
        <v>5119</v>
      </c>
      <c r="H816" s="12" t="s">
        <v>4263</v>
      </c>
      <c r="I816" s="84">
        <v>2600119</v>
      </c>
      <c r="J816" s="12" t="s">
        <v>5102</v>
      </c>
      <c r="K816" s="12" t="s">
        <v>389</v>
      </c>
      <c r="L816" s="12" t="str">
        <f>IF(OR(ISBLANK(tblSites[[#This Row],[Implementing Partner]]), tblSites[[#This Row],[Implementing Partner]]="-"), tblSites[[#This Row],[Site Agency]], tblSites[[#This Row],[Implementing Partner]])</f>
        <v>No SMA</v>
      </c>
      <c r="M816" s="12" t="s">
        <v>55</v>
      </c>
      <c r="N816" s="12" t="str">
        <f>tblSites[[#This Row],[FinalImplementingPartner]]</f>
        <v>No SMA</v>
      </c>
    </row>
    <row r="817" spans="1:14" x14ac:dyDescent="0.25">
      <c r="A817" s="12" t="s">
        <v>3666</v>
      </c>
      <c r="B817" s="12" t="s">
        <v>4264</v>
      </c>
      <c r="C817" s="12" t="s">
        <v>4816</v>
      </c>
      <c r="D817" t="s">
        <v>59</v>
      </c>
      <c r="E817" s="12" t="s">
        <v>3179</v>
      </c>
      <c r="F817" s="12" t="s">
        <v>67</v>
      </c>
      <c r="G817" s="12" t="s">
        <v>5109</v>
      </c>
      <c r="H817" s="12" t="s">
        <v>4264</v>
      </c>
      <c r="I817" s="84">
        <v>2600118</v>
      </c>
      <c r="J817" s="12" t="s">
        <v>5102</v>
      </c>
      <c r="K817" s="12" t="s">
        <v>389</v>
      </c>
      <c r="L817" s="12" t="str">
        <f>IF(OR(ISBLANK(tblSites[[#This Row],[Implementing Partner]]), tblSites[[#This Row],[Implementing Partner]]="-"), tblSites[[#This Row],[Site Agency]], tblSites[[#This Row],[Implementing Partner]])</f>
        <v>No SMA</v>
      </c>
      <c r="M817" s="12" t="s">
        <v>55</v>
      </c>
      <c r="N817" s="12" t="str">
        <f>tblSites[[#This Row],[FinalImplementingPartner]]</f>
        <v>No SMA</v>
      </c>
    </row>
    <row r="818" spans="1:14" x14ac:dyDescent="0.25">
      <c r="A818" s="12" t="s">
        <v>3667</v>
      </c>
      <c r="B818" s="12" t="s">
        <v>1196</v>
      </c>
      <c r="C818" s="12" t="s">
        <v>1197</v>
      </c>
      <c r="D818" t="s">
        <v>59</v>
      </c>
      <c r="E818" s="12" t="s">
        <v>3179</v>
      </c>
      <c r="F818" s="12" t="s">
        <v>60</v>
      </c>
      <c r="G818" s="12" t="s">
        <v>5119</v>
      </c>
      <c r="H818" s="12" t="s">
        <v>1196</v>
      </c>
      <c r="I818" s="84">
        <v>2600119</v>
      </c>
      <c r="J818" s="12" t="s">
        <v>5102</v>
      </c>
      <c r="K818" s="12" t="s">
        <v>389</v>
      </c>
      <c r="L818" s="12" t="str">
        <f>IF(OR(ISBLANK(tblSites[[#This Row],[Implementing Partner]]), tblSites[[#This Row],[Implementing Partner]]="-"), tblSites[[#This Row],[Site Agency]], tblSites[[#This Row],[Implementing Partner]])</f>
        <v>No SMA</v>
      </c>
      <c r="M818" s="12" t="s">
        <v>55</v>
      </c>
      <c r="N818" s="12" t="str">
        <f>tblSites[[#This Row],[FinalImplementingPartner]]</f>
        <v>No SMA</v>
      </c>
    </row>
    <row r="819" spans="1:14" x14ac:dyDescent="0.25">
      <c r="A819" s="12" t="s">
        <v>3668</v>
      </c>
      <c r="B819" s="12" t="s">
        <v>4265</v>
      </c>
      <c r="C819" s="12" t="s">
        <v>4817</v>
      </c>
      <c r="D819" t="s">
        <v>59</v>
      </c>
      <c r="E819" s="12" t="s">
        <v>3179</v>
      </c>
      <c r="F819" s="12" t="s">
        <v>67</v>
      </c>
      <c r="G819" s="12" t="s">
        <v>5109</v>
      </c>
      <c r="H819" s="12" t="s">
        <v>4265</v>
      </c>
      <c r="I819" s="84">
        <v>2600118</v>
      </c>
      <c r="J819" s="12" t="s">
        <v>5102</v>
      </c>
      <c r="K819" s="12" t="s">
        <v>389</v>
      </c>
      <c r="L819" s="12" t="str">
        <f>IF(OR(ISBLANK(tblSites[[#This Row],[Implementing Partner]]), tblSites[[#This Row],[Implementing Partner]]="-"), tblSites[[#This Row],[Site Agency]], tblSites[[#This Row],[Implementing Partner]])</f>
        <v>No SMA</v>
      </c>
      <c r="M819" s="12" t="s">
        <v>55</v>
      </c>
      <c r="N819" s="12" t="str">
        <f>tblSites[[#This Row],[FinalImplementingPartner]]</f>
        <v>No SMA</v>
      </c>
    </row>
    <row r="820" spans="1:14" x14ac:dyDescent="0.25">
      <c r="A820" s="12" t="s">
        <v>5242</v>
      </c>
      <c r="B820" s="12" t="s">
        <v>4406</v>
      </c>
      <c r="C820" s="12" t="s">
        <v>4937</v>
      </c>
      <c r="D820" t="s">
        <v>59</v>
      </c>
      <c r="E820" s="12" t="s">
        <v>3179</v>
      </c>
      <c r="F820" s="12" t="s">
        <v>114</v>
      </c>
      <c r="G820" s="12" t="s">
        <v>5122</v>
      </c>
      <c r="H820" s="12" t="s">
        <v>4406</v>
      </c>
      <c r="I820" s="84">
        <v>2600123</v>
      </c>
      <c r="J820" s="12" t="s">
        <v>5102</v>
      </c>
      <c r="K820" s="12" t="s">
        <v>389</v>
      </c>
      <c r="L820" s="12" t="str">
        <f>IF(OR(ISBLANK(tblSites[[#This Row],[Implementing Partner]]), tblSites[[#This Row],[Implementing Partner]]="-"), tblSites[[#This Row],[Site Agency]], tblSites[[#This Row],[Implementing Partner]])</f>
        <v>No SMA</v>
      </c>
      <c r="M820" s="12" t="s">
        <v>55</v>
      </c>
      <c r="N820" s="12" t="str">
        <f>tblSites[[#This Row],[FinalImplementingPartner]]</f>
        <v>No SMA</v>
      </c>
    </row>
    <row r="821" spans="1:14" x14ac:dyDescent="0.25">
      <c r="A821" s="12" t="s">
        <v>3669</v>
      </c>
      <c r="B821" s="12" t="s">
        <v>4266</v>
      </c>
      <c r="C821" s="12" t="s">
        <v>4818</v>
      </c>
      <c r="D821" t="s">
        <v>59</v>
      </c>
      <c r="E821" s="12" t="s">
        <v>3179</v>
      </c>
      <c r="F821" s="12" t="s">
        <v>60</v>
      </c>
      <c r="G821" s="12" t="s">
        <v>5119</v>
      </c>
      <c r="H821" s="12" t="s">
        <v>4266</v>
      </c>
      <c r="I821" s="84">
        <v>2600119</v>
      </c>
      <c r="J821" s="12" t="s">
        <v>5102</v>
      </c>
      <c r="K821" s="12" t="s">
        <v>389</v>
      </c>
      <c r="L821" s="12" t="str">
        <f>IF(OR(ISBLANK(tblSites[[#This Row],[Implementing Partner]]), tblSites[[#This Row],[Implementing Partner]]="-"), tblSites[[#This Row],[Site Agency]], tblSites[[#This Row],[Implementing Partner]])</f>
        <v>No SMA</v>
      </c>
      <c r="M821" s="12" t="s">
        <v>55</v>
      </c>
      <c r="N821" s="12" t="str">
        <f>tblSites[[#This Row],[FinalImplementingPartner]]</f>
        <v>No SMA</v>
      </c>
    </row>
    <row r="822" spans="1:14" x14ac:dyDescent="0.25">
      <c r="A822" s="12" t="s">
        <v>3670</v>
      </c>
      <c r="B822" s="12" t="s">
        <v>4267</v>
      </c>
      <c r="C822" s="12" t="s">
        <v>4819</v>
      </c>
      <c r="D822" t="s">
        <v>59</v>
      </c>
      <c r="E822" s="12" t="s">
        <v>3179</v>
      </c>
      <c r="F822" s="12" t="s">
        <v>60</v>
      </c>
      <c r="G822" s="12" t="s">
        <v>5119</v>
      </c>
      <c r="H822" s="12" t="s">
        <v>4267</v>
      </c>
      <c r="I822" s="84">
        <v>2600119</v>
      </c>
      <c r="J822" s="12" t="s">
        <v>5102</v>
      </c>
      <c r="K822" s="12" t="s">
        <v>389</v>
      </c>
      <c r="L822" s="12" t="str">
        <f>IF(OR(ISBLANK(tblSites[[#This Row],[Implementing Partner]]), tblSites[[#This Row],[Implementing Partner]]="-"), tblSites[[#This Row],[Site Agency]], tblSites[[#This Row],[Implementing Partner]])</f>
        <v>No SMA</v>
      </c>
      <c r="M822" s="12" t="s">
        <v>55</v>
      </c>
      <c r="N822" s="12" t="str">
        <f>tblSites[[#This Row],[FinalImplementingPartner]]</f>
        <v>No SMA</v>
      </c>
    </row>
    <row r="823" spans="1:14" x14ac:dyDescent="0.25">
      <c r="A823" s="12" t="s">
        <v>3671</v>
      </c>
      <c r="B823" s="12" t="s">
        <v>4268</v>
      </c>
      <c r="C823" s="12" t="s">
        <v>4820</v>
      </c>
      <c r="D823" t="s">
        <v>59</v>
      </c>
      <c r="E823" s="12" t="s">
        <v>3179</v>
      </c>
      <c r="F823" s="12" t="s">
        <v>67</v>
      </c>
      <c r="G823" s="12" t="s">
        <v>5109</v>
      </c>
      <c r="H823" s="12" t="s">
        <v>4268</v>
      </c>
      <c r="I823" s="84">
        <v>2600118</v>
      </c>
      <c r="J823" s="12" t="s">
        <v>5102</v>
      </c>
      <c r="K823" s="12" t="s">
        <v>389</v>
      </c>
      <c r="L823" s="12" t="str">
        <f>IF(OR(ISBLANK(tblSites[[#This Row],[Implementing Partner]]), tblSites[[#This Row],[Implementing Partner]]="-"), tblSites[[#This Row],[Site Agency]], tblSites[[#This Row],[Implementing Partner]])</f>
        <v>No SMA</v>
      </c>
      <c r="M823" s="12" t="s">
        <v>55</v>
      </c>
      <c r="N823" s="12" t="str">
        <f>tblSites[[#This Row],[FinalImplementingPartner]]</f>
        <v>No SMA</v>
      </c>
    </row>
    <row r="824" spans="1:14" x14ac:dyDescent="0.25">
      <c r="A824" s="12" t="s">
        <v>3672</v>
      </c>
      <c r="B824" s="12" t="s">
        <v>4270</v>
      </c>
      <c r="C824" s="12" t="s">
        <v>4822</v>
      </c>
      <c r="D824" t="s">
        <v>59</v>
      </c>
      <c r="E824" s="12" t="s">
        <v>3179</v>
      </c>
      <c r="F824" s="12" t="s">
        <v>60</v>
      </c>
      <c r="G824" s="12" t="s">
        <v>5119</v>
      </c>
      <c r="H824" s="12" t="s">
        <v>4270</v>
      </c>
      <c r="I824" s="84">
        <v>2600119</v>
      </c>
      <c r="J824" s="12" t="s">
        <v>5102</v>
      </c>
      <c r="K824" s="12" t="s">
        <v>389</v>
      </c>
      <c r="L824" s="12" t="str">
        <f>IF(OR(ISBLANK(tblSites[[#This Row],[Implementing Partner]]), tblSites[[#This Row],[Implementing Partner]]="-"), tblSites[[#This Row],[Site Agency]], tblSites[[#This Row],[Implementing Partner]])</f>
        <v>No SMA</v>
      </c>
      <c r="M824" s="12" t="s">
        <v>55</v>
      </c>
      <c r="N824" s="12" t="str">
        <f>tblSites[[#This Row],[FinalImplementingPartner]]</f>
        <v>No SMA</v>
      </c>
    </row>
    <row r="825" spans="1:14" x14ac:dyDescent="0.25">
      <c r="A825" s="12" t="s">
        <v>5243</v>
      </c>
      <c r="B825" s="12" t="s">
        <v>4410</v>
      </c>
      <c r="C825" s="12" t="s">
        <v>4941</v>
      </c>
      <c r="D825" t="s">
        <v>59</v>
      </c>
      <c r="E825" s="12" t="s">
        <v>3179</v>
      </c>
      <c r="F825" s="12" t="s">
        <v>114</v>
      </c>
      <c r="G825" s="12" t="s">
        <v>5122</v>
      </c>
      <c r="H825" s="12" t="s">
        <v>4410</v>
      </c>
      <c r="I825" s="84">
        <v>2600123</v>
      </c>
      <c r="J825" s="12" t="s">
        <v>5102</v>
      </c>
      <c r="K825" s="12" t="s">
        <v>389</v>
      </c>
      <c r="L825" s="12" t="str">
        <f>IF(OR(ISBLANK(tblSites[[#This Row],[Implementing Partner]]), tblSites[[#This Row],[Implementing Partner]]="-"), tblSites[[#This Row],[Site Agency]], tblSites[[#This Row],[Implementing Partner]])</f>
        <v>No SMA</v>
      </c>
      <c r="M825" s="12" t="s">
        <v>55</v>
      </c>
      <c r="N825" s="12" t="str">
        <f>tblSites[[#This Row],[FinalImplementingPartner]]</f>
        <v>No SMA</v>
      </c>
    </row>
    <row r="826" spans="1:14" x14ac:dyDescent="0.25">
      <c r="A826" s="12" t="s">
        <v>3673</v>
      </c>
      <c r="B826" s="12" t="s">
        <v>2887</v>
      </c>
      <c r="C826" s="12" t="s">
        <v>5292</v>
      </c>
      <c r="D826" t="s">
        <v>59</v>
      </c>
      <c r="E826" s="12" t="s">
        <v>3179</v>
      </c>
      <c r="F826" s="12" t="s">
        <v>324</v>
      </c>
      <c r="G826" s="12" t="s">
        <v>5118</v>
      </c>
      <c r="H826" s="12" t="s">
        <v>2887</v>
      </c>
      <c r="I826" s="84">
        <v>2600120</v>
      </c>
      <c r="J826" s="12" t="s">
        <v>5102</v>
      </c>
      <c r="K826" s="12" t="s">
        <v>389</v>
      </c>
      <c r="L826" s="12" t="str">
        <f>IF(OR(ISBLANK(tblSites[[#This Row],[Implementing Partner]]), tblSites[[#This Row],[Implementing Partner]]="-"), tblSites[[#This Row],[Site Agency]], tblSites[[#This Row],[Implementing Partner]])</f>
        <v>No SMA</v>
      </c>
      <c r="M826" s="12" t="s">
        <v>55</v>
      </c>
      <c r="N826" s="12" t="str">
        <f>tblSites[[#This Row],[FinalImplementingPartner]]</f>
        <v>No SMA</v>
      </c>
    </row>
    <row r="827" spans="1:14" x14ac:dyDescent="0.25">
      <c r="A827" s="12" t="s">
        <v>3674</v>
      </c>
      <c r="B827" s="12" t="s">
        <v>4272</v>
      </c>
      <c r="C827" s="12" t="s">
        <v>4824</v>
      </c>
      <c r="D827" t="s">
        <v>59</v>
      </c>
      <c r="E827" s="12" t="s">
        <v>3179</v>
      </c>
      <c r="F827" s="12" t="s">
        <v>67</v>
      </c>
      <c r="G827" s="12" t="s">
        <v>5109</v>
      </c>
      <c r="H827" s="12" t="s">
        <v>4272</v>
      </c>
      <c r="I827" s="84">
        <v>2600118</v>
      </c>
      <c r="J827" s="12" t="s">
        <v>5102</v>
      </c>
      <c r="K827" s="12" t="s">
        <v>389</v>
      </c>
      <c r="L827" s="12" t="str">
        <f>IF(OR(ISBLANK(tblSites[[#This Row],[Implementing Partner]]), tblSites[[#This Row],[Implementing Partner]]="-"), tblSites[[#This Row],[Site Agency]], tblSites[[#This Row],[Implementing Partner]])</f>
        <v>No SMA</v>
      </c>
      <c r="M827" s="12" t="s">
        <v>55</v>
      </c>
      <c r="N827" s="12" t="str">
        <f>tblSites[[#This Row],[FinalImplementingPartner]]</f>
        <v>No SMA</v>
      </c>
    </row>
    <row r="828" spans="1:14" x14ac:dyDescent="0.25">
      <c r="A828" s="12" t="s">
        <v>3675</v>
      </c>
      <c r="B828" s="12" t="s">
        <v>4273</v>
      </c>
      <c r="C828" s="12" t="s">
        <v>4825</v>
      </c>
      <c r="D828" t="s">
        <v>59</v>
      </c>
      <c r="E828" s="12" t="s">
        <v>3179</v>
      </c>
      <c r="F828" s="12" t="s">
        <v>67</v>
      </c>
      <c r="G828" s="12" t="s">
        <v>5109</v>
      </c>
      <c r="H828" s="12" t="s">
        <v>4273</v>
      </c>
      <c r="I828" s="84">
        <v>2600118</v>
      </c>
      <c r="J828" s="12" t="s">
        <v>5102</v>
      </c>
      <c r="K828" s="12" t="s">
        <v>389</v>
      </c>
      <c r="L828" s="12" t="str">
        <f>IF(OR(ISBLANK(tblSites[[#This Row],[Implementing Partner]]), tblSites[[#This Row],[Implementing Partner]]="-"), tblSites[[#This Row],[Site Agency]], tblSites[[#This Row],[Implementing Partner]])</f>
        <v>No SMA</v>
      </c>
      <c r="M828" s="12" t="s">
        <v>55</v>
      </c>
      <c r="N828" s="12" t="str">
        <f>tblSites[[#This Row],[FinalImplementingPartner]]</f>
        <v>No SMA</v>
      </c>
    </row>
    <row r="829" spans="1:14" x14ac:dyDescent="0.25">
      <c r="A829" s="12" t="s">
        <v>3676</v>
      </c>
      <c r="B829" s="12" t="s">
        <v>4274</v>
      </c>
      <c r="C829" s="12" t="s">
        <v>4826</v>
      </c>
      <c r="D829" t="s">
        <v>59</v>
      </c>
      <c r="E829" s="12" t="s">
        <v>3179</v>
      </c>
      <c r="F829" s="12" t="s">
        <v>67</v>
      </c>
      <c r="G829" s="12" t="s">
        <v>5109</v>
      </c>
      <c r="H829" s="12" t="s">
        <v>4274</v>
      </c>
      <c r="I829" s="84">
        <v>2600118</v>
      </c>
      <c r="J829" s="12" t="s">
        <v>5102</v>
      </c>
      <c r="K829" s="12" t="s">
        <v>389</v>
      </c>
      <c r="L829" s="12" t="str">
        <f>IF(OR(ISBLANK(tblSites[[#This Row],[Implementing Partner]]), tblSites[[#This Row],[Implementing Partner]]="-"), tblSites[[#This Row],[Site Agency]], tblSites[[#This Row],[Implementing Partner]])</f>
        <v>No SMA</v>
      </c>
      <c r="M829" s="12" t="s">
        <v>55</v>
      </c>
      <c r="N829" s="12" t="str">
        <f>tblSites[[#This Row],[FinalImplementingPartner]]</f>
        <v>No SMA</v>
      </c>
    </row>
    <row r="830" spans="1:14" x14ac:dyDescent="0.25">
      <c r="A830" s="12" t="s">
        <v>5244</v>
      </c>
      <c r="B830" s="12" t="s">
        <v>4411</v>
      </c>
      <c r="C830" s="12" t="s">
        <v>4942</v>
      </c>
      <c r="D830" t="s">
        <v>59</v>
      </c>
      <c r="E830" s="12" t="s">
        <v>3179</v>
      </c>
      <c r="F830" s="12" t="s">
        <v>114</v>
      </c>
      <c r="G830" s="12" t="s">
        <v>5122</v>
      </c>
      <c r="H830" s="12" t="s">
        <v>4411</v>
      </c>
      <c r="I830" s="84">
        <v>2600123</v>
      </c>
      <c r="J830" s="12" t="s">
        <v>5102</v>
      </c>
      <c r="K830" s="12" t="s">
        <v>389</v>
      </c>
      <c r="L830" s="12" t="str">
        <f>IF(OR(ISBLANK(tblSites[[#This Row],[Implementing Partner]]), tblSites[[#This Row],[Implementing Partner]]="-"), tblSites[[#This Row],[Site Agency]], tblSites[[#This Row],[Implementing Partner]])</f>
        <v>No SMA</v>
      </c>
      <c r="M830" s="12" t="s">
        <v>55</v>
      </c>
      <c r="N830" s="12" t="str">
        <f>tblSites[[#This Row],[FinalImplementingPartner]]</f>
        <v>No SMA</v>
      </c>
    </row>
    <row r="831" spans="1:14" x14ac:dyDescent="0.25">
      <c r="A831" s="12" t="s">
        <v>5245</v>
      </c>
      <c r="B831" s="12" t="s">
        <v>4412</v>
      </c>
      <c r="C831" s="12" t="s">
        <v>4943</v>
      </c>
      <c r="D831" t="s">
        <v>59</v>
      </c>
      <c r="E831" s="12" t="s">
        <v>3179</v>
      </c>
      <c r="F831" s="12" t="s">
        <v>114</v>
      </c>
      <c r="G831" s="12" t="s">
        <v>5122</v>
      </c>
      <c r="H831" s="12" t="s">
        <v>4412</v>
      </c>
      <c r="I831" s="84">
        <v>2600123</v>
      </c>
      <c r="J831" s="12" t="s">
        <v>5102</v>
      </c>
      <c r="K831" s="12" t="s">
        <v>389</v>
      </c>
      <c r="L831" s="12" t="str">
        <f>IF(OR(ISBLANK(tblSites[[#This Row],[Implementing Partner]]), tblSites[[#This Row],[Implementing Partner]]="-"), tblSites[[#This Row],[Site Agency]], tblSites[[#This Row],[Implementing Partner]])</f>
        <v>No SMA</v>
      </c>
      <c r="M831" s="12" t="s">
        <v>55</v>
      </c>
      <c r="N831" s="12" t="str">
        <f>tblSites[[#This Row],[FinalImplementingPartner]]</f>
        <v>No SMA</v>
      </c>
    </row>
    <row r="832" spans="1:14" x14ac:dyDescent="0.25">
      <c r="A832" s="12" t="s">
        <v>3677</v>
      </c>
      <c r="B832" s="12" t="s">
        <v>4275</v>
      </c>
      <c r="C832" s="12" t="s">
        <v>4827</v>
      </c>
      <c r="D832" t="s">
        <v>59</v>
      </c>
      <c r="E832" s="12" t="s">
        <v>3179</v>
      </c>
      <c r="F832" s="12" t="s">
        <v>60</v>
      </c>
      <c r="G832" s="12" t="s">
        <v>5119</v>
      </c>
      <c r="H832" s="12" t="s">
        <v>4275</v>
      </c>
      <c r="I832" s="84">
        <v>2600119</v>
      </c>
      <c r="J832" s="12" t="s">
        <v>5102</v>
      </c>
      <c r="K832" s="12" t="s">
        <v>389</v>
      </c>
      <c r="L832" s="12" t="str">
        <f>IF(OR(ISBLANK(tblSites[[#This Row],[Implementing Partner]]), tblSites[[#This Row],[Implementing Partner]]="-"), tblSites[[#This Row],[Site Agency]], tblSites[[#This Row],[Implementing Partner]])</f>
        <v>No SMA</v>
      </c>
      <c r="M832" s="12" t="s">
        <v>55</v>
      </c>
      <c r="N832" s="12" t="str">
        <f>tblSites[[#This Row],[FinalImplementingPartner]]</f>
        <v>No SMA</v>
      </c>
    </row>
    <row r="833" spans="1:14" x14ac:dyDescent="0.25">
      <c r="A833" s="12" t="s">
        <v>3678</v>
      </c>
      <c r="B833" s="12" t="s">
        <v>4276</v>
      </c>
      <c r="C833" s="12" t="s">
        <v>4828</v>
      </c>
      <c r="D833" t="s">
        <v>59</v>
      </c>
      <c r="E833" s="12" t="s">
        <v>3179</v>
      </c>
      <c r="F833" s="12" t="s">
        <v>60</v>
      </c>
      <c r="G833" s="12" t="s">
        <v>5119</v>
      </c>
      <c r="H833" s="12" t="s">
        <v>4276</v>
      </c>
      <c r="I833" s="84">
        <v>2600119</v>
      </c>
      <c r="J833" s="12" t="s">
        <v>5102</v>
      </c>
      <c r="K833" s="12" t="s">
        <v>389</v>
      </c>
      <c r="L833" s="12" t="str">
        <f>IF(OR(ISBLANK(tblSites[[#This Row],[Implementing Partner]]), tblSites[[#This Row],[Implementing Partner]]="-"), tblSites[[#This Row],[Site Agency]], tblSites[[#This Row],[Implementing Partner]])</f>
        <v>No SMA</v>
      </c>
      <c r="M833" s="12" t="s">
        <v>55</v>
      </c>
      <c r="N833" s="12" t="str">
        <f>tblSites[[#This Row],[FinalImplementingPartner]]</f>
        <v>No SMA</v>
      </c>
    </row>
    <row r="834" spans="1:14" x14ac:dyDescent="0.25">
      <c r="A834" s="12" t="s">
        <v>3679</v>
      </c>
      <c r="B834" s="12" t="s">
        <v>4277</v>
      </c>
      <c r="C834" s="12" t="s">
        <v>4829</v>
      </c>
      <c r="D834" t="s">
        <v>59</v>
      </c>
      <c r="E834" s="12" t="s">
        <v>3179</v>
      </c>
      <c r="F834" s="12" t="s">
        <v>60</v>
      </c>
      <c r="G834" s="12" t="s">
        <v>5119</v>
      </c>
      <c r="H834" s="12" t="s">
        <v>4277</v>
      </c>
      <c r="I834" s="84">
        <v>2600119</v>
      </c>
      <c r="J834" s="12" t="s">
        <v>5102</v>
      </c>
      <c r="K834" s="12" t="s">
        <v>389</v>
      </c>
      <c r="L834" s="12" t="str">
        <f>IF(OR(ISBLANK(tblSites[[#This Row],[Implementing Partner]]), tblSites[[#This Row],[Implementing Partner]]="-"), tblSites[[#This Row],[Site Agency]], tblSites[[#This Row],[Implementing Partner]])</f>
        <v>No SMA</v>
      </c>
      <c r="M834" s="12" t="s">
        <v>55</v>
      </c>
      <c r="N834" s="12" t="str">
        <f>tblSites[[#This Row],[FinalImplementingPartner]]</f>
        <v>No SMA</v>
      </c>
    </row>
    <row r="835" spans="1:14" x14ac:dyDescent="0.25">
      <c r="A835" s="12" t="s">
        <v>3680</v>
      </c>
      <c r="B835" s="12" t="s">
        <v>4278</v>
      </c>
      <c r="C835" s="12" t="s">
        <v>1443</v>
      </c>
      <c r="D835" t="s">
        <v>59</v>
      </c>
      <c r="E835" s="12" t="s">
        <v>3179</v>
      </c>
      <c r="F835" s="12" t="s">
        <v>60</v>
      </c>
      <c r="G835" s="12" t="s">
        <v>5119</v>
      </c>
      <c r="H835" s="12" t="s">
        <v>4278</v>
      </c>
      <c r="I835" s="84">
        <v>2600119</v>
      </c>
      <c r="J835" s="12" t="s">
        <v>5102</v>
      </c>
      <c r="K835" s="12" t="s">
        <v>389</v>
      </c>
      <c r="L835" s="12" t="str">
        <f>IF(OR(ISBLANK(tblSites[[#This Row],[Implementing Partner]]), tblSites[[#This Row],[Implementing Partner]]="-"), tblSites[[#This Row],[Site Agency]], tblSites[[#This Row],[Implementing Partner]])</f>
        <v>No SMA</v>
      </c>
      <c r="M835" s="12" t="s">
        <v>55</v>
      </c>
      <c r="N835" s="12" t="str">
        <f>tblSites[[#This Row],[FinalImplementingPartner]]</f>
        <v>No SMA</v>
      </c>
    </row>
    <row r="836" spans="1:14" x14ac:dyDescent="0.25">
      <c r="A836" s="12" t="s">
        <v>5246</v>
      </c>
      <c r="B836" s="12" t="s">
        <v>4415</v>
      </c>
      <c r="C836" s="12" t="s">
        <v>4945</v>
      </c>
      <c r="D836" t="s">
        <v>59</v>
      </c>
      <c r="E836" s="12" t="s">
        <v>3179</v>
      </c>
      <c r="F836" s="12" t="s">
        <v>114</v>
      </c>
      <c r="G836" s="12" t="s">
        <v>5122</v>
      </c>
      <c r="H836" s="12" t="s">
        <v>4415</v>
      </c>
      <c r="I836" s="84">
        <v>2600123</v>
      </c>
      <c r="J836" s="12" t="s">
        <v>5102</v>
      </c>
      <c r="K836" s="12" t="s">
        <v>389</v>
      </c>
      <c r="L836" s="12" t="str">
        <f>IF(OR(ISBLANK(tblSites[[#This Row],[Implementing Partner]]), tblSites[[#This Row],[Implementing Partner]]="-"), tblSites[[#This Row],[Site Agency]], tblSites[[#This Row],[Implementing Partner]])</f>
        <v>No SMA</v>
      </c>
      <c r="M836" s="12" t="s">
        <v>55</v>
      </c>
      <c r="N836" s="12" t="str">
        <f>tblSites[[#This Row],[FinalImplementingPartner]]</f>
        <v>No SMA</v>
      </c>
    </row>
    <row r="837" spans="1:14" x14ac:dyDescent="0.25">
      <c r="A837" s="12" t="s">
        <v>3681</v>
      </c>
      <c r="B837" s="12" t="s">
        <v>4279</v>
      </c>
      <c r="C837" s="12" t="s">
        <v>4830</v>
      </c>
      <c r="D837" t="s">
        <v>59</v>
      </c>
      <c r="E837" s="12" t="s">
        <v>3179</v>
      </c>
      <c r="F837" s="12" t="s">
        <v>60</v>
      </c>
      <c r="G837" s="12" t="s">
        <v>5119</v>
      </c>
      <c r="H837" s="12" t="s">
        <v>4279</v>
      </c>
      <c r="I837" s="84">
        <v>2600119</v>
      </c>
      <c r="J837" s="12" t="s">
        <v>5102</v>
      </c>
      <c r="K837" s="12" t="s">
        <v>389</v>
      </c>
      <c r="L837" s="12" t="str">
        <f>IF(OR(ISBLANK(tblSites[[#This Row],[Implementing Partner]]), tblSites[[#This Row],[Implementing Partner]]="-"), tblSites[[#This Row],[Site Agency]], tblSites[[#This Row],[Implementing Partner]])</f>
        <v>No SMA</v>
      </c>
      <c r="M837" s="12" t="s">
        <v>55</v>
      </c>
      <c r="N837" s="12" t="str">
        <f>tblSites[[#This Row],[FinalImplementingPartner]]</f>
        <v>No SMA</v>
      </c>
    </row>
    <row r="838" spans="1:14" x14ac:dyDescent="0.25">
      <c r="A838" s="12" t="s">
        <v>3682</v>
      </c>
      <c r="B838" s="12" t="s">
        <v>4280</v>
      </c>
      <c r="C838" s="12" t="s">
        <v>5293</v>
      </c>
      <c r="D838" t="s">
        <v>59</v>
      </c>
      <c r="E838" s="12" t="s">
        <v>3179</v>
      </c>
      <c r="F838" s="12" t="s">
        <v>67</v>
      </c>
      <c r="G838" s="12" t="s">
        <v>5109</v>
      </c>
      <c r="H838" s="12" t="s">
        <v>4280</v>
      </c>
      <c r="I838" s="84">
        <v>2600118</v>
      </c>
      <c r="J838" s="12" t="s">
        <v>5102</v>
      </c>
      <c r="K838" s="12" t="s">
        <v>389</v>
      </c>
      <c r="L838" s="12" t="str">
        <f>IF(OR(ISBLANK(tblSites[[#This Row],[Implementing Partner]]), tblSites[[#This Row],[Implementing Partner]]="-"), tblSites[[#This Row],[Site Agency]], tblSites[[#This Row],[Implementing Partner]])</f>
        <v>No SMA</v>
      </c>
      <c r="M838" s="12" t="s">
        <v>55</v>
      </c>
      <c r="N838" s="12" t="str">
        <f>tblSites[[#This Row],[FinalImplementingPartner]]</f>
        <v>No SMA</v>
      </c>
    </row>
    <row r="839" spans="1:14" x14ac:dyDescent="0.25">
      <c r="A839" s="12" t="s">
        <v>3683</v>
      </c>
      <c r="B839" s="12" t="s">
        <v>4281</v>
      </c>
      <c r="C839" s="12" t="s">
        <v>4831</v>
      </c>
      <c r="D839" t="s">
        <v>59</v>
      </c>
      <c r="E839" s="12" t="s">
        <v>3179</v>
      </c>
      <c r="F839" s="12" t="s">
        <v>114</v>
      </c>
      <c r="G839" s="12" t="s">
        <v>5122</v>
      </c>
      <c r="H839" s="12" t="s">
        <v>4281</v>
      </c>
      <c r="I839" s="84">
        <v>2600123</v>
      </c>
      <c r="J839" s="12" t="s">
        <v>5102</v>
      </c>
      <c r="L839" s="12" t="str">
        <f>IF(OR(ISBLANK(tblSites[[#This Row],[Implementing Partner]]), tblSites[[#This Row],[Implementing Partner]]="-"), tblSites[[#This Row],[Site Agency]], tblSites[[#This Row],[Implementing Partner]])</f>
        <v>No SMA</v>
      </c>
      <c r="M839" s="12" t="s">
        <v>55</v>
      </c>
      <c r="N839" s="12" t="str">
        <f>tblSites[[#This Row],[FinalImplementingPartner]]</f>
        <v>No SMA</v>
      </c>
    </row>
    <row r="840" spans="1:14" x14ac:dyDescent="0.25">
      <c r="A840" s="12" t="s">
        <v>3684</v>
      </c>
      <c r="B840" s="12" t="s">
        <v>4282</v>
      </c>
      <c r="C840" s="12" t="s">
        <v>4832</v>
      </c>
      <c r="D840" t="s">
        <v>59</v>
      </c>
      <c r="E840" s="12" t="s">
        <v>3179</v>
      </c>
      <c r="F840" s="12" t="s">
        <v>60</v>
      </c>
      <c r="G840" s="12" t="s">
        <v>5119</v>
      </c>
      <c r="H840" s="12" t="s">
        <v>4282</v>
      </c>
      <c r="I840" s="84">
        <v>2600119</v>
      </c>
      <c r="J840" s="12" t="s">
        <v>5102</v>
      </c>
      <c r="K840" s="12" t="s">
        <v>389</v>
      </c>
      <c r="L840" s="12" t="str">
        <f>IF(OR(ISBLANK(tblSites[[#This Row],[Implementing Partner]]), tblSites[[#This Row],[Implementing Partner]]="-"), tblSites[[#This Row],[Site Agency]], tblSites[[#This Row],[Implementing Partner]])</f>
        <v>No SMA</v>
      </c>
      <c r="M840" s="12" t="s">
        <v>55</v>
      </c>
      <c r="N840" s="12" t="str">
        <f>tblSites[[#This Row],[FinalImplementingPartner]]</f>
        <v>No SMA</v>
      </c>
    </row>
    <row r="841" spans="1:14" x14ac:dyDescent="0.25">
      <c r="A841" s="12" t="s">
        <v>3685</v>
      </c>
      <c r="B841" s="12" t="s">
        <v>3150</v>
      </c>
      <c r="C841" s="12" t="s">
        <v>3151</v>
      </c>
      <c r="D841" t="s">
        <v>59</v>
      </c>
      <c r="E841" s="12" t="s">
        <v>3179</v>
      </c>
      <c r="F841" s="12" t="s">
        <v>67</v>
      </c>
      <c r="G841" s="12" t="s">
        <v>5109</v>
      </c>
      <c r="H841" s="12" t="s">
        <v>3150</v>
      </c>
      <c r="I841" s="84">
        <v>2600118</v>
      </c>
      <c r="J841" s="12" t="s">
        <v>5102</v>
      </c>
      <c r="K841" s="12" t="s">
        <v>389</v>
      </c>
      <c r="L841" s="12" t="str">
        <f>IF(OR(ISBLANK(tblSites[[#This Row],[Implementing Partner]]), tblSites[[#This Row],[Implementing Partner]]="-"), tblSites[[#This Row],[Site Agency]], tblSites[[#This Row],[Implementing Partner]])</f>
        <v>No SMA</v>
      </c>
      <c r="M841" s="12" t="s">
        <v>55</v>
      </c>
      <c r="N841" s="12" t="str">
        <f>tblSites[[#This Row],[FinalImplementingPartner]]</f>
        <v>No SMA</v>
      </c>
    </row>
    <row r="842" spans="1:14" x14ac:dyDescent="0.25">
      <c r="A842" s="12" t="s">
        <v>3686</v>
      </c>
      <c r="B842" s="12" t="s">
        <v>4283</v>
      </c>
      <c r="C842" s="12" t="s">
        <v>4833</v>
      </c>
      <c r="D842" t="s">
        <v>59</v>
      </c>
      <c r="E842" s="12" t="s">
        <v>3179</v>
      </c>
      <c r="F842" s="12" t="s">
        <v>60</v>
      </c>
      <c r="G842" s="12" t="s">
        <v>5119</v>
      </c>
      <c r="H842" s="12" t="s">
        <v>4283</v>
      </c>
      <c r="I842" s="84">
        <v>2600119</v>
      </c>
      <c r="J842" s="12" t="s">
        <v>5102</v>
      </c>
      <c r="K842" s="12" t="s">
        <v>389</v>
      </c>
      <c r="L842" s="12" t="str">
        <f>IF(OR(ISBLANK(tblSites[[#This Row],[Implementing Partner]]), tblSites[[#This Row],[Implementing Partner]]="-"), tblSites[[#This Row],[Site Agency]], tblSites[[#This Row],[Implementing Partner]])</f>
        <v>No SMA</v>
      </c>
      <c r="M842" s="12" t="s">
        <v>55</v>
      </c>
      <c r="N842" s="12" t="str">
        <f>tblSites[[#This Row],[FinalImplementingPartner]]</f>
        <v>No SMA</v>
      </c>
    </row>
    <row r="843" spans="1:14" x14ac:dyDescent="0.25">
      <c r="A843" s="12" t="s">
        <v>5247</v>
      </c>
      <c r="B843" s="12" t="s">
        <v>4418</v>
      </c>
      <c r="C843" s="12" t="s">
        <v>4948</v>
      </c>
      <c r="D843" t="s">
        <v>59</v>
      </c>
      <c r="E843" s="12" t="s">
        <v>3179</v>
      </c>
      <c r="F843" s="12" t="s">
        <v>114</v>
      </c>
      <c r="G843" s="12" t="s">
        <v>5122</v>
      </c>
      <c r="H843" s="12" t="s">
        <v>4418</v>
      </c>
      <c r="I843" s="84">
        <v>2600123</v>
      </c>
      <c r="J843" s="12" t="s">
        <v>5102</v>
      </c>
      <c r="K843" s="12" t="s">
        <v>389</v>
      </c>
      <c r="L843" s="12" t="str">
        <f>IF(OR(ISBLANK(tblSites[[#This Row],[Implementing Partner]]), tblSites[[#This Row],[Implementing Partner]]="-"), tblSites[[#This Row],[Site Agency]], tblSites[[#This Row],[Implementing Partner]])</f>
        <v>No SMA</v>
      </c>
      <c r="M843" s="12" t="s">
        <v>55</v>
      </c>
      <c r="N843" s="12" t="str">
        <f>tblSites[[#This Row],[FinalImplementingPartner]]</f>
        <v>No SMA</v>
      </c>
    </row>
    <row r="844" spans="1:14" x14ac:dyDescent="0.25">
      <c r="A844" s="12" t="s">
        <v>5248</v>
      </c>
      <c r="B844" s="12" t="s">
        <v>4419</v>
      </c>
      <c r="C844" s="12" t="s">
        <v>1194</v>
      </c>
      <c r="D844" t="s">
        <v>59</v>
      </c>
      <c r="E844" s="12" t="s">
        <v>3179</v>
      </c>
      <c r="F844" s="12" t="s">
        <v>67</v>
      </c>
      <c r="G844" s="12" t="s">
        <v>5109</v>
      </c>
      <c r="H844" s="12" t="s">
        <v>4419</v>
      </c>
      <c r="I844" s="84">
        <v>2600118</v>
      </c>
      <c r="J844" s="12" t="s">
        <v>5102</v>
      </c>
      <c r="K844" s="12" t="s">
        <v>389</v>
      </c>
      <c r="L844" s="12" t="str">
        <f>IF(OR(ISBLANK(tblSites[[#This Row],[Implementing Partner]]), tblSites[[#This Row],[Implementing Partner]]="-"), tblSites[[#This Row],[Site Agency]], tblSites[[#This Row],[Implementing Partner]])</f>
        <v>No SMA</v>
      </c>
      <c r="M844" s="12" t="s">
        <v>55</v>
      </c>
      <c r="N844" s="12" t="str">
        <f>tblSites[[#This Row],[FinalImplementingPartner]]</f>
        <v>No SMA</v>
      </c>
    </row>
    <row r="845" spans="1:14" x14ac:dyDescent="0.25">
      <c r="A845" s="12" t="s">
        <v>3687</v>
      </c>
      <c r="B845" s="12" t="s">
        <v>4284</v>
      </c>
      <c r="C845" s="12" t="s">
        <v>4834</v>
      </c>
      <c r="D845" t="s">
        <v>59</v>
      </c>
      <c r="E845" s="12" t="s">
        <v>3179</v>
      </c>
      <c r="F845" s="12" t="s">
        <v>60</v>
      </c>
      <c r="G845" s="12" t="s">
        <v>5119</v>
      </c>
      <c r="H845" s="12" t="s">
        <v>4284</v>
      </c>
      <c r="I845" s="84">
        <v>2600119</v>
      </c>
      <c r="J845" s="12" t="s">
        <v>5102</v>
      </c>
      <c r="K845" s="12" t="s">
        <v>389</v>
      </c>
      <c r="L845" s="12" t="str">
        <f>IF(OR(ISBLANK(tblSites[[#This Row],[Implementing Partner]]), tblSites[[#This Row],[Implementing Partner]]="-"), tblSites[[#This Row],[Site Agency]], tblSites[[#This Row],[Implementing Partner]])</f>
        <v>No SMA</v>
      </c>
      <c r="M845" s="12" t="s">
        <v>55</v>
      </c>
      <c r="N845" s="12" t="str">
        <f>tblSites[[#This Row],[FinalImplementingPartner]]</f>
        <v>No SMA</v>
      </c>
    </row>
    <row r="846" spans="1:14" x14ac:dyDescent="0.25">
      <c r="A846" s="12" t="s">
        <v>3688</v>
      </c>
      <c r="B846" s="12" t="s">
        <v>4285</v>
      </c>
      <c r="C846" s="12" t="s">
        <v>5294</v>
      </c>
      <c r="D846" t="s">
        <v>59</v>
      </c>
      <c r="E846" s="12" t="s">
        <v>3179</v>
      </c>
      <c r="F846" s="12" t="s">
        <v>67</v>
      </c>
      <c r="G846" s="12" t="s">
        <v>5109</v>
      </c>
      <c r="H846" s="12" t="s">
        <v>4285</v>
      </c>
      <c r="I846" s="84">
        <v>2600118</v>
      </c>
      <c r="J846" s="12" t="s">
        <v>5102</v>
      </c>
      <c r="K846" s="12" t="s">
        <v>389</v>
      </c>
      <c r="L846" s="12" t="str">
        <f>IF(OR(ISBLANK(tblSites[[#This Row],[Implementing Partner]]), tblSites[[#This Row],[Implementing Partner]]="-"), tblSites[[#This Row],[Site Agency]], tblSites[[#This Row],[Implementing Partner]])</f>
        <v>No SMA</v>
      </c>
      <c r="M846" s="12" t="s">
        <v>55</v>
      </c>
      <c r="N846" s="12" t="str">
        <f>tblSites[[#This Row],[FinalImplementingPartner]]</f>
        <v>No SMA</v>
      </c>
    </row>
    <row r="847" spans="1:14" x14ac:dyDescent="0.25">
      <c r="A847" s="12" t="s">
        <v>3689</v>
      </c>
      <c r="B847" s="12" t="s">
        <v>4286</v>
      </c>
      <c r="C847" s="12" t="s">
        <v>4791</v>
      </c>
      <c r="D847" t="s">
        <v>59</v>
      </c>
      <c r="E847" s="12" t="s">
        <v>3179</v>
      </c>
      <c r="F847" s="12" t="s">
        <v>67</v>
      </c>
      <c r="G847" s="12" t="s">
        <v>5109</v>
      </c>
      <c r="H847" s="12" t="s">
        <v>4286</v>
      </c>
      <c r="I847" s="84">
        <v>2600118</v>
      </c>
      <c r="J847" s="12" t="s">
        <v>5102</v>
      </c>
      <c r="K847" s="12" t="s">
        <v>389</v>
      </c>
      <c r="L847" s="12" t="str">
        <f>IF(OR(ISBLANK(tblSites[[#This Row],[Implementing Partner]]), tblSites[[#This Row],[Implementing Partner]]="-"), tblSites[[#This Row],[Site Agency]], tblSites[[#This Row],[Implementing Partner]])</f>
        <v>No SMA</v>
      </c>
      <c r="M847" s="12" t="s">
        <v>55</v>
      </c>
      <c r="N847" s="12" t="str">
        <f>tblSites[[#This Row],[FinalImplementingPartner]]</f>
        <v>No SMA</v>
      </c>
    </row>
    <row r="848" spans="1:14" x14ac:dyDescent="0.25">
      <c r="A848" s="12" t="s">
        <v>3690</v>
      </c>
      <c r="B848" s="12" t="s">
        <v>4287</v>
      </c>
      <c r="C848" s="12" t="s">
        <v>4835</v>
      </c>
      <c r="D848" t="s">
        <v>59</v>
      </c>
      <c r="E848" s="12" t="s">
        <v>3179</v>
      </c>
      <c r="F848" s="12" t="s">
        <v>87</v>
      </c>
      <c r="G848" s="12" t="s">
        <v>5136</v>
      </c>
      <c r="H848" s="12" t="s">
        <v>4287</v>
      </c>
      <c r="I848" s="84">
        <v>2600114</v>
      </c>
      <c r="J848" s="12" t="s">
        <v>5102</v>
      </c>
      <c r="K848" s="12" t="s">
        <v>389</v>
      </c>
      <c r="L848" s="12" t="str">
        <f>IF(OR(ISBLANK(tblSites[[#This Row],[Implementing Partner]]), tblSites[[#This Row],[Implementing Partner]]="-"), tblSites[[#This Row],[Site Agency]], tblSites[[#This Row],[Implementing Partner]])</f>
        <v>No SMA</v>
      </c>
      <c r="M848" s="12" t="s">
        <v>55</v>
      </c>
      <c r="N848" s="12" t="str">
        <f>tblSites[[#This Row],[FinalImplementingPartner]]</f>
        <v>No SMA</v>
      </c>
    </row>
    <row r="849" spans="1:14" x14ac:dyDescent="0.25">
      <c r="A849" s="12" t="s">
        <v>3691</v>
      </c>
      <c r="B849" s="12" t="s">
        <v>4288</v>
      </c>
      <c r="C849" s="12" t="s">
        <v>4836</v>
      </c>
      <c r="D849" t="s">
        <v>59</v>
      </c>
      <c r="E849" s="12" t="s">
        <v>3179</v>
      </c>
      <c r="F849" s="12" t="s">
        <v>60</v>
      </c>
      <c r="G849" s="12" t="s">
        <v>5119</v>
      </c>
      <c r="H849" s="12" t="s">
        <v>4288</v>
      </c>
      <c r="I849" s="84">
        <v>2600119</v>
      </c>
      <c r="J849" s="12" t="s">
        <v>5102</v>
      </c>
      <c r="K849" s="12" t="s">
        <v>389</v>
      </c>
      <c r="L849" s="12" t="str">
        <f>IF(OR(ISBLANK(tblSites[[#This Row],[Implementing Partner]]), tblSites[[#This Row],[Implementing Partner]]="-"), tblSites[[#This Row],[Site Agency]], tblSites[[#This Row],[Implementing Partner]])</f>
        <v>No SMA</v>
      </c>
      <c r="M849" s="12" t="s">
        <v>55</v>
      </c>
      <c r="N849" s="12" t="str">
        <f>tblSites[[#This Row],[FinalImplementingPartner]]</f>
        <v>No SMA</v>
      </c>
    </row>
    <row r="850" spans="1:14" x14ac:dyDescent="0.25">
      <c r="A850" s="12" t="s">
        <v>5249</v>
      </c>
      <c r="B850" s="12" t="s">
        <v>4420</v>
      </c>
      <c r="C850" s="12" t="s">
        <v>160</v>
      </c>
      <c r="D850" t="s">
        <v>59</v>
      </c>
      <c r="E850" s="12" t="s">
        <v>3179</v>
      </c>
      <c r="F850" s="12" t="s">
        <v>114</v>
      </c>
      <c r="G850" s="12" t="s">
        <v>5122</v>
      </c>
      <c r="H850" s="12" t="s">
        <v>4420</v>
      </c>
      <c r="I850" s="84">
        <v>2600123</v>
      </c>
      <c r="J850" s="12" t="s">
        <v>5102</v>
      </c>
      <c r="L850" s="12" t="str">
        <f>IF(OR(ISBLANK(tblSites[[#This Row],[Implementing Partner]]), tblSites[[#This Row],[Implementing Partner]]="-"), tblSites[[#This Row],[Site Agency]], tblSites[[#This Row],[Implementing Partner]])</f>
        <v>No SMA</v>
      </c>
      <c r="M850" s="12" t="s">
        <v>55</v>
      </c>
      <c r="N850" s="12" t="str">
        <f>tblSites[[#This Row],[FinalImplementingPartner]]</f>
        <v>No SMA</v>
      </c>
    </row>
    <row r="851" spans="1:14" x14ac:dyDescent="0.25">
      <c r="A851" s="12" t="s">
        <v>5250</v>
      </c>
      <c r="B851" s="12" t="s">
        <v>4421</v>
      </c>
      <c r="C851" s="12" t="s">
        <v>4949</v>
      </c>
      <c r="D851" t="s">
        <v>59</v>
      </c>
      <c r="E851" s="12" t="s">
        <v>3179</v>
      </c>
      <c r="F851" s="12" t="s">
        <v>114</v>
      </c>
      <c r="G851" s="12" t="s">
        <v>5122</v>
      </c>
      <c r="H851" s="12" t="s">
        <v>4421</v>
      </c>
      <c r="I851" s="84">
        <v>2600123</v>
      </c>
      <c r="J851" s="12" t="s">
        <v>5102</v>
      </c>
      <c r="K851" s="12" t="s">
        <v>389</v>
      </c>
      <c r="L851" s="12" t="str">
        <f>IF(OR(ISBLANK(tblSites[[#This Row],[Implementing Partner]]), tblSites[[#This Row],[Implementing Partner]]="-"), tblSites[[#This Row],[Site Agency]], tblSites[[#This Row],[Implementing Partner]])</f>
        <v>No SMA</v>
      </c>
      <c r="M851" s="12" t="s">
        <v>55</v>
      </c>
      <c r="N851" s="12" t="str">
        <f>tblSites[[#This Row],[FinalImplementingPartner]]</f>
        <v>No SMA</v>
      </c>
    </row>
    <row r="852" spans="1:14" x14ac:dyDescent="0.25">
      <c r="A852" s="12" t="s">
        <v>3692</v>
      </c>
      <c r="B852" s="12" t="s">
        <v>4289</v>
      </c>
      <c r="C852" s="12" t="s">
        <v>4837</v>
      </c>
      <c r="D852" t="s">
        <v>59</v>
      </c>
      <c r="E852" s="12" t="s">
        <v>3179</v>
      </c>
      <c r="F852" s="12" t="s">
        <v>60</v>
      </c>
      <c r="G852" s="12" t="s">
        <v>5119</v>
      </c>
      <c r="H852" s="12" t="s">
        <v>4289</v>
      </c>
      <c r="I852" s="84">
        <v>2600119</v>
      </c>
      <c r="J852" s="12" t="s">
        <v>5102</v>
      </c>
      <c r="K852" s="12" t="s">
        <v>389</v>
      </c>
      <c r="L852" s="12" t="str">
        <f>IF(OR(ISBLANK(tblSites[[#This Row],[Implementing Partner]]), tblSites[[#This Row],[Implementing Partner]]="-"), tblSites[[#This Row],[Site Agency]], tblSites[[#This Row],[Implementing Partner]])</f>
        <v>No SMA</v>
      </c>
      <c r="M852" s="12" t="s">
        <v>55</v>
      </c>
      <c r="N852" s="12" t="str">
        <f>tblSites[[#This Row],[FinalImplementingPartner]]</f>
        <v>No SMA</v>
      </c>
    </row>
    <row r="853" spans="1:14" x14ac:dyDescent="0.25">
      <c r="A853" s="12" t="s">
        <v>3693</v>
      </c>
      <c r="B853" s="12" t="s">
        <v>4290</v>
      </c>
      <c r="C853" s="12" t="s">
        <v>4838</v>
      </c>
      <c r="D853" t="s">
        <v>59</v>
      </c>
      <c r="E853" s="12" t="s">
        <v>3179</v>
      </c>
      <c r="F853" s="12" t="s">
        <v>324</v>
      </c>
      <c r="G853" s="12" t="s">
        <v>5400</v>
      </c>
      <c r="H853" s="12" t="s">
        <v>4290</v>
      </c>
      <c r="I853" s="84">
        <v>2600120</v>
      </c>
      <c r="J853" s="12" t="s">
        <v>5</v>
      </c>
      <c r="K853" s="12" t="s">
        <v>7</v>
      </c>
      <c r="L853" s="12" t="str">
        <f>IF(OR(ISBLANK(tblSites[[#This Row],[Implementing Partner]]), tblSites[[#This Row],[Implementing Partner]]="-"), tblSites[[#This Row],[Site Agency]], tblSites[[#This Row],[Implementing Partner]])</f>
        <v>ACTED</v>
      </c>
      <c r="M853" s="12" t="s">
        <v>55</v>
      </c>
      <c r="N853" s="12" t="str">
        <f>tblSites[[#This Row],[FinalImplementingPartner]]</f>
        <v>ACTED</v>
      </c>
    </row>
    <row r="854" spans="1:14" x14ac:dyDescent="0.25">
      <c r="A854" s="12" t="s">
        <v>5251</v>
      </c>
      <c r="B854" s="12" t="s">
        <v>4422</v>
      </c>
      <c r="C854" s="12" t="s">
        <v>5295</v>
      </c>
      <c r="D854" t="s">
        <v>59</v>
      </c>
      <c r="E854" s="12" t="s">
        <v>3179</v>
      </c>
      <c r="F854" s="12" t="s">
        <v>114</v>
      </c>
      <c r="G854" s="12" t="s">
        <v>5122</v>
      </c>
      <c r="H854" s="12" t="s">
        <v>4422</v>
      </c>
      <c r="I854" s="84">
        <v>2600123</v>
      </c>
      <c r="J854" s="12" t="s">
        <v>5102</v>
      </c>
      <c r="K854" s="12" t="s">
        <v>389</v>
      </c>
      <c r="L854" s="12" t="str">
        <f>IF(OR(ISBLANK(tblSites[[#This Row],[Implementing Partner]]), tblSites[[#This Row],[Implementing Partner]]="-"), tblSites[[#This Row],[Site Agency]], tblSites[[#This Row],[Implementing Partner]])</f>
        <v>No SMA</v>
      </c>
      <c r="M854" s="12" t="s">
        <v>55</v>
      </c>
      <c r="N854" s="12" t="str">
        <f>tblSites[[#This Row],[FinalImplementingPartner]]</f>
        <v>No SMA</v>
      </c>
    </row>
    <row r="855" spans="1:14" x14ac:dyDescent="0.25">
      <c r="A855" s="12" t="s">
        <v>3694</v>
      </c>
      <c r="B855" s="12" t="s">
        <v>4291</v>
      </c>
      <c r="C855" s="12" t="s">
        <v>623</v>
      </c>
      <c r="D855" t="s">
        <v>59</v>
      </c>
      <c r="E855" s="12" t="s">
        <v>3179</v>
      </c>
      <c r="F855" s="12" t="s">
        <v>60</v>
      </c>
      <c r="G855" s="12" t="s">
        <v>5119</v>
      </c>
      <c r="H855" s="12" t="s">
        <v>4291</v>
      </c>
      <c r="I855" s="84">
        <v>2600119</v>
      </c>
      <c r="J855" s="12" t="s">
        <v>5102</v>
      </c>
      <c r="K855" s="12" t="s">
        <v>389</v>
      </c>
      <c r="L855" s="12" t="str">
        <f>IF(OR(ISBLANK(tblSites[[#This Row],[Implementing Partner]]), tblSites[[#This Row],[Implementing Partner]]="-"), tblSites[[#This Row],[Site Agency]], tblSites[[#This Row],[Implementing Partner]])</f>
        <v>No SMA</v>
      </c>
      <c r="M855" s="12" t="s">
        <v>55</v>
      </c>
      <c r="N855" s="12" t="str">
        <f>tblSites[[#This Row],[FinalImplementingPartner]]</f>
        <v>No SMA</v>
      </c>
    </row>
    <row r="856" spans="1:14" x14ac:dyDescent="0.25">
      <c r="A856" s="12" t="s">
        <v>3695</v>
      </c>
      <c r="B856" s="12" t="s">
        <v>4292</v>
      </c>
      <c r="C856" s="12" t="s">
        <v>4839</v>
      </c>
      <c r="D856" t="s">
        <v>59</v>
      </c>
      <c r="E856" s="12" t="s">
        <v>3179</v>
      </c>
      <c r="F856" s="12" t="s">
        <v>114</v>
      </c>
      <c r="G856" s="12" t="s">
        <v>5122</v>
      </c>
      <c r="H856" s="12" t="s">
        <v>4292</v>
      </c>
      <c r="I856" s="84">
        <v>2600123</v>
      </c>
      <c r="J856" s="12" t="s">
        <v>5102</v>
      </c>
      <c r="K856" s="12" t="s">
        <v>389</v>
      </c>
      <c r="L856" s="12" t="str">
        <f>IF(OR(ISBLANK(tblSites[[#This Row],[Implementing Partner]]), tblSites[[#This Row],[Implementing Partner]]="-"), tblSites[[#This Row],[Site Agency]], tblSites[[#This Row],[Implementing Partner]])</f>
        <v>No SMA</v>
      </c>
      <c r="M856" s="12" t="s">
        <v>55</v>
      </c>
      <c r="N856" s="12" t="str">
        <f>tblSites[[#This Row],[FinalImplementingPartner]]</f>
        <v>No SMA</v>
      </c>
    </row>
    <row r="857" spans="1:14" x14ac:dyDescent="0.25">
      <c r="A857" s="12" t="s">
        <v>3696</v>
      </c>
      <c r="B857" s="12" t="s">
        <v>4293</v>
      </c>
      <c r="C857" s="12" t="s">
        <v>4840</v>
      </c>
      <c r="D857" t="s">
        <v>59</v>
      </c>
      <c r="E857" s="12" t="s">
        <v>3179</v>
      </c>
      <c r="F857" s="12" t="s">
        <v>60</v>
      </c>
      <c r="G857" s="12" t="s">
        <v>5119</v>
      </c>
      <c r="H857" s="12" t="s">
        <v>4293</v>
      </c>
      <c r="I857" s="84">
        <v>2600119</v>
      </c>
      <c r="J857" s="12" t="s">
        <v>5102</v>
      </c>
      <c r="K857" s="12" t="s">
        <v>389</v>
      </c>
      <c r="L857" s="12" t="str">
        <f>IF(OR(ISBLANK(tblSites[[#This Row],[Implementing Partner]]), tblSites[[#This Row],[Implementing Partner]]="-"), tblSites[[#This Row],[Site Agency]], tblSites[[#This Row],[Implementing Partner]])</f>
        <v>No SMA</v>
      </c>
      <c r="M857" s="12" t="s">
        <v>55</v>
      </c>
      <c r="N857" s="12" t="str">
        <f>tblSites[[#This Row],[FinalImplementingPartner]]</f>
        <v>No SMA</v>
      </c>
    </row>
    <row r="858" spans="1:14" x14ac:dyDescent="0.25">
      <c r="A858" s="12" t="s">
        <v>3697</v>
      </c>
      <c r="B858" s="12" t="s">
        <v>4294</v>
      </c>
      <c r="C858" s="12" t="s">
        <v>4841</v>
      </c>
      <c r="D858" t="s">
        <v>59</v>
      </c>
      <c r="E858" s="12" t="s">
        <v>3179</v>
      </c>
      <c r="F858" s="12" t="s">
        <v>60</v>
      </c>
      <c r="G858" s="12" t="s">
        <v>5119</v>
      </c>
      <c r="H858" s="12" t="s">
        <v>4294</v>
      </c>
      <c r="I858" s="84">
        <v>2600119</v>
      </c>
      <c r="J858" s="12" t="s">
        <v>5102</v>
      </c>
      <c r="K858" s="12" t="s">
        <v>389</v>
      </c>
      <c r="L858" s="12" t="str">
        <f>IF(OR(ISBLANK(tblSites[[#This Row],[Implementing Partner]]), tblSites[[#This Row],[Implementing Partner]]="-"), tblSites[[#This Row],[Site Agency]], tblSites[[#This Row],[Implementing Partner]])</f>
        <v>No SMA</v>
      </c>
      <c r="M858" s="12" t="s">
        <v>55</v>
      </c>
      <c r="N858" s="12" t="str">
        <f>tblSites[[#This Row],[FinalImplementingPartner]]</f>
        <v>No SMA</v>
      </c>
    </row>
    <row r="859" spans="1:14" x14ac:dyDescent="0.25">
      <c r="A859" s="12" t="s">
        <v>3698</v>
      </c>
      <c r="B859" s="12" t="s">
        <v>255</v>
      </c>
      <c r="C859" s="12" t="s">
        <v>256</v>
      </c>
      <c r="D859" t="s">
        <v>59</v>
      </c>
      <c r="E859" s="12" t="s">
        <v>3179</v>
      </c>
      <c r="F859" s="12" t="s">
        <v>324</v>
      </c>
      <c r="G859" s="12" t="s">
        <v>5118</v>
      </c>
      <c r="H859" s="12" t="s">
        <v>255</v>
      </c>
      <c r="I859" s="84">
        <v>2600120</v>
      </c>
      <c r="J859" s="12" t="s">
        <v>5102</v>
      </c>
      <c r="K859" s="12" t="s">
        <v>389</v>
      </c>
      <c r="L859" s="12" t="str">
        <f>IF(OR(ISBLANK(tblSites[[#This Row],[Implementing Partner]]), tblSites[[#This Row],[Implementing Partner]]="-"), tblSites[[#This Row],[Site Agency]], tblSites[[#This Row],[Implementing Partner]])</f>
        <v>No SMA</v>
      </c>
      <c r="M859" s="12" t="s">
        <v>55</v>
      </c>
      <c r="N859" s="12" t="str">
        <f>tblSites[[#This Row],[FinalImplementingPartner]]</f>
        <v>No SMA</v>
      </c>
    </row>
    <row r="860" spans="1:14" x14ac:dyDescent="0.25">
      <c r="A860" s="12" t="s">
        <v>3699</v>
      </c>
      <c r="B860" s="12" t="s">
        <v>4295</v>
      </c>
      <c r="C860" s="12" t="s">
        <v>4842</v>
      </c>
      <c r="D860" t="s">
        <v>59</v>
      </c>
      <c r="E860" s="12" t="s">
        <v>3179</v>
      </c>
      <c r="F860" s="12" t="s">
        <v>87</v>
      </c>
      <c r="G860" s="12" t="s">
        <v>5136</v>
      </c>
      <c r="H860" s="12" t="s">
        <v>4295</v>
      </c>
      <c r="I860" s="84">
        <v>2600114</v>
      </c>
      <c r="J860" s="12" t="s">
        <v>5102</v>
      </c>
      <c r="L860" s="12" t="str">
        <f>IF(OR(ISBLANK(tblSites[[#This Row],[Implementing Partner]]), tblSites[[#This Row],[Implementing Partner]]="-"), tblSites[[#This Row],[Site Agency]], tblSites[[#This Row],[Implementing Partner]])</f>
        <v>No SMA</v>
      </c>
      <c r="M860" s="12" t="s">
        <v>55</v>
      </c>
      <c r="N860" s="12" t="str">
        <f>tblSites[[#This Row],[FinalImplementingPartner]]</f>
        <v>No SMA</v>
      </c>
    </row>
    <row r="861" spans="1:14" x14ac:dyDescent="0.25">
      <c r="A861" s="12" t="s">
        <v>3700</v>
      </c>
      <c r="B861" s="12" t="s">
        <v>4296</v>
      </c>
      <c r="C861" s="12" t="s">
        <v>4843</v>
      </c>
      <c r="D861" t="s">
        <v>59</v>
      </c>
      <c r="E861" s="12" t="s">
        <v>3179</v>
      </c>
      <c r="F861" s="12" t="s">
        <v>87</v>
      </c>
      <c r="G861" s="12" t="s">
        <v>5136</v>
      </c>
      <c r="H861" s="12" t="s">
        <v>4296</v>
      </c>
      <c r="I861" s="84">
        <v>2600114</v>
      </c>
      <c r="J861" s="12" t="s">
        <v>5102</v>
      </c>
      <c r="K861" s="12" t="s">
        <v>389</v>
      </c>
      <c r="L861" s="12" t="str">
        <f>IF(OR(ISBLANK(tblSites[[#This Row],[Implementing Partner]]), tblSites[[#This Row],[Implementing Partner]]="-"), tblSites[[#This Row],[Site Agency]], tblSites[[#This Row],[Implementing Partner]])</f>
        <v>No SMA</v>
      </c>
      <c r="M861" s="12" t="s">
        <v>55</v>
      </c>
      <c r="N861" s="12" t="str">
        <f>tblSites[[#This Row],[FinalImplementingPartner]]</f>
        <v>No SMA</v>
      </c>
    </row>
    <row r="862" spans="1:14" x14ac:dyDescent="0.25">
      <c r="A862" s="12" t="s">
        <v>3701</v>
      </c>
      <c r="B862" s="12" t="s">
        <v>4297</v>
      </c>
      <c r="C862" s="12" t="s">
        <v>4844</v>
      </c>
      <c r="D862" t="s">
        <v>59</v>
      </c>
      <c r="E862" s="12" t="s">
        <v>3179</v>
      </c>
      <c r="F862" s="12" t="s">
        <v>1091</v>
      </c>
      <c r="G862" s="12" t="s">
        <v>5120</v>
      </c>
      <c r="H862" s="12" t="s">
        <v>4297</v>
      </c>
      <c r="I862" s="84">
        <v>2600115</v>
      </c>
      <c r="J862" s="12" t="s">
        <v>5102</v>
      </c>
      <c r="K862" s="12" t="s">
        <v>389</v>
      </c>
      <c r="L862" s="12" t="str">
        <f>IF(OR(ISBLANK(tblSites[[#This Row],[Implementing Partner]]), tblSites[[#This Row],[Implementing Partner]]="-"), tblSites[[#This Row],[Site Agency]], tblSites[[#This Row],[Implementing Partner]])</f>
        <v>No SMA</v>
      </c>
      <c r="M862" s="12" t="s">
        <v>55</v>
      </c>
      <c r="N862" s="12" t="str">
        <f>tblSites[[#This Row],[FinalImplementingPartner]]</f>
        <v>No SMA</v>
      </c>
    </row>
    <row r="863" spans="1:14" x14ac:dyDescent="0.25">
      <c r="A863" s="12" t="s">
        <v>3702</v>
      </c>
      <c r="B863" s="12" t="s">
        <v>4298</v>
      </c>
      <c r="C863" s="12" t="s">
        <v>4845</v>
      </c>
      <c r="D863" t="s">
        <v>59</v>
      </c>
      <c r="E863" s="12" t="s">
        <v>3179</v>
      </c>
      <c r="F863" s="12" t="s">
        <v>87</v>
      </c>
      <c r="G863" s="12" t="s">
        <v>5153</v>
      </c>
      <c r="H863" s="12" t="s">
        <v>4298</v>
      </c>
      <c r="I863" s="84">
        <v>2600114</v>
      </c>
      <c r="J863" s="12" t="s">
        <v>662</v>
      </c>
      <c r="K863" s="12" t="s">
        <v>389</v>
      </c>
      <c r="L863" s="12" t="str">
        <f>IF(OR(ISBLANK(tblSites[[#This Row],[Implementing Partner]]), tblSites[[#This Row],[Implementing Partner]]="-"), tblSites[[#This Row],[Site Agency]], tblSites[[#This Row],[Implementing Partner]])</f>
        <v>PARC</v>
      </c>
      <c r="M863" s="12" t="s">
        <v>55</v>
      </c>
      <c r="N863" s="12" t="str">
        <f>tblSites[[#This Row],[FinalImplementingPartner]]</f>
        <v>PARC</v>
      </c>
    </row>
    <row r="864" spans="1:14" x14ac:dyDescent="0.25">
      <c r="A864" s="12" t="s">
        <v>3703</v>
      </c>
      <c r="B864" s="12" t="s">
        <v>4299</v>
      </c>
      <c r="C864" s="12" t="s">
        <v>4846</v>
      </c>
      <c r="D864" t="s">
        <v>59</v>
      </c>
      <c r="E864" s="12" t="s">
        <v>3179</v>
      </c>
      <c r="F864" s="12" t="s">
        <v>342</v>
      </c>
      <c r="G864" s="12" t="s">
        <v>5130</v>
      </c>
      <c r="H864" s="12" t="s">
        <v>4299</v>
      </c>
      <c r="I864" s="84">
        <v>2600113</v>
      </c>
      <c r="J864" s="12" t="s">
        <v>5102</v>
      </c>
      <c r="L864" s="12" t="str">
        <f>IF(OR(ISBLANK(tblSites[[#This Row],[Implementing Partner]]), tblSites[[#This Row],[Implementing Partner]]="-"), tblSites[[#This Row],[Site Agency]], tblSites[[#This Row],[Implementing Partner]])</f>
        <v>No SMA</v>
      </c>
      <c r="M864" s="12" t="s">
        <v>55</v>
      </c>
      <c r="N864" s="12" t="str">
        <f>tblSites[[#This Row],[FinalImplementingPartner]]</f>
        <v>No SMA</v>
      </c>
    </row>
    <row r="865" spans="1:14" x14ac:dyDescent="0.25">
      <c r="A865" s="12" t="s">
        <v>3704</v>
      </c>
      <c r="B865" s="12" t="s">
        <v>4300</v>
      </c>
      <c r="C865" s="12" t="s">
        <v>4847</v>
      </c>
      <c r="D865" t="s">
        <v>59</v>
      </c>
      <c r="E865" s="12" t="s">
        <v>3179</v>
      </c>
      <c r="F865" s="12" t="s">
        <v>87</v>
      </c>
      <c r="G865" s="12" t="s">
        <v>5136</v>
      </c>
      <c r="H865" s="12" t="s">
        <v>4300</v>
      </c>
      <c r="I865" s="84">
        <v>2600114</v>
      </c>
      <c r="J865" s="12" t="s">
        <v>5102</v>
      </c>
      <c r="L865" s="12" t="str">
        <f>IF(OR(ISBLANK(tblSites[[#This Row],[Implementing Partner]]), tblSites[[#This Row],[Implementing Partner]]="-"), tblSites[[#This Row],[Site Agency]], tblSites[[#This Row],[Implementing Partner]])</f>
        <v>No SMA</v>
      </c>
      <c r="M865" s="12" t="s">
        <v>55</v>
      </c>
      <c r="N865" s="12" t="str">
        <f>tblSites[[#This Row],[FinalImplementingPartner]]</f>
        <v>No SMA</v>
      </c>
    </row>
    <row r="866" spans="1:14" x14ac:dyDescent="0.25">
      <c r="A866" s="12" t="s">
        <v>3705</v>
      </c>
      <c r="B866" s="12" t="s">
        <v>4301</v>
      </c>
      <c r="C866" s="12" t="s">
        <v>3075</v>
      </c>
      <c r="D866" t="s">
        <v>59</v>
      </c>
      <c r="E866" s="12" t="s">
        <v>3179</v>
      </c>
      <c r="F866" s="12" t="s">
        <v>324</v>
      </c>
      <c r="G866" s="12" t="s">
        <v>5118</v>
      </c>
      <c r="H866" s="12" t="s">
        <v>4301</v>
      </c>
      <c r="I866" s="84">
        <v>2600120</v>
      </c>
      <c r="J866" s="12" t="s">
        <v>5102</v>
      </c>
      <c r="K866" s="12" t="s">
        <v>389</v>
      </c>
      <c r="L866" s="12" t="str">
        <f>IF(OR(ISBLANK(tblSites[[#This Row],[Implementing Partner]]), tblSites[[#This Row],[Implementing Partner]]="-"), tblSites[[#This Row],[Site Agency]], tblSites[[#This Row],[Implementing Partner]])</f>
        <v>No SMA</v>
      </c>
      <c r="M866" s="12" t="s">
        <v>55</v>
      </c>
      <c r="N866" s="12" t="str">
        <f>tblSites[[#This Row],[FinalImplementingPartner]]</f>
        <v>No SMA</v>
      </c>
    </row>
    <row r="867" spans="1:14" x14ac:dyDescent="0.25">
      <c r="A867" s="12" t="s">
        <v>3706</v>
      </c>
      <c r="B867" s="12" t="s">
        <v>4302</v>
      </c>
      <c r="C867" s="12" t="s">
        <v>4848</v>
      </c>
      <c r="D867" t="s">
        <v>59</v>
      </c>
      <c r="E867" s="12" t="s">
        <v>3179</v>
      </c>
      <c r="F867" s="12" t="s">
        <v>324</v>
      </c>
      <c r="G867" s="12" t="s">
        <v>5118</v>
      </c>
      <c r="H867" s="12" t="s">
        <v>4302</v>
      </c>
      <c r="I867" s="84">
        <v>2600120</v>
      </c>
      <c r="J867" s="12" t="s">
        <v>5102</v>
      </c>
      <c r="L867" s="12" t="str">
        <f>IF(OR(ISBLANK(tblSites[[#This Row],[Implementing Partner]]), tblSites[[#This Row],[Implementing Partner]]="-"), tblSites[[#This Row],[Site Agency]], tblSites[[#This Row],[Implementing Partner]])</f>
        <v>No SMA</v>
      </c>
      <c r="M867" s="12" t="s">
        <v>55</v>
      </c>
      <c r="N867" s="12" t="str">
        <f>tblSites[[#This Row],[FinalImplementingPartner]]</f>
        <v>No SMA</v>
      </c>
    </row>
    <row r="868" spans="1:14" x14ac:dyDescent="0.25">
      <c r="A868" s="12" t="s">
        <v>3707</v>
      </c>
      <c r="B868" s="12" t="s">
        <v>4303</v>
      </c>
      <c r="C868" s="12" t="s">
        <v>4849</v>
      </c>
      <c r="D868" t="s">
        <v>59</v>
      </c>
      <c r="E868" s="12" t="s">
        <v>3179</v>
      </c>
      <c r="F868" s="12" t="s">
        <v>87</v>
      </c>
      <c r="G868" s="12" t="s">
        <v>5136</v>
      </c>
      <c r="H868" s="12" t="s">
        <v>4303</v>
      </c>
      <c r="I868" s="84">
        <v>2600114</v>
      </c>
      <c r="J868" s="12" t="s">
        <v>5102</v>
      </c>
      <c r="L868" s="12" t="str">
        <f>IF(OR(ISBLANK(tblSites[[#This Row],[Implementing Partner]]), tblSites[[#This Row],[Implementing Partner]]="-"), tblSites[[#This Row],[Site Agency]], tblSites[[#This Row],[Implementing Partner]])</f>
        <v>No SMA</v>
      </c>
      <c r="M868" s="12" t="s">
        <v>55</v>
      </c>
      <c r="N868" s="12" t="str">
        <f>tblSites[[#This Row],[FinalImplementingPartner]]</f>
        <v>No SMA</v>
      </c>
    </row>
    <row r="869" spans="1:14" x14ac:dyDescent="0.25">
      <c r="A869" s="12" t="s">
        <v>3708</v>
      </c>
      <c r="B869" s="12" t="s">
        <v>4304</v>
      </c>
      <c r="C869" s="12" t="s">
        <v>4850</v>
      </c>
      <c r="D869" t="s">
        <v>59</v>
      </c>
      <c r="E869" s="12" t="s">
        <v>3179</v>
      </c>
      <c r="F869" s="12" t="s">
        <v>1091</v>
      </c>
      <c r="G869" s="12" t="s">
        <v>5120</v>
      </c>
      <c r="H869" s="12" t="s">
        <v>4304</v>
      </c>
      <c r="I869" s="84">
        <v>2600115</v>
      </c>
      <c r="J869" s="12" t="s">
        <v>5102</v>
      </c>
      <c r="L869" s="12" t="str">
        <f>IF(OR(ISBLANK(tblSites[[#This Row],[Implementing Partner]]), tblSites[[#This Row],[Implementing Partner]]="-"), tblSites[[#This Row],[Site Agency]], tblSites[[#This Row],[Implementing Partner]])</f>
        <v>No SMA</v>
      </c>
      <c r="M869" s="12" t="s">
        <v>55</v>
      </c>
      <c r="N869" s="12" t="str">
        <f>tblSites[[#This Row],[FinalImplementingPartner]]</f>
        <v>No SMA</v>
      </c>
    </row>
    <row r="870" spans="1:14" x14ac:dyDescent="0.25">
      <c r="A870" s="12" t="s">
        <v>3709</v>
      </c>
      <c r="B870" s="12" t="s">
        <v>4305</v>
      </c>
      <c r="C870" s="12" t="s">
        <v>4595</v>
      </c>
      <c r="D870" t="s">
        <v>59</v>
      </c>
      <c r="E870" s="12" t="s">
        <v>3179</v>
      </c>
      <c r="F870" s="12" t="s">
        <v>60</v>
      </c>
      <c r="G870" s="12" t="s">
        <v>5119</v>
      </c>
      <c r="H870" s="12" t="s">
        <v>4305</v>
      </c>
      <c r="I870" s="84">
        <v>2600119</v>
      </c>
      <c r="J870" s="12" t="s">
        <v>5102</v>
      </c>
      <c r="L870" s="12" t="str">
        <f>IF(OR(ISBLANK(tblSites[[#This Row],[Implementing Partner]]), tblSites[[#This Row],[Implementing Partner]]="-"), tblSites[[#This Row],[Site Agency]], tblSites[[#This Row],[Implementing Partner]])</f>
        <v>No SMA</v>
      </c>
      <c r="M870" s="12" t="s">
        <v>55</v>
      </c>
      <c r="N870" s="12" t="str">
        <f>tblSites[[#This Row],[FinalImplementingPartner]]</f>
        <v>No SMA</v>
      </c>
    </row>
    <row r="871" spans="1:14" x14ac:dyDescent="0.25">
      <c r="A871" s="12" t="s">
        <v>3710</v>
      </c>
      <c r="B871" s="12" t="s">
        <v>4306</v>
      </c>
      <c r="C871" s="12" t="s">
        <v>4851</v>
      </c>
      <c r="D871" t="s">
        <v>59</v>
      </c>
      <c r="E871" s="12" t="s">
        <v>3179</v>
      </c>
      <c r="F871" s="12" t="s">
        <v>1091</v>
      </c>
      <c r="G871" s="12" t="s">
        <v>5120</v>
      </c>
      <c r="H871" s="12" t="s">
        <v>4306</v>
      </c>
      <c r="I871" s="84">
        <v>2600115</v>
      </c>
      <c r="J871" s="12" t="s">
        <v>5102</v>
      </c>
      <c r="L871" s="12" t="str">
        <f>IF(OR(ISBLANK(tblSites[[#This Row],[Implementing Partner]]), tblSites[[#This Row],[Implementing Partner]]="-"), tblSites[[#This Row],[Site Agency]], tblSites[[#This Row],[Implementing Partner]])</f>
        <v>No SMA</v>
      </c>
      <c r="M871" s="12" t="s">
        <v>55</v>
      </c>
      <c r="N871" s="12" t="str">
        <f>tblSites[[#This Row],[FinalImplementingPartner]]</f>
        <v>No SMA</v>
      </c>
    </row>
    <row r="872" spans="1:14" x14ac:dyDescent="0.25">
      <c r="A872" s="12" t="s">
        <v>3711</v>
      </c>
      <c r="B872" s="12" t="s">
        <v>4307</v>
      </c>
      <c r="C872" s="12" t="s">
        <v>4852</v>
      </c>
      <c r="D872" t="s">
        <v>59</v>
      </c>
      <c r="E872" s="12" t="s">
        <v>3179</v>
      </c>
      <c r="F872" s="12" t="s">
        <v>87</v>
      </c>
      <c r="G872" s="12" t="s">
        <v>5136</v>
      </c>
      <c r="H872" s="12" t="s">
        <v>4307</v>
      </c>
      <c r="I872" s="84">
        <v>2600114</v>
      </c>
      <c r="J872" s="12" t="s">
        <v>5102</v>
      </c>
      <c r="L872" s="12" t="str">
        <f>IF(OR(ISBLANK(tblSites[[#This Row],[Implementing Partner]]), tblSites[[#This Row],[Implementing Partner]]="-"), tblSites[[#This Row],[Site Agency]], tblSites[[#This Row],[Implementing Partner]])</f>
        <v>No SMA</v>
      </c>
      <c r="M872" s="12" t="s">
        <v>55</v>
      </c>
      <c r="N872" s="12" t="str">
        <f>tblSites[[#This Row],[FinalImplementingPartner]]</f>
        <v>No SMA</v>
      </c>
    </row>
    <row r="873" spans="1:14" x14ac:dyDescent="0.25">
      <c r="A873" s="12" t="s">
        <v>3712</v>
      </c>
      <c r="B873" s="12" t="s">
        <v>4308</v>
      </c>
      <c r="C873" s="12" t="s">
        <v>4853</v>
      </c>
      <c r="D873" t="s">
        <v>59</v>
      </c>
      <c r="E873" s="12" t="s">
        <v>3179</v>
      </c>
      <c r="F873" s="12" t="s">
        <v>60</v>
      </c>
      <c r="G873" s="12" t="s">
        <v>5119</v>
      </c>
      <c r="H873" s="12" t="s">
        <v>4308</v>
      </c>
      <c r="I873" s="84">
        <v>2600119</v>
      </c>
      <c r="J873" s="12" t="s">
        <v>5102</v>
      </c>
      <c r="K873" s="12" t="s">
        <v>389</v>
      </c>
      <c r="L873" s="12" t="str">
        <f>IF(OR(ISBLANK(tblSites[[#This Row],[Implementing Partner]]), tblSites[[#This Row],[Implementing Partner]]="-"), tblSites[[#This Row],[Site Agency]], tblSites[[#This Row],[Implementing Partner]])</f>
        <v>No SMA</v>
      </c>
      <c r="M873" s="12" t="s">
        <v>55</v>
      </c>
      <c r="N873" s="12" t="str">
        <f>tblSites[[#This Row],[FinalImplementingPartner]]</f>
        <v>No SMA</v>
      </c>
    </row>
    <row r="874" spans="1:14" x14ac:dyDescent="0.25">
      <c r="A874" s="12" t="s">
        <v>3713</v>
      </c>
      <c r="B874" s="12" t="s">
        <v>4309</v>
      </c>
      <c r="C874" s="12" t="s">
        <v>4854</v>
      </c>
      <c r="D874" t="s">
        <v>59</v>
      </c>
      <c r="E874" s="12" t="s">
        <v>3179</v>
      </c>
      <c r="F874" s="12" t="s">
        <v>87</v>
      </c>
      <c r="G874" s="12" t="s">
        <v>5136</v>
      </c>
      <c r="H874" s="12" t="s">
        <v>4309</v>
      </c>
      <c r="I874" s="84">
        <v>2600114</v>
      </c>
      <c r="J874" s="12" t="s">
        <v>5102</v>
      </c>
      <c r="L874" s="12" t="str">
        <f>IF(OR(ISBLANK(tblSites[[#This Row],[Implementing Partner]]), tblSites[[#This Row],[Implementing Partner]]="-"), tblSites[[#This Row],[Site Agency]], tblSites[[#This Row],[Implementing Partner]])</f>
        <v>No SMA</v>
      </c>
      <c r="M874" s="12" t="s">
        <v>55</v>
      </c>
      <c r="N874" s="12" t="str">
        <f>tblSites[[#This Row],[FinalImplementingPartner]]</f>
        <v>No SMA</v>
      </c>
    </row>
    <row r="875" spans="1:14" x14ac:dyDescent="0.25">
      <c r="A875" s="12" t="s">
        <v>3714</v>
      </c>
      <c r="B875" s="12" t="s">
        <v>4310</v>
      </c>
      <c r="C875" s="12" t="s">
        <v>4855</v>
      </c>
      <c r="D875" t="s">
        <v>59</v>
      </c>
      <c r="E875" s="12" t="s">
        <v>3179</v>
      </c>
      <c r="F875" s="12" t="s">
        <v>87</v>
      </c>
      <c r="G875" s="12" t="s">
        <v>5136</v>
      </c>
      <c r="H875" s="12" t="s">
        <v>4310</v>
      </c>
      <c r="I875" s="84">
        <v>2600114</v>
      </c>
      <c r="J875" s="12" t="s">
        <v>5102</v>
      </c>
      <c r="K875" s="12" t="s">
        <v>389</v>
      </c>
      <c r="L875" s="12" t="str">
        <f>IF(OR(ISBLANK(tblSites[[#This Row],[Implementing Partner]]), tblSites[[#This Row],[Implementing Partner]]="-"), tblSites[[#This Row],[Site Agency]], tblSites[[#This Row],[Implementing Partner]])</f>
        <v>No SMA</v>
      </c>
      <c r="M875" s="12" t="s">
        <v>55</v>
      </c>
      <c r="N875" s="12" t="str">
        <f>tblSites[[#This Row],[FinalImplementingPartner]]</f>
        <v>No SMA</v>
      </c>
    </row>
    <row r="876" spans="1:14" x14ac:dyDescent="0.25">
      <c r="A876" s="12" t="s">
        <v>3715</v>
      </c>
      <c r="B876" s="12" t="s">
        <v>4311</v>
      </c>
      <c r="C876" s="12" t="s">
        <v>4856</v>
      </c>
      <c r="D876" t="s">
        <v>59</v>
      </c>
      <c r="E876" s="12" t="s">
        <v>3179</v>
      </c>
      <c r="F876" s="12" t="s">
        <v>1091</v>
      </c>
      <c r="G876" s="12" t="s">
        <v>5120</v>
      </c>
      <c r="H876" s="12" t="s">
        <v>4311</v>
      </c>
      <c r="I876" s="84">
        <v>2600115</v>
      </c>
      <c r="J876" s="12" t="s">
        <v>5102</v>
      </c>
      <c r="K876" s="12" t="s">
        <v>389</v>
      </c>
      <c r="L876" s="12" t="str">
        <f>IF(OR(ISBLANK(tblSites[[#This Row],[Implementing Partner]]), tblSites[[#This Row],[Implementing Partner]]="-"), tblSites[[#This Row],[Site Agency]], tblSites[[#This Row],[Implementing Partner]])</f>
        <v>No SMA</v>
      </c>
      <c r="M876" s="12" t="s">
        <v>55</v>
      </c>
      <c r="N876" s="12" t="str">
        <f>tblSites[[#This Row],[FinalImplementingPartner]]</f>
        <v>No SMA</v>
      </c>
    </row>
    <row r="877" spans="1:14" x14ac:dyDescent="0.25">
      <c r="A877" s="12" t="s">
        <v>3716</v>
      </c>
      <c r="B877" s="12" t="s">
        <v>4312</v>
      </c>
      <c r="C877" s="12" t="s">
        <v>4857</v>
      </c>
      <c r="D877" t="s">
        <v>59</v>
      </c>
      <c r="E877" s="12" t="s">
        <v>3179</v>
      </c>
      <c r="F877" s="12" t="s">
        <v>60</v>
      </c>
      <c r="G877" s="12" t="s">
        <v>5119</v>
      </c>
      <c r="H877" s="12" t="s">
        <v>4312</v>
      </c>
      <c r="I877" s="84">
        <v>2600119</v>
      </c>
      <c r="J877" s="12" t="s">
        <v>5102</v>
      </c>
      <c r="K877" s="12" t="s">
        <v>389</v>
      </c>
      <c r="L877" s="12" t="str">
        <f>IF(OR(ISBLANK(tblSites[[#This Row],[Implementing Partner]]), tblSites[[#This Row],[Implementing Partner]]="-"), tblSites[[#This Row],[Site Agency]], tblSites[[#This Row],[Implementing Partner]])</f>
        <v>No SMA</v>
      </c>
      <c r="M877" s="12" t="s">
        <v>55</v>
      </c>
      <c r="N877" s="12" t="str">
        <f>tblSites[[#This Row],[FinalImplementingPartner]]</f>
        <v>No SMA</v>
      </c>
    </row>
    <row r="878" spans="1:14" x14ac:dyDescent="0.25">
      <c r="A878" s="12" t="s">
        <v>3717</v>
      </c>
      <c r="B878" s="12" t="s">
        <v>4313</v>
      </c>
      <c r="C878" s="12" t="s">
        <v>4858</v>
      </c>
      <c r="D878" t="s">
        <v>59</v>
      </c>
      <c r="E878" s="12" t="s">
        <v>3179</v>
      </c>
      <c r="F878" s="12" t="s">
        <v>1091</v>
      </c>
      <c r="G878" s="12" t="s">
        <v>5120</v>
      </c>
      <c r="H878" s="12" t="s">
        <v>4313</v>
      </c>
      <c r="I878" s="84">
        <v>2600115</v>
      </c>
      <c r="J878" s="12" t="s">
        <v>5102</v>
      </c>
      <c r="K878" s="12" t="s">
        <v>389</v>
      </c>
      <c r="L878" s="12" t="str">
        <f>IF(OR(ISBLANK(tblSites[[#This Row],[Implementing Partner]]), tblSites[[#This Row],[Implementing Partner]]="-"), tblSites[[#This Row],[Site Agency]], tblSites[[#This Row],[Implementing Partner]])</f>
        <v>No SMA</v>
      </c>
      <c r="M878" s="12" t="s">
        <v>55</v>
      </c>
      <c r="N878" s="12" t="str">
        <f>tblSites[[#This Row],[FinalImplementingPartner]]</f>
        <v>No SMA</v>
      </c>
    </row>
    <row r="879" spans="1:14" x14ac:dyDescent="0.25">
      <c r="A879" s="12" t="s">
        <v>3718</v>
      </c>
      <c r="B879" s="12" t="s">
        <v>4314</v>
      </c>
      <c r="C879" s="12" t="s">
        <v>4859</v>
      </c>
      <c r="D879" t="s">
        <v>59</v>
      </c>
      <c r="E879" s="12" t="s">
        <v>3179</v>
      </c>
      <c r="F879" s="12" t="s">
        <v>60</v>
      </c>
      <c r="G879" s="12" t="s">
        <v>5115</v>
      </c>
      <c r="H879" s="12" t="s">
        <v>4314</v>
      </c>
      <c r="I879" s="84">
        <v>2600119</v>
      </c>
      <c r="J879" s="12" t="s">
        <v>662</v>
      </c>
      <c r="K879" s="12" t="s">
        <v>389</v>
      </c>
      <c r="L879" s="12" t="str">
        <f>IF(OR(ISBLANK(tblSites[[#This Row],[Implementing Partner]]), tblSites[[#This Row],[Implementing Partner]]="-"), tblSites[[#This Row],[Site Agency]], tblSites[[#This Row],[Implementing Partner]])</f>
        <v>PARC</v>
      </c>
      <c r="M879" s="12" t="s">
        <v>55</v>
      </c>
      <c r="N879" s="12" t="str">
        <f>tblSites[[#This Row],[FinalImplementingPartner]]</f>
        <v>PARC</v>
      </c>
    </row>
    <row r="880" spans="1:14" x14ac:dyDescent="0.25">
      <c r="A880" s="12" t="s">
        <v>3719</v>
      </c>
      <c r="B880" s="12" t="s">
        <v>4315</v>
      </c>
      <c r="C880" s="12" t="s">
        <v>666</v>
      </c>
      <c r="D880" t="s">
        <v>59</v>
      </c>
      <c r="E880" s="12" t="s">
        <v>3179</v>
      </c>
      <c r="F880" s="12" t="s">
        <v>324</v>
      </c>
      <c r="G880" s="12" t="s">
        <v>5118</v>
      </c>
      <c r="H880" s="12" t="s">
        <v>4315</v>
      </c>
      <c r="I880" s="84">
        <v>2600120</v>
      </c>
      <c r="J880" s="12" t="s">
        <v>5102</v>
      </c>
      <c r="K880" s="12" t="s">
        <v>389</v>
      </c>
      <c r="L880" s="12" t="str">
        <f>IF(OR(ISBLANK(tblSites[[#This Row],[Implementing Partner]]), tblSites[[#This Row],[Implementing Partner]]="-"), tblSites[[#This Row],[Site Agency]], tblSites[[#This Row],[Implementing Partner]])</f>
        <v>No SMA</v>
      </c>
      <c r="M880" s="12" t="s">
        <v>55</v>
      </c>
      <c r="N880" s="12" t="str">
        <f>tblSites[[#This Row],[FinalImplementingPartner]]</f>
        <v>No SMA</v>
      </c>
    </row>
    <row r="881" spans="1:14" x14ac:dyDescent="0.25">
      <c r="A881" s="12" t="s">
        <v>3720</v>
      </c>
      <c r="B881" s="12" t="s">
        <v>4316</v>
      </c>
      <c r="C881" s="12" t="s">
        <v>4860</v>
      </c>
      <c r="D881" t="s">
        <v>59</v>
      </c>
      <c r="E881" s="12" t="s">
        <v>3179</v>
      </c>
      <c r="F881" s="12" t="s">
        <v>114</v>
      </c>
      <c r="G881" s="12" t="s">
        <v>5122</v>
      </c>
      <c r="H881" s="12" t="s">
        <v>4316</v>
      </c>
      <c r="I881" s="84">
        <v>2600123</v>
      </c>
      <c r="J881" s="12" t="s">
        <v>5102</v>
      </c>
      <c r="K881" s="12" t="s">
        <v>389</v>
      </c>
      <c r="L881" s="12" t="str">
        <f>IF(OR(ISBLANK(tblSites[[#This Row],[Implementing Partner]]), tblSites[[#This Row],[Implementing Partner]]="-"), tblSites[[#This Row],[Site Agency]], tblSites[[#This Row],[Implementing Partner]])</f>
        <v>No SMA</v>
      </c>
      <c r="M881" s="12" t="s">
        <v>55</v>
      </c>
      <c r="N881" s="12" t="str">
        <f>tblSites[[#This Row],[FinalImplementingPartner]]</f>
        <v>No SMA</v>
      </c>
    </row>
    <row r="882" spans="1:14" x14ac:dyDescent="0.25">
      <c r="A882" s="12" t="s">
        <v>3721</v>
      </c>
      <c r="B882" s="12" t="s">
        <v>4317</v>
      </c>
      <c r="C882" s="12" t="s">
        <v>4861</v>
      </c>
      <c r="D882" t="s">
        <v>59</v>
      </c>
      <c r="E882" s="12" t="s">
        <v>3179</v>
      </c>
      <c r="F882" s="12" t="s">
        <v>1091</v>
      </c>
      <c r="G882" s="12" t="s">
        <v>5120</v>
      </c>
      <c r="H882" s="12" t="s">
        <v>4317</v>
      </c>
      <c r="I882" s="84">
        <v>2600115</v>
      </c>
      <c r="J882" s="12" t="s">
        <v>5102</v>
      </c>
      <c r="K882" s="12" t="s">
        <v>389</v>
      </c>
      <c r="L882" s="12" t="str">
        <f>IF(OR(ISBLANK(tblSites[[#This Row],[Implementing Partner]]), tblSites[[#This Row],[Implementing Partner]]="-"), tblSites[[#This Row],[Site Agency]], tblSites[[#This Row],[Implementing Partner]])</f>
        <v>No SMA</v>
      </c>
      <c r="M882" s="12" t="s">
        <v>55</v>
      </c>
      <c r="N882" s="12" t="str">
        <f>tblSites[[#This Row],[FinalImplementingPartner]]</f>
        <v>No SMA</v>
      </c>
    </row>
    <row r="883" spans="1:14" x14ac:dyDescent="0.25">
      <c r="A883" s="47" t="s">
        <v>3722</v>
      </c>
      <c r="B883" s="12" t="s">
        <v>4318</v>
      </c>
      <c r="C883" s="12" t="s">
        <v>4862</v>
      </c>
      <c r="D883" t="s">
        <v>59</v>
      </c>
      <c r="E883" s="12" t="s">
        <v>3179</v>
      </c>
      <c r="F883" s="47" t="s">
        <v>397</v>
      </c>
      <c r="G883" s="12" t="s">
        <v>5105</v>
      </c>
      <c r="H883" s="12" t="s">
        <v>4318</v>
      </c>
      <c r="I883" s="84">
        <v>2600124</v>
      </c>
      <c r="J883" s="12" t="s">
        <v>5102</v>
      </c>
      <c r="K883" s="12" t="s">
        <v>389</v>
      </c>
      <c r="L883" s="12" t="str">
        <f>IF(OR(ISBLANK(tblSites[[#This Row],[Implementing Partner]]), tblSites[[#This Row],[Implementing Partner]]="-"), tblSites[[#This Row],[Site Agency]], tblSites[[#This Row],[Implementing Partner]])</f>
        <v>No SMA</v>
      </c>
      <c r="M883" s="12" t="s">
        <v>55</v>
      </c>
      <c r="N883" s="12" t="str">
        <f>tblSites[[#This Row],[FinalImplementingPartner]]</f>
        <v>No SMA</v>
      </c>
    </row>
    <row r="884" spans="1:14" x14ac:dyDescent="0.25">
      <c r="A884" s="12" t="s">
        <v>3723</v>
      </c>
      <c r="B884" s="12" t="s">
        <v>4319</v>
      </c>
      <c r="C884" s="12" t="s">
        <v>4863</v>
      </c>
      <c r="D884" t="s">
        <v>59</v>
      </c>
      <c r="E884" s="12" t="s">
        <v>3179</v>
      </c>
      <c r="F884" s="12" t="s">
        <v>1091</v>
      </c>
      <c r="G884" s="12" t="s">
        <v>5120</v>
      </c>
      <c r="H884" s="12" t="s">
        <v>4319</v>
      </c>
      <c r="I884" s="84">
        <v>2600115</v>
      </c>
      <c r="J884" s="12" t="s">
        <v>5102</v>
      </c>
      <c r="K884" s="12" t="s">
        <v>389</v>
      </c>
      <c r="L884" s="12" t="str">
        <f>IF(OR(ISBLANK(tblSites[[#This Row],[Implementing Partner]]), tblSites[[#This Row],[Implementing Partner]]="-"), tblSites[[#This Row],[Site Agency]], tblSites[[#This Row],[Implementing Partner]])</f>
        <v>No SMA</v>
      </c>
      <c r="M884" s="12" t="s">
        <v>55</v>
      </c>
      <c r="N884" s="12" t="str">
        <f>tblSites[[#This Row],[FinalImplementingPartner]]</f>
        <v>No SMA</v>
      </c>
    </row>
    <row r="885" spans="1:14" x14ac:dyDescent="0.25">
      <c r="A885" s="12" t="s">
        <v>3724</v>
      </c>
      <c r="B885" s="12" t="s">
        <v>4320</v>
      </c>
      <c r="C885" s="12" t="s">
        <v>4864</v>
      </c>
      <c r="D885" t="s">
        <v>59</v>
      </c>
      <c r="E885" s="12" t="s">
        <v>3179</v>
      </c>
      <c r="F885" s="12" t="s">
        <v>1091</v>
      </c>
      <c r="G885" s="12" t="s">
        <v>5120</v>
      </c>
      <c r="H885" s="12" t="s">
        <v>4320</v>
      </c>
      <c r="I885" s="84">
        <v>2600115</v>
      </c>
      <c r="J885" s="12" t="s">
        <v>5102</v>
      </c>
      <c r="L885" s="12" t="str">
        <f>IF(OR(ISBLANK(tblSites[[#This Row],[Implementing Partner]]), tblSites[[#This Row],[Implementing Partner]]="-"), tblSites[[#This Row],[Site Agency]], tblSites[[#This Row],[Implementing Partner]])</f>
        <v>No SMA</v>
      </c>
      <c r="M885" s="12" t="s">
        <v>55</v>
      </c>
      <c r="N885" s="12" t="str">
        <f>tblSites[[#This Row],[FinalImplementingPartner]]</f>
        <v>No SMA</v>
      </c>
    </row>
    <row r="886" spans="1:14" x14ac:dyDescent="0.25">
      <c r="A886" s="12" t="s">
        <v>3725</v>
      </c>
      <c r="B886" s="12" t="s">
        <v>1672</v>
      </c>
      <c r="C886" s="12" t="s">
        <v>4865</v>
      </c>
      <c r="D886" t="s">
        <v>59</v>
      </c>
      <c r="E886" s="12" t="s">
        <v>3179</v>
      </c>
      <c r="F886" s="12" t="s">
        <v>1091</v>
      </c>
      <c r="G886" s="12" t="s">
        <v>5120</v>
      </c>
      <c r="H886" s="12" t="s">
        <v>1672</v>
      </c>
      <c r="I886" s="84">
        <v>2600115</v>
      </c>
      <c r="J886" s="12" t="s">
        <v>5102</v>
      </c>
      <c r="K886" s="12" t="s">
        <v>389</v>
      </c>
      <c r="L886" s="12" t="str">
        <f>IF(OR(ISBLANK(tblSites[[#This Row],[Implementing Partner]]), tblSites[[#This Row],[Implementing Partner]]="-"), tblSites[[#This Row],[Site Agency]], tblSites[[#This Row],[Implementing Partner]])</f>
        <v>No SMA</v>
      </c>
      <c r="M886" s="12" t="s">
        <v>55</v>
      </c>
      <c r="N886" s="12" t="str">
        <f>tblSites[[#This Row],[FinalImplementingPartner]]</f>
        <v>No SMA</v>
      </c>
    </row>
    <row r="887" spans="1:14" x14ac:dyDescent="0.25">
      <c r="A887" s="12" t="s">
        <v>3726</v>
      </c>
      <c r="B887" s="12" t="s">
        <v>4321</v>
      </c>
      <c r="C887" s="12" t="s">
        <v>1715</v>
      </c>
      <c r="D887" t="s">
        <v>59</v>
      </c>
      <c r="E887" s="12" t="s">
        <v>3179</v>
      </c>
      <c r="F887" s="12" t="s">
        <v>60</v>
      </c>
      <c r="G887" s="12" t="s">
        <v>5119</v>
      </c>
      <c r="H887" s="12" t="s">
        <v>4321</v>
      </c>
      <c r="I887" s="84">
        <v>2600119</v>
      </c>
      <c r="J887" s="12" t="s">
        <v>5102</v>
      </c>
      <c r="L887" s="12" t="str">
        <f>IF(OR(ISBLANK(tblSites[[#This Row],[Implementing Partner]]), tblSites[[#This Row],[Implementing Partner]]="-"), tblSites[[#This Row],[Site Agency]], tblSites[[#This Row],[Implementing Partner]])</f>
        <v>No SMA</v>
      </c>
      <c r="M887" s="12" t="s">
        <v>55</v>
      </c>
      <c r="N887" s="12" t="str">
        <f>tblSites[[#This Row],[FinalImplementingPartner]]</f>
        <v>No SMA</v>
      </c>
    </row>
    <row r="888" spans="1:14" x14ac:dyDescent="0.25">
      <c r="A888" s="12" t="s">
        <v>3727</v>
      </c>
      <c r="B888" s="12" t="s">
        <v>4322</v>
      </c>
      <c r="C888" s="12" t="s">
        <v>4866</v>
      </c>
      <c r="D888" t="s">
        <v>59</v>
      </c>
      <c r="E888" s="12" t="s">
        <v>3179</v>
      </c>
      <c r="F888" s="12" t="s">
        <v>114</v>
      </c>
      <c r="G888" s="12" t="s">
        <v>5122</v>
      </c>
      <c r="H888" s="12" t="s">
        <v>4322</v>
      </c>
      <c r="I888" s="84">
        <v>2600123</v>
      </c>
      <c r="J888" s="12" t="s">
        <v>5102</v>
      </c>
      <c r="K888" s="12" t="s">
        <v>389</v>
      </c>
      <c r="L888" s="12" t="str">
        <f>IF(OR(ISBLANK(tblSites[[#This Row],[Implementing Partner]]), tblSites[[#This Row],[Implementing Partner]]="-"), tblSites[[#This Row],[Site Agency]], tblSites[[#This Row],[Implementing Partner]])</f>
        <v>No SMA</v>
      </c>
      <c r="M888" s="12" t="s">
        <v>55</v>
      </c>
      <c r="N888" s="12" t="str">
        <f>tblSites[[#This Row],[FinalImplementingPartner]]</f>
        <v>No SMA</v>
      </c>
    </row>
    <row r="889" spans="1:14" x14ac:dyDescent="0.25">
      <c r="A889" s="12" t="s">
        <v>3728</v>
      </c>
      <c r="B889" s="12" t="s">
        <v>4323</v>
      </c>
      <c r="C889" s="12" t="s">
        <v>4867</v>
      </c>
      <c r="D889" t="s">
        <v>59</v>
      </c>
      <c r="E889" s="12" t="s">
        <v>3179</v>
      </c>
      <c r="F889" s="12" t="s">
        <v>60</v>
      </c>
      <c r="G889" s="12" t="s">
        <v>5119</v>
      </c>
      <c r="H889" s="12" t="s">
        <v>4323</v>
      </c>
      <c r="I889" s="84">
        <v>2600119</v>
      </c>
      <c r="J889" s="12" t="s">
        <v>5102</v>
      </c>
      <c r="K889" s="12" t="s">
        <v>389</v>
      </c>
      <c r="L889" s="12" t="str">
        <f>IF(OR(ISBLANK(tblSites[[#This Row],[Implementing Partner]]), tblSites[[#This Row],[Implementing Partner]]="-"), tblSites[[#This Row],[Site Agency]], tblSites[[#This Row],[Implementing Partner]])</f>
        <v>No SMA</v>
      </c>
      <c r="M889" s="12" t="s">
        <v>55</v>
      </c>
      <c r="N889" s="12" t="str">
        <f>tblSites[[#This Row],[FinalImplementingPartner]]</f>
        <v>No SMA</v>
      </c>
    </row>
    <row r="890" spans="1:14" x14ac:dyDescent="0.25">
      <c r="A890" s="12" t="s">
        <v>3729</v>
      </c>
      <c r="B890" s="12" t="s">
        <v>4324</v>
      </c>
      <c r="C890" s="12" t="s">
        <v>4868</v>
      </c>
      <c r="D890" t="s">
        <v>59</v>
      </c>
      <c r="E890" s="12" t="s">
        <v>3179</v>
      </c>
      <c r="F890" s="12" t="s">
        <v>60</v>
      </c>
      <c r="G890" s="12" t="s">
        <v>5119</v>
      </c>
      <c r="H890" s="12" t="s">
        <v>4324</v>
      </c>
      <c r="I890" s="84">
        <v>2600119</v>
      </c>
      <c r="J890" s="12" t="s">
        <v>5102</v>
      </c>
      <c r="K890" s="12" t="s">
        <v>389</v>
      </c>
      <c r="L890" s="12" t="str">
        <f>IF(OR(ISBLANK(tblSites[[#This Row],[Implementing Partner]]), tblSites[[#This Row],[Implementing Partner]]="-"), tblSites[[#This Row],[Site Agency]], tblSites[[#This Row],[Implementing Partner]])</f>
        <v>No SMA</v>
      </c>
      <c r="M890" s="12" t="s">
        <v>55</v>
      </c>
      <c r="N890" s="12" t="str">
        <f>tblSites[[#This Row],[FinalImplementingPartner]]</f>
        <v>No SMA</v>
      </c>
    </row>
    <row r="891" spans="1:14" x14ac:dyDescent="0.25">
      <c r="A891" s="12" t="s">
        <v>3730</v>
      </c>
      <c r="B891" s="12" t="s">
        <v>4325</v>
      </c>
      <c r="C891" s="12" t="s">
        <v>4869</v>
      </c>
      <c r="D891" t="s">
        <v>59</v>
      </c>
      <c r="E891" s="12" t="s">
        <v>3179</v>
      </c>
      <c r="F891" s="12" t="s">
        <v>1091</v>
      </c>
      <c r="G891" s="12" t="s">
        <v>5120</v>
      </c>
      <c r="H891" s="12" t="s">
        <v>4325</v>
      </c>
      <c r="I891" s="84">
        <v>2600115</v>
      </c>
      <c r="J891" s="12" t="s">
        <v>5102</v>
      </c>
      <c r="K891" s="12" t="s">
        <v>389</v>
      </c>
      <c r="L891" s="12" t="str">
        <f>IF(OR(ISBLANK(tblSites[[#This Row],[Implementing Partner]]), tblSites[[#This Row],[Implementing Partner]]="-"), tblSites[[#This Row],[Site Agency]], tblSites[[#This Row],[Implementing Partner]])</f>
        <v>No SMA</v>
      </c>
      <c r="M891" s="12" t="s">
        <v>55</v>
      </c>
      <c r="N891" s="12" t="str">
        <f>tblSites[[#This Row],[FinalImplementingPartner]]</f>
        <v>No SMA</v>
      </c>
    </row>
    <row r="892" spans="1:14" x14ac:dyDescent="0.25">
      <c r="A892" s="12" t="s">
        <v>3731</v>
      </c>
      <c r="B892" s="12" t="s">
        <v>4326</v>
      </c>
      <c r="C892" s="12" t="s">
        <v>4870</v>
      </c>
      <c r="D892" t="s">
        <v>59</v>
      </c>
      <c r="E892" s="12" t="s">
        <v>3179</v>
      </c>
      <c r="F892" s="12" t="s">
        <v>1091</v>
      </c>
      <c r="G892" s="12" t="s">
        <v>5120</v>
      </c>
      <c r="H892" s="12" t="s">
        <v>4326</v>
      </c>
      <c r="I892" s="84">
        <v>2600115</v>
      </c>
      <c r="J892" s="12" t="s">
        <v>5102</v>
      </c>
      <c r="K892" s="12" t="s">
        <v>389</v>
      </c>
      <c r="L892" s="12" t="str">
        <f>IF(OR(ISBLANK(tblSites[[#This Row],[Implementing Partner]]), tblSites[[#This Row],[Implementing Partner]]="-"), tblSites[[#This Row],[Site Agency]], tblSites[[#This Row],[Implementing Partner]])</f>
        <v>No SMA</v>
      </c>
      <c r="M892" s="12" t="s">
        <v>55</v>
      </c>
      <c r="N892" s="12" t="str">
        <f>tblSites[[#This Row],[FinalImplementingPartner]]</f>
        <v>No SMA</v>
      </c>
    </row>
    <row r="893" spans="1:14" x14ac:dyDescent="0.25">
      <c r="A893" s="12" t="s">
        <v>3732</v>
      </c>
      <c r="B893" s="12" t="s">
        <v>1065</v>
      </c>
      <c r="C893" s="12" t="s">
        <v>1269</v>
      </c>
      <c r="D893" t="s">
        <v>59</v>
      </c>
      <c r="E893" s="12" t="s">
        <v>3179</v>
      </c>
      <c r="F893" s="12" t="s">
        <v>114</v>
      </c>
      <c r="G893" s="12" t="s">
        <v>5122</v>
      </c>
      <c r="H893" s="12" t="s">
        <v>1065</v>
      </c>
      <c r="I893" s="84">
        <v>2600123</v>
      </c>
      <c r="J893" s="12" t="s">
        <v>5102</v>
      </c>
      <c r="K893" s="12" t="s">
        <v>389</v>
      </c>
      <c r="L893" s="12" t="str">
        <f>IF(OR(ISBLANK(tblSites[[#This Row],[Implementing Partner]]), tblSites[[#This Row],[Implementing Partner]]="-"), tblSites[[#This Row],[Site Agency]], tblSites[[#This Row],[Implementing Partner]])</f>
        <v>No SMA</v>
      </c>
      <c r="M893" s="12" t="s">
        <v>55</v>
      </c>
      <c r="N893" s="12" t="str">
        <f>tblSites[[#This Row],[FinalImplementingPartner]]</f>
        <v>No SMA</v>
      </c>
    </row>
    <row r="894" spans="1:14" x14ac:dyDescent="0.25">
      <c r="A894" s="12" t="s">
        <v>3733</v>
      </c>
      <c r="B894" s="12" t="s">
        <v>4040</v>
      </c>
      <c r="C894" s="12" t="s">
        <v>4628</v>
      </c>
      <c r="D894" t="s">
        <v>59</v>
      </c>
      <c r="E894" s="12" t="s">
        <v>3179</v>
      </c>
      <c r="F894" s="12" t="s">
        <v>60</v>
      </c>
      <c r="G894" s="12" t="s">
        <v>5119</v>
      </c>
      <c r="H894" s="12" t="s">
        <v>4040</v>
      </c>
      <c r="I894" s="84">
        <v>2600119</v>
      </c>
      <c r="J894" s="12" t="s">
        <v>5102</v>
      </c>
      <c r="K894" s="12" t="s">
        <v>389</v>
      </c>
      <c r="L894" s="12" t="str">
        <f>IF(OR(ISBLANK(tblSites[[#This Row],[Implementing Partner]]), tblSites[[#This Row],[Implementing Partner]]="-"), tblSites[[#This Row],[Site Agency]], tblSites[[#This Row],[Implementing Partner]])</f>
        <v>No SMA</v>
      </c>
      <c r="M894" s="12" t="s">
        <v>55</v>
      </c>
      <c r="N894" s="12" t="str">
        <f>tblSites[[#This Row],[FinalImplementingPartner]]</f>
        <v>No SMA</v>
      </c>
    </row>
    <row r="895" spans="1:14" x14ac:dyDescent="0.25">
      <c r="A895" s="12" t="s">
        <v>3734</v>
      </c>
      <c r="B895" s="12" t="s">
        <v>4327</v>
      </c>
      <c r="C895" s="12" t="s">
        <v>4871</v>
      </c>
      <c r="D895" t="s">
        <v>59</v>
      </c>
      <c r="E895" s="12" t="s">
        <v>3179</v>
      </c>
      <c r="F895" s="12" t="s">
        <v>60</v>
      </c>
      <c r="G895" s="12" t="s">
        <v>5119</v>
      </c>
      <c r="H895" s="12" t="s">
        <v>4327</v>
      </c>
      <c r="I895" s="84">
        <v>2600119</v>
      </c>
      <c r="J895" s="12" t="s">
        <v>5102</v>
      </c>
      <c r="K895" s="12" t="s">
        <v>389</v>
      </c>
      <c r="L895" s="12" t="str">
        <f>IF(OR(ISBLANK(tblSites[[#This Row],[Implementing Partner]]), tblSites[[#This Row],[Implementing Partner]]="-"), tblSites[[#This Row],[Site Agency]], tblSites[[#This Row],[Implementing Partner]])</f>
        <v>No SMA</v>
      </c>
      <c r="M895" s="12" t="s">
        <v>55</v>
      </c>
      <c r="N895" s="12" t="str">
        <f>tblSites[[#This Row],[FinalImplementingPartner]]</f>
        <v>No SMA</v>
      </c>
    </row>
    <row r="896" spans="1:14" x14ac:dyDescent="0.25">
      <c r="A896" s="12" t="s">
        <v>3735</v>
      </c>
      <c r="B896" s="12" t="s">
        <v>4328</v>
      </c>
      <c r="C896" s="12" t="s">
        <v>4850</v>
      </c>
      <c r="D896" t="s">
        <v>59</v>
      </c>
      <c r="E896" s="12" t="s">
        <v>3179</v>
      </c>
      <c r="F896" s="12" t="s">
        <v>1091</v>
      </c>
      <c r="G896" s="12" t="s">
        <v>5120</v>
      </c>
      <c r="H896" s="12" t="s">
        <v>4328</v>
      </c>
      <c r="I896" s="84">
        <v>2600115</v>
      </c>
      <c r="J896" s="12" t="s">
        <v>5102</v>
      </c>
      <c r="K896" s="12" t="s">
        <v>389</v>
      </c>
      <c r="L896" s="12" t="str">
        <f>IF(OR(ISBLANK(tblSites[[#This Row],[Implementing Partner]]), tblSites[[#This Row],[Implementing Partner]]="-"), tblSites[[#This Row],[Site Agency]], tblSites[[#This Row],[Implementing Partner]])</f>
        <v>No SMA</v>
      </c>
      <c r="M896" s="12" t="s">
        <v>55</v>
      </c>
      <c r="N896" s="12" t="str">
        <f>tblSites[[#This Row],[FinalImplementingPartner]]</f>
        <v>No SMA</v>
      </c>
    </row>
    <row r="897" spans="1:14" x14ac:dyDescent="0.25">
      <c r="A897" s="12" t="s">
        <v>3736</v>
      </c>
      <c r="B897" s="12" t="s">
        <v>4329</v>
      </c>
      <c r="C897" s="12" t="s">
        <v>4872</v>
      </c>
      <c r="D897" t="s">
        <v>59</v>
      </c>
      <c r="E897" s="12" t="s">
        <v>3179</v>
      </c>
      <c r="F897" s="12" t="s">
        <v>67</v>
      </c>
      <c r="G897" s="12" t="s">
        <v>5109</v>
      </c>
      <c r="H897" s="12" t="s">
        <v>4329</v>
      </c>
      <c r="I897" s="84">
        <v>2600118</v>
      </c>
      <c r="J897" s="12" t="s">
        <v>5102</v>
      </c>
      <c r="K897" s="12" t="s">
        <v>389</v>
      </c>
      <c r="L897" s="12" t="str">
        <f>IF(OR(ISBLANK(tblSites[[#This Row],[Implementing Partner]]), tblSites[[#This Row],[Implementing Partner]]="-"), tblSites[[#This Row],[Site Agency]], tblSites[[#This Row],[Implementing Partner]])</f>
        <v>No SMA</v>
      </c>
      <c r="M897" s="12" t="s">
        <v>55</v>
      </c>
      <c r="N897" s="12" t="str">
        <f>tblSites[[#This Row],[FinalImplementingPartner]]</f>
        <v>No SMA</v>
      </c>
    </row>
    <row r="898" spans="1:14" x14ac:dyDescent="0.25">
      <c r="A898" s="12" t="s">
        <v>3737</v>
      </c>
      <c r="B898" s="12" t="s">
        <v>4330</v>
      </c>
      <c r="C898" s="12" t="s">
        <v>1501</v>
      </c>
      <c r="D898" t="s">
        <v>59</v>
      </c>
      <c r="E898" s="12" t="s">
        <v>3179</v>
      </c>
      <c r="F898" s="12" t="s">
        <v>114</v>
      </c>
      <c r="G898" s="12" t="s">
        <v>5122</v>
      </c>
      <c r="H898" s="12" t="s">
        <v>4330</v>
      </c>
      <c r="I898" s="84">
        <v>2600123</v>
      </c>
      <c r="J898" s="12" t="s">
        <v>5102</v>
      </c>
      <c r="K898" s="12" t="s">
        <v>389</v>
      </c>
      <c r="L898" s="12" t="str">
        <f>IF(OR(ISBLANK(tblSites[[#This Row],[Implementing Partner]]), tblSites[[#This Row],[Implementing Partner]]="-"), tblSites[[#This Row],[Site Agency]], tblSites[[#This Row],[Implementing Partner]])</f>
        <v>No SMA</v>
      </c>
      <c r="M898" s="12" t="s">
        <v>55</v>
      </c>
      <c r="N898" s="12" t="str">
        <f>tblSites[[#This Row],[FinalImplementingPartner]]</f>
        <v>No SMA</v>
      </c>
    </row>
    <row r="899" spans="1:14" x14ac:dyDescent="0.25">
      <c r="A899" s="12" t="s">
        <v>3738</v>
      </c>
      <c r="B899" s="12" t="s">
        <v>4331</v>
      </c>
      <c r="C899" s="12" t="s">
        <v>1705</v>
      </c>
      <c r="D899" t="s">
        <v>59</v>
      </c>
      <c r="E899" s="12" t="s">
        <v>3179</v>
      </c>
      <c r="F899" s="12" t="s">
        <v>1091</v>
      </c>
      <c r="G899" s="12" t="s">
        <v>5120</v>
      </c>
      <c r="H899" s="12" t="s">
        <v>4331</v>
      </c>
      <c r="I899" s="84">
        <v>2600115</v>
      </c>
      <c r="J899" s="12" t="s">
        <v>5102</v>
      </c>
      <c r="K899" s="12" t="s">
        <v>389</v>
      </c>
      <c r="L899" s="12" t="str">
        <f>IF(OR(ISBLANK(tblSites[[#This Row],[Implementing Partner]]), tblSites[[#This Row],[Implementing Partner]]="-"), tblSites[[#This Row],[Site Agency]], tblSites[[#This Row],[Implementing Partner]])</f>
        <v>No SMA</v>
      </c>
      <c r="M899" s="12" t="s">
        <v>55</v>
      </c>
      <c r="N899" s="12" t="str">
        <f>tblSites[[#This Row],[FinalImplementingPartner]]</f>
        <v>No SMA</v>
      </c>
    </row>
    <row r="900" spans="1:14" x14ac:dyDescent="0.25">
      <c r="A900" s="12" t="s">
        <v>3739</v>
      </c>
      <c r="B900" s="12" t="s">
        <v>4332</v>
      </c>
      <c r="C900" s="12" t="s">
        <v>4873</v>
      </c>
      <c r="D900" t="s">
        <v>59</v>
      </c>
      <c r="E900" s="12" t="s">
        <v>3179</v>
      </c>
      <c r="F900" s="12" t="s">
        <v>324</v>
      </c>
      <c r="G900" s="12" t="s">
        <v>5118</v>
      </c>
      <c r="H900" s="12" t="s">
        <v>4332</v>
      </c>
      <c r="I900" s="84">
        <v>2600120</v>
      </c>
      <c r="J900" s="12" t="s">
        <v>5102</v>
      </c>
      <c r="K900" s="12" t="s">
        <v>389</v>
      </c>
      <c r="L900" s="12" t="str">
        <f>IF(OR(ISBLANK(tblSites[[#This Row],[Implementing Partner]]), tblSites[[#This Row],[Implementing Partner]]="-"), tblSites[[#This Row],[Site Agency]], tblSites[[#This Row],[Implementing Partner]])</f>
        <v>No SMA</v>
      </c>
      <c r="M900" s="12" t="s">
        <v>55</v>
      </c>
      <c r="N900" s="12" t="str">
        <f>tblSites[[#This Row],[FinalImplementingPartner]]</f>
        <v>No SMA</v>
      </c>
    </row>
    <row r="901" spans="1:14" x14ac:dyDescent="0.25">
      <c r="A901" s="12" t="s">
        <v>3740</v>
      </c>
      <c r="B901" s="12" t="s">
        <v>4333</v>
      </c>
      <c r="C901" s="12" t="s">
        <v>4874</v>
      </c>
      <c r="D901" t="s">
        <v>59</v>
      </c>
      <c r="E901" s="12" t="s">
        <v>3179</v>
      </c>
      <c r="F901" s="12" t="s">
        <v>114</v>
      </c>
      <c r="G901" s="12" t="s">
        <v>5122</v>
      </c>
      <c r="H901" s="12" t="s">
        <v>4333</v>
      </c>
      <c r="I901" s="84">
        <v>2600123</v>
      </c>
      <c r="J901" s="12" t="s">
        <v>5102</v>
      </c>
      <c r="K901" s="12" t="s">
        <v>389</v>
      </c>
      <c r="L901" s="12" t="str">
        <f>IF(OR(ISBLANK(tblSites[[#This Row],[Implementing Partner]]), tblSites[[#This Row],[Implementing Partner]]="-"), tblSites[[#This Row],[Site Agency]], tblSites[[#This Row],[Implementing Partner]])</f>
        <v>No SMA</v>
      </c>
      <c r="M901" s="12" t="s">
        <v>55</v>
      </c>
      <c r="N901" s="12" t="str">
        <f>tblSites[[#This Row],[FinalImplementingPartner]]</f>
        <v>No SMA</v>
      </c>
    </row>
    <row r="902" spans="1:14" x14ac:dyDescent="0.25">
      <c r="A902" s="12" t="s">
        <v>3741</v>
      </c>
      <c r="B902" s="12" t="s">
        <v>1578</v>
      </c>
      <c r="C902" s="12" t="s">
        <v>4875</v>
      </c>
      <c r="D902" t="s">
        <v>59</v>
      </c>
      <c r="E902" s="12" t="s">
        <v>3179</v>
      </c>
      <c r="F902" s="12" t="s">
        <v>114</v>
      </c>
      <c r="G902" s="12" t="s">
        <v>5122</v>
      </c>
      <c r="H902" s="12" t="s">
        <v>1578</v>
      </c>
      <c r="I902" s="84">
        <v>2600123</v>
      </c>
      <c r="J902" s="12" t="s">
        <v>5102</v>
      </c>
      <c r="K902" s="12" t="s">
        <v>389</v>
      </c>
      <c r="L902" s="12" t="str">
        <f>IF(OR(ISBLANK(tblSites[[#This Row],[Implementing Partner]]), tblSites[[#This Row],[Implementing Partner]]="-"), tblSites[[#This Row],[Site Agency]], tblSites[[#This Row],[Implementing Partner]])</f>
        <v>No SMA</v>
      </c>
      <c r="M902" s="12" t="s">
        <v>55</v>
      </c>
      <c r="N902" s="12" t="str">
        <f>tblSites[[#This Row],[FinalImplementingPartner]]</f>
        <v>No SMA</v>
      </c>
    </row>
    <row r="903" spans="1:14" x14ac:dyDescent="0.25">
      <c r="A903" s="12" t="s">
        <v>3742</v>
      </c>
      <c r="B903" s="12" t="s">
        <v>4334</v>
      </c>
      <c r="C903" s="12" t="s">
        <v>4876</v>
      </c>
      <c r="D903" t="s">
        <v>59</v>
      </c>
      <c r="E903" s="12" t="s">
        <v>3179</v>
      </c>
      <c r="F903" s="12" t="s">
        <v>60</v>
      </c>
      <c r="G903" s="12" t="s">
        <v>5119</v>
      </c>
      <c r="H903" s="12" t="s">
        <v>4334</v>
      </c>
      <c r="I903" s="84">
        <v>2600119</v>
      </c>
      <c r="J903" s="12" t="s">
        <v>5102</v>
      </c>
      <c r="K903" s="12" t="s">
        <v>389</v>
      </c>
      <c r="L903" s="12" t="str">
        <f>IF(OR(ISBLANK(tblSites[[#This Row],[Implementing Partner]]), tblSites[[#This Row],[Implementing Partner]]="-"), tblSites[[#This Row],[Site Agency]], tblSites[[#This Row],[Implementing Partner]])</f>
        <v>No SMA</v>
      </c>
      <c r="M903" s="12" t="s">
        <v>55</v>
      </c>
      <c r="N903" s="12" t="str">
        <f>tblSites[[#This Row],[FinalImplementingPartner]]</f>
        <v>No SMA</v>
      </c>
    </row>
    <row r="904" spans="1:14" x14ac:dyDescent="0.25">
      <c r="A904" s="12" t="s">
        <v>3743</v>
      </c>
      <c r="B904" s="12" t="s">
        <v>4290</v>
      </c>
      <c r="C904" s="12" t="s">
        <v>516</v>
      </c>
      <c r="D904" t="s">
        <v>59</v>
      </c>
      <c r="E904" s="12" t="s">
        <v>3179</v>
      </c>
      <c r="F904" s="12" t="s">
        <v>67</v>
      </c>
      <c r="G904" s="12" t="s">
        <v>5109</v>
      </c>
      <c r="H904" s="12" t="s">
        <v>4290</v>
      </c>
      <c r="I904" s="84">
        <v>2600118</v>
      </c>
      <c r="J904" s="12" t="s">
        <v>5102</v>
      </c>
      <c r="K904" s="12" t="s">
        <v>389</v>
      </c>
      <c r="L904" s="12" t="str">
        <f>IF(OR(ISBLANK(tblSites[[#This Row],[Implementing Partner]]), tblSites[[#This Row],[Implementing Partner]]="-"), tblSites[[#This Row],[Site Agency]], tblSites[[#This Row],[Implementing Partner]])</f>
        <v>No SMA</v>
      </c>
      <c r="M904" s="12" t="s">
        <v>55</v>
      </c>
      <c r="N904" s="12" t="str">
        <f>tblSites[[#This Row],[FinalImplementingPartner]]</f>
        <v>No SMA</v>
      </c>
    </row>
    <row r="905" spans="1:14" x14ac:dyDescent="0.25">
      <c r="A905" s="12" t="s">
        <v>3744</v>
      </c>
      <c r="B905" s="12" t="s">
        <v>4335</v>
      </c>
      <c r="C905" s="12" t="s">
        <v>4877</v>
      </c>
      <c r="D905" t="s">
        <v>59</v>
      </c>
      <c r="E905" s="12" t="s">
        <v>3179</v>
      </c>
      <c r="F905" s="12" t="s">
        <v>1091</v>
      </c>
      <c r="G905" s="12" t="s">
        <v>5120</v>
      </c>
      <c r="H905" s="12" t="s">
        <v>4335</v>
      </c>
      <c r="I905" s="84">
        <v>2600115</v>
      </c>
      <c r="J905" s="12" t="s">
        <v>5102</v>
      </c>
      <c r="K905" s="12" t="s">
        <v>389</v>
      </c>
      <c r="L905" s="12" t="str">
        <f>IF(OR(ISBLANK(tblSites[[#This Row],[Implementing Partner]]), tblSites[[#This Row],[Implementing Partner]]="-"), tblSites[[#This Row],[Site Agency]], tblSites[[#This Row],[Implementing Partner]])</f>
        <v>No SMA</v>
      </c>
      <c r="M905" s="12" t="s">
        <v>55</v>
      </c>
      <c r="N905" s="12" t="str">
        <f>tblSites[[#This Row],[FinalImplementingPartner]]</f>
        <v>No SMA</v>
      </c>
    </row>
    <row r="906" spans="1:14" x14ac:dyDescent="0.25">
      <c r="A906" s="12" t="s">
        <v>3745</v>
      </c>
      <c r="B906" s="12" t="s">
        <v>4336</v>
      </c>
      <c r="C906" s="12" t="s">
        <v>4878</v>
      </c>
      <c r="D906" t="s">
        <v>59</v>
      </c>
      <c r="E906" s="12" t="s">
        <v>3179</v>
      </c>
      <c r="F906" s="12" t="s">
        <v>67</v>
      </c>
      <c r="G906" s="12" t="s">
        <v>5109</v>
      </c>
      <c r="H906" s="12" t="s">
        <v>4336</v>
      </c>
      <c r="I906" s="84">
        <v>2600118</v>
      </c>
      <c r="J906" s="12" t="s">
        <v>5102</v>
      </c>
      <c r="K906" s="12" t="s">
        <v>389</v>
      </c>
      <c r="L906" s="12" t="str">
        <f>IF(OR(ISBLANK(tblSites[[#This Row],[Implementing Partner]]), tblSites[[#This Row],[Implementing Partner]]="-"), tblSites[[#This Row],[Site Agency]], tblSites[[#This Row],[Implementing Partner]])</f>
        <v>No SMA</v>
      </c>
      <c r="M906" s="12" t="s">
        <v>55</v>
      </c>
      <c r="N906" s="12" t="str">
        <f>tblSites[[#This Row],[FinalImplementingPartner]]</f>
        <v>No SMA</v>
      </c>
    </row>
    <row r="907" spans="1:14" x14ac:dyDescent="0.25">
      <c r="A907" s="12" t="s">
        <v>3746</v>
      </c>
      <c r="B907" s="12" t="s">
        <v>4337</v>
      </c>
      <c r="C907" s="12" t="s">
        <v>4879</v>
      </c>
      <c r="D907" t="s">
        <v>59</v>
      </c>
      <c r="E907" s="12" t="s">
        <v>3179</v>
      </c>
      <c r="F907" s="12" t="s">
        <v>1091</v>
      </c>
      <c r="G907" s="12" t="s">
        <v>5120</v>
      </c>
      <c r="H907" s="12" t="s">
        <v>4337</v>
      </c>
      <c r="I907" s="84">
        <v>2600115</v>
      </c>
      <c r="J907" s="12" t="s">
        <v>5102</v>
      </c>
      <c r="L907" s="12" t="str">
        <f>IF(OR(ISBLANK(tblSites[[#This Row],[Implementing Partner]]), tblSites[[#This Row],[Implementing Partner]]="-"), tblSites[[#This Row],[Site Agency]], tblSites[[#This Row],[Implementing Partner]])</f>
        <v>No SMA</v>
      </c>
      <c r="M907" s="12" t="s">
        <v>55</v>
      </c>
      <c r="N907" s="12" t="str">
        <f>tblSites[[#This Row],[FinalImplementingPartner]]</f>
        <v>No SMA</v>
      </c>
    </row>
    <row r="908" spans="1:14" x14ac:dyDescent="0.25">
      <c r="A908" s="12" t="s">
        <v>3747</v>
      </c>
      <c r="B908" s="12" t="s">
        <v>4338</v>
      </c>
      <c r="C908" s="12" t="s">
        <v>4880</v>
      </c>
      <c r="D908" t="s">
        <v>59</v>
      </c>
      <c r="E908" s="12" t="s">
        <v>3179</v>
      </c>
      <c r="F908" s="12" t="s">
        <v>1091</v>
      </c>
      <c r="G908" s="12" t="s">
        <v>5120</v>
      </c>
      <c r="H908" s="12" t="s">
        <v>4338</v>
      </c>
      <c r="I908" s="84">
        <v>2600115</v>
      </c>
      <c r="J908" s="12" t="s">
        <v>5102</v>
      </c>
      <c r="K908" s="12" t="s">
        <v>389</v>
      </c>
      <c r="L908" s="12" t="str">
        <f>IF(OR(ISBLANK(tblSites[[#This Row],[Implementing Partner]]), tblSites[[#This Row],[Implementing Partner]]="-"), tblSites[[#This Row],[Site Agency]], tblSites[[#This Row],[Implementing Partner]])</f>
        <v>No SMA</v>
      </c>
      <c r="M908" s="12" t="s">
        <v>55</v>
      </c>
      <c r="N908" s="12" t="str">
        <f>tblSites[[#This Row],[FinalImplementingPartner]]</f>
        <v>No SMA</v>
      </c>
    </row>
    <row r="909" spans="1:14" x14ac:dyDescent="0.25">
      <c r="A909" s="12" t="s">
        <v>3748</v>
      </c>
      <c r="B909" s="12" t="s">
        <v>4339</v>
      </c>
      <c r="C909" s="12" t="s">
        <v>4881</v>
      </c>
      <c r="D909" t="s">
        <v>59</v>
      </c>
      <c r="E909" s="12" t="s">
        <v>3179</v>
      </c>
      <c r="F909" s="12" t="s">
        <v>60</v>
      </c>
      <c r="G909" s="12" t="s">
        <v>5119</v>
      </c>
      <c r="H909" s="12" t="s">
        <v>4339</v>
      </c>
      <c r="I909" s="84">
        <v>2600119</v>
      </c>
      <c r="J909" s="12" t="s">
        <v>5102</v>
      </c>
      <c r="K909" s="12" t="s">
        <v>389</v>
      </c>
      <c r="L909" s="12" t="str">
        <f>IF(OR(ISBLANK(tblSites[[#This Row],[Implementing Partner]]), tblSites[[#This Row],[Implementing Partner]]="-"), tblSites[[#This Row],[Site Agency]], tblSites[[#This Row],[Implementing Partner]])</f>
        <v>No SMA</v>
      </c>
      <c r="M909" s="12" t="s">
        <v>55</v>
      </c>
      <c r="N909" s="12" t="str">
        <f>tblSites[[#This Row],[FinalImplementingPartner]]</f>
        <v>No SMA</v>
      </c>
    </row>
    <row r="910" spans="1:14" x14ac:dyDescent="0.25">
      <c r="A910" s="12" t="s">
        <v>3991</v>
      </c>
      <c r="B910" s="12" t="s">
        <v>4589</v>
      </c>
      <c r="C910" s="12" t="s">
        <v>4589</v>
      </c>
      <c r="D910" t="s">
        <v>59</v>
      </c>
      <c r="E910" s="12" t="s">
        <v>3179</v>
      </c>
      <c r="F910" s="12" t="s">
        <v>114</v>
      </c>
      <c r="G910" s="12" t="s">
        <v>5127</v>
      </c>
      <c r="H910" s="12" t="s">
        <v>4589</v>
      </c>
      <c r="I910" s="84">
        <v>2600123</v>
      </c>
      <c r="J910" s="12" t="s">
        <v>5</v>
      </c>
      <c r="K910" s="12" t="s">
        <v>119</v>
      </c>
      <c r="L910" s="12" t="str">
        <f>IF(OR(ISBLANK(tblSites[[#This Row],[Implementing Partner]]), tblSites[[#This Row],[Implementing Partner]]="-"), tblSites[[#This Row],[Site Agency]], tblSites[[#This Row],[Implementing Partner]])</f>
        <v>BLDA</v>
      </c>
      <c r="M910" s="12" t="s">
        <v>55</v>
      </c>
      <c r="N910" s="12" t="str">
        <f>tblSites[[#This Row],[FinalImplementingPartner]]</f>
        <v>BLDA</v>
      </c>
    </row>
    <row r="911" spans="1:14" x14ac:dyDescent="0.25">
      <c r="A911" s="12" t="s">
        <v>3749</v>
      </c>
      <c r="B911" s="12" t="s">
        <v>4340</v>
      </c>
      <c r="C911" s="12" t="s">
        <v>5296</v>
      </c>
      <c r="D911" t="s">
        <v>59</v>
      </c>
      <c r="E911" s="12" t="s">
        <v>3179</v>
      </c>
      <c r="F911" s="12" t="s">
        <v>3234</v>
      </c>
      <c r="G911" s="12" t="s">
        <v>5403</v>
      </c>
      <c r="H911" s="12" t="s">
        <v>4340</v>
      </c>
      <c r="I911" s="84">
        <v>26001145</v>
      </c>
      <c r="J911" s="12" t="s">
        <v>5102</v>
      </c>
      <c r="K911" s="12" t="s">
        <v>389</v>
      </c>
      <c r="L911" s="12" t="str">
        <f>IF(OR(ISBLANK(tblSites[[#This Row],[Implementing Partner]]), tblSites[[#This Row],[Implementing Partner]]="-"), tblSites[[#This Row],[Site Agency]], tblSites[[#This Row],[Implementing Partner]])</f>
        <v>No SMA</v>
      </c>
      <c r="M911" s="12" t="s">
        <v>55</v>
      </c>
      <c r="N911" s="12" t="str">
        <f>tblSites[[#This Row],[FinalImplementingPartner]]</f>
        <v>No SMA</v>
      </c>
    </row>
    <row r="912" spans="1:14" x14ac:dyDescent="0.25">
      <c r="A912" s="12" t="s">
        <v>5252</v>
      </c>
      <c r="B912" s="12" t="s">
        <v>4409</v>
      </c>
      <c r="C912" s="12" t="s">
        <v>4940</v>
      </c>
      <c r="D912" t="s">
        <v>59</v>
      </c>
      <c r="E912" s="12" t="s">
        <v>3179</v>
      </c>
      <c r="F912" s="12" t="s">
        <v>67</v>
      </c>
      <c r="G912" s="12" t="s">
        <v>5109</v>
      </c>
      <c r="H912" s="12" t="s">
        <v>4409</v>
      </c>
      <c r="I912" s="84">
        <v>2600118</v>
      </c>
      <c r="J912" s="12" t="s">
        <v>5102</v>
      </c>
      <c r="K912" s="12" t="s">
        <v>389</v>
      </c>
      <c r="L912" s="12" t="str">
        <f>IF(OR(ISBLANK(tblSites[[#This Row],[Implementing Partner]]), tblSites[[#This Row],[Implementing Partner]]="-"), tblSites[[#This Row],[Site Agency]], tblSites[[#This Row],[Implementing Partner]])</f>
        <v>No SMA</v>
      </c>
      <c r="M912" s="12" t="s">
        <v>55</v>
      </c>
      <c r="N912" s="12" t="str">
        <f>tblSites[[#This Row],[FinalImplementingPartner]]</f>
        <v>No SMA</v>
      </c>
    </row>
    <row r="913" spans="1:14" x14ac:dyDescent="0.25">
      <c r="A913" s="12" t="s">
        <v>5253</v>
      </c>
      <c r="B913" s="12" t="s">
        <v>1996</v>
      </c>
      <c r="C913" s="12" t="s">
        <v>1997</v>
      </c>
      <c r="D913" t="s">
        <v>59</v>
      </c>
      <c r="E913" s="12" t="s">
        <v>3179</v>
      </c>
      <c r="F913" s="12" t="s">
        <v>60</v>
      </c>
      <c r="G913" s="12" t="s">
        <v>5119</v>
      </c>
      <c r="H913" s="12" t="s">
        <v>1996</v>
      </c>
      <c r="I913" s="84">
        <v>2600119</v>
      </c>
      <c r="J913" s="12" t="s">
        <v>5102</v>
      </c>
      <c r="L913" s="12" t="str">
        <f>IF(OR(ISBLANK(tblSites[[#This Row],[Implementing Partner]]), tblSites[[#This Row],[Implementing Partner]]="-"), tblSites[[#This Row],[Site Agency]], tblSites[[#This Row],[Implementing Partner]])</f>
        <v>No SMA</v>
      </c>
      <c r="M913" s="12" t="s">
        <v>55</v>
      </c>
      <c r="N913" s="12" t="str">
        <f>tblSites[[#This Row],[FinalImplementingPartner]]</f>
        <v>No SMA</v>
      </c>
    </row>
    <row r="914" spans="1:14" x14ac:dyDescent="0.25">
      <c r="A914" s="12" t="s">
        <v>5254</v>
      </c>
      <c r="B914" s="12" t="s">
        <v>4495</v>
      </c>
      <c r="C914" s="12" t="s">
        <v>5016</v>
      </c>
      <c r="D914" t="s">
        <v>59</v>
      </c>
      <c r="E914" s="12" t="s">
        <v>3179</v>
      </c>
      <c r="F914" s="12" t="s">
        <v>397</v>
      </c>
      <c r="G914" s="12" t="s">
        <v>5105</v>
      </c>
      <c r="H914" s="12" t="s">
        <v>4495</v>
      </c>
      <c r="I914" s="84">
        <v>2600124</v>
      </c>
      <c r="J914" s="12" t="s">
        <v>5102</v>
      </c>
      <c r="K914" s="12" t="s">
        <v>389</v>
      </c>
      <c r="L914" s="12" t="str">
        <f>IF(OR(ISBLANK(tblSites[[#This Row],[Implementing Partner]]), tblSites[[#This Row],[Implementing Partner]]="-"), tblSites[[#This Row],[Site Agency]], tblSites[[#This Row],[Implementing Partner]])</f>
        <v>No SMA</v>
      </c>
      <c r="M914" s="12" t="s">
        <v>55</v>
      </c>
      <c r="N914" s="12" t="str">
        <f>tblSites[[#This Row],[FinalImplementingPartner]]</f>
        <v>No SMA</v>
      </c>
    </row>
    <row r="915" spans="1:14" x14ac:dyDescent="0.25">
      <c r="A915" s="12" t="s">
        <v>2900</v>
      </c>
      <c r="B915" s="12" t="s">
        <v>2901</v>
      </c>
      <c r="C915" s="12" t="s">
        <v>2902</v>
      </c>
      <c r="D915" t="s">
        <v>59</v>
      </c>
      <c r="E915" s="12" t="s">
        <v>3179</v>
      </c>
      <c r="F915" s="12" t="s">
        <v>67</v>
      </c>
      <c r="G915" s="12" t="s">
        <v>5109</v>
      </c>
      <c r="H915" s="12" t="s">
        <v>2901</v>
      </c>
      <c r="I915" s="84">
        <v>2600118</v>
      </c>
      <c r="J915" s="12" t="s">
        <v>5102</v>
      </c>
      <c r="L915" s="12" t="str">
        <f>IF(OR(ISBLANK(tblSites[[#This Row],[Implementing Partner]]), tblSites[[#This Row],[Implementing Partner]]="-"), tblSites[[#This Row],[Site Agency]], tblSites[[#This Row],[Implementing Partner]])</f>
        <v>No SMA</v>
      </c>
      <c r="M915" s="12" t="s">
        <v>55</v>
      </c>
      <c r="N915" s="12" t="str">
        <f>tblSites[[#This Row],[FinalImplementingPartner]]</f>
        <v>No SMA</v>
      </c>
    </row>
    <row r="916" spans="1:14" x14ac:dyDescent="0.25">
      <c r="A916" s="12" t="s">
        <v>2004</v>
      </c>
      <c r="B916" s="12" t="s">
        <v>2005</v>
      </c>
      <c r="C916" s="12" t="s">
        <v>2006</v>
      </c>
      <c r="D916" t="s">
        <v>59</v>
      </c>
      <c r="E916" s="12" t="s">
        <v>3179</v>
      </c>
      <c r="F916" s="12" t="s">
        <v>60</v>
      </c>
      <c r="G916" s="12" t="s">
        <v>5119</v>
      </c>
      <c r="H916" s="12" t="s">
        <v>2005</v>
      </c>
      <c r="I916" s="84">
        <v>2600119</v>
      </c>
      <c r="J916" s="12" t="s">
        <v>5102</v>
      </c>
      <c r="L916" s="12" t="str">
        <f>IF(OR(ISBLANK(tblSites[[#This Row],[Implementing Partner]]), tblSites[[#This Row],[Implementing Partner]]="-"), tblSites[[#This Row],[Site Agency]], tblSites[[#This Row],[Implementing Partner]])</f>
        <v>No SMA</v>
      </c>
      <c r="M916" s="12" t="s">
        <v>55</v>
      </c>
      <c r="N916" s="12" t="str">
        <f>tblSites[[#This Row],[FinalImplementingPartner]]</f>
        <v>No SMA</v>
      </c>
    </row>
    <row r="917" spans="1:14" x14ac:dyDescent="0.25">
      <c r="A917" s="12" t="s">
        <v>578</v>
      </c>
      <c r="B917" s="12" t="s">
        <v>579</v>
      </c>
      <c r="C917" s="12" t="s">
        <v>580</v>
      </c>
      <c r="D917" t="s">
        <v>59</v>
      </c>
      <c r="E917" s="12" t="s">
        <v>3179</v>
      </c>
      <c r="F917" s="12" t="s">
        <v>67</v>
      </c>
      <c r="G917" s="12" t="s">
        <v>5109</v>
      </c>
      <c r="H917" s="12" t="s">
        <v>579</v>
      </c>
      <c r="I917" s="84">
        <v>2600118</v>
      </c>
      <c r="J917" s="12" t="s">
        <v>5102</v>
      </c>
      <c r="L917" s="12" t="str">
        <f>IF(OR(ISBLANK(tblSites[[#This Row],[Implementing Partner]]), tblSites[[#This Row],[Implementing Partner]]="-"), tblSites[[#This Row],[Site Agency]], tblSites[[#This Row],[Implementing Partner]])</f>
        <v>No SMA</v>
      </c>
      <c r="M917" s="12" t="s">
        <v>55</v>
      </c>
      <c r="N917" s="12" t="str">
        <f>tblSites[[#This Row],[FinalImplementingPartner]]</f>
        <v>No SMA</v>
      </c>
    </row>
    <row r="918" spans="1:14" x14ac:dyDescent="0.25">
      <c r="A918" s="12" t="s">
        <v>68</v>
      </c>
      <c r="B918" s="12" t="s">
        <v>69</v>
      </c>
      <c r="C918" s="12" t="s">
        <v>70</v>
      </c>
      <c r="D918" t="s">
        <v>59</v>
      </c>
      <c r="E918" s="12" t="s">
        <v>3179</v>
      </c>
      <c r="F918" s="12" t="s">
        <v>60</v>
      </c>
      <c r="G918" s="12" t="s">
        <v>5155</v>
      </c>
      <c r="H918" s="12" t="s">
        <v>69</v>
      </c>
      <c r="I918" s="84">
        <v>2600119</v>
      </c>
      <c r="J918" s="12" t="s">
        <v>5</v>
      </c>
      <c r="K918" s="12" t="s">
        <v>119</v>
      </c>
      <c r="L918" s="12" t="str">
        <f>IF(OR(ISBLANK(tblSites[[#This Row],[Implementing Partner]]), tblSites[[#This Row],[Implementing Partner]]="-"), tblSites[[#This Row],[Site Agency]], tblSites[[#This Row],[Implementing Partner]])</f>
        <v>BLDA</v>
      </c>
      <c r="M918" s="12" t="s">
        <v>55</v>
      </c>
      <c r="N918" s="12" t="str">
        <f>tblSites[[#This Row],[FinalImplementingPartner]]</f>
        <v>BLDA</v>
      </c>
    </row>
    <row r="919" spans="1:14" x14ac:dyDescent="0.25">
      <c r="A919" s="12" t="s">
        <v>1255</v>
      </c>
      <c r="B919" s="12" t="s">
        <v>1256</v>
      </c>
      <c r="C919" s="12" t="s">
        <v>1257</v>
      </c>
      <c r="D919" t="s">
        <v>59</v>
      </c>
      <c r="E919" s="12" t="s">
        <v>3179</v>
      </c>
      <c r="F919" s="12" t="s">
        <v>60</v>
      </c>
      <c r="G919" s="12" t="s">
        <v>5145</v>
      </c>
      <c r="H919" s="12" t="s">
        <v>1256</v>
      </c>
      <c r="I919" s="84">
        <v>2600119</v>
      </c>
      <c r="J919" s="12" t="s">
        <v>35</v>
      </c>
      <c r="L919" s="12" t="str">
        <f>IF(OR(ISBLANK(tblSites[[#This Row],[Implementing Partner]]), tblSites[[#This Row],[Implementing Partner]]="-"), tblSites[[#This Row],[Site Agency]], tblSites[[#This Row],[Implementing Partner]])</f>
        <v>NRC</v>
      </c>
      <c r="M919" s="12" t="s">
        <v>55</v>
      </c>
      <c r="N919" s="12" t="str">
        <f>tblSites[[#This Row],[FinalImplementingPartner]]</f>
        <v>NRC</v>
      </c>
    </row>
    <row r="920" spans="1:14" x14ac:dyDescent="0.25">
      <c r="A920" s="12" t="s">
        <v>2903</v>
      </c>
      <c r="B920" s="12" t="s">
        <v>2904</v>
      </c>
      <c r="C920" s="12" t="s">
        <v>491</v>
      </c>
      <c r="D920" t="s">
        <v>59</v>
      </c>
      <c r="E920" s="12" t="s">
        <v>3179</v>
      </c>
      <c r="F920" s="12" t="s">
        <v>324</v>
      </c>
      <c r="G920" s="12" t="s">
        <v>5126</v>
      </c>
      <c r="H920" s="12" t="s">
        <v>2904</v>
      </c>
      <c r="I920" s="84">
        <v>2600120</v>
      </c>
      <c r="J920" s="12" t="s">
        <v>35</v>
      </c>
      <c r="L920" s="12" t="str">
        <f>IF(OR(ISBLANK(tblSites[[#This Row],[Implementing Partner]]), tblSites[[#This Row],[Implementing Partner]]="-"), tblSites[[#This Row],[Site Agency]], tblSites[[#This Row],[Implementing Partner]])</f>
        <v>NRC</v>
      </c>
      <c r="M920" s="12" t="s">
        <v>55</v>
      </c>
      <c r="N920" s="12" t="str">
        <f>tblSites[[#This Row],[FinalImplementingPartner]]</f>
        <v>NRC</v>
      </c>
    </row>
    <row r="921" spans="1:14" x14ac:dyDescent="0.25">
      <c r="A921" s="12" t="s">
        <v>581</v>
      </c>
      <c r="B921" s="12" t="s">
        <v>582</v>
      </c>
      <c r="C921" s="12" t="s">
        <v>583</v>
      </c>
      <c r="D921" t="s">
        <v>59</v>
      </c>
      <c r="E921" s="12" t="s">
        <v>3179</v>
      </c>
      <c r="F921" s="12" t="s">
        <v>114</v>
      </c>
      <c r="G921" s="12" t="s">
        <v>5122</v>
      </c>
      <c r="H921" s="12" t="s">
        <v>582</v>
      </c>
      <c r="I921" s="84">
        <v>2600123</v>
      </c>
      <c r="J921" s="12" t="s">
        <v>5102</v>
      </c>
      <c r="L921" s="12" t="str">
        <f>IF(OR(ISBLANK(tblSites[[#This Row],[Implementing Partner]]), tblSites[[#This Row],[Implementing Partner]]="-"), tblSites[[#This Row],[Site Agency]], tblSites[[#This Row],[Implementing Partner]])</f>
        <v>No SMA</v>
      </c>
      <c r="M921" s="12" t="s">
        <v>55</v>
      </c>
      <c r="N921" s="12" t="str">
        <f>tblSites[[#This Row],[FinalImplementingPartner]]</f>
        <v>No SMA</v>
      </c>
    </row>
    <row r="922" spans="1:14" x14ac:dyDescent="0.25">
      <c r="A922" s="12" t="s">
        <v>321</v>
      </c>
      <c r="B922" s="12" t="s">
        <v>322</v>
      </c>
      <c r="C922" s="12" t="s">
        <v>323</v>
      </c>
      <c r="D922" t="s">
        <v>59</v>
      </c>
      <c r="E922" s="12" t="s">
        <v>3179</v>
      </c>
      <c r="F922" s="12" t="s">
        <v>67</v>
      </c>
      <c r="G922" s="12" t="s">
        <v>5109</v>
      </c>
      <c r="H922" s="12" t="s">
        <v>322</v>
      </c>
      <c r="I922" s="84">
        <v>2600118</v>
      </c>
      <c r="J922" s="12" t="s">
        <v>5102</v>
      </c>
      <c r="L922" s="12" t="str">
        <f>IF(OR(ISBLANK(tblSites[[#This Row],[Implementing Partner]]), tblSites[[#This Row],[Implementing Partner]]="-"), tblSites[[#This Row],[Site Agency]], tblSites[[#This Row],[Implementing Partner]])</f>
        <v>No SMA</v>
      </c>
      <c r="M922" s="12" t="s">
        <v>55</v>
      </c>
      <c r="N922" s="12" t="str">
        <f>tblSites[[#This Row],[FinalImplementingPartner]]</f>
        <v>No SMA</v>
      </c>
    </row>
    <row r="923" spans="1:14" x14ac:dyDescent="0.25">
      <c r="A923" s="12" t="s">
        <v>353</v>
      </c>
      <c r="B923" s="12" t="s">
        <v>354</v>
      </c>
      <c r="C923" s="12" t="s">
        <v>355</v>
      </c>
      <c r="D923" t="s">
        <v>59</v>
      </c>
      <c r="E923" s="12" t="s">
        <v>3179</v>
      </c>
      <c r="F923" s="12" t="s">
        <v>67</v>
      </c>
      <c r="G923" s="12" t="s">
        <v>5109</v>
      </c>
      <c r="H923" s="12" t="s">
        <v>354</v>
      </c>
      <c r="I923" s="84">
        <v>2600118</v>
      </c>
      <c r="J923" s="12" t="s">
        <v>5102</v>
      </c>
      <c r="L923" s="12" t="str">
        <f>IF(OR(ISBLANK(tblSites[[#This Row],[Implementing Partner]]), tblSites[[#This Row],[Implementing Partner]]="-"), tblSites[[#This Row],[Site Agency]], tblSites[[#This Row],[Implementing Partner]])</f>
        <v>No SMA</v>
      </c>
      <c r="M923" s="12" t="s">
        <v>55</v>
      </c>
      <c r="N923" s="12" t="str">
        <f>tblSites[[#This Row],[FinalImplementingPartner]]</f>
        <v>No SMA</v>
      </c>
    </row>
    <row r="924" spans="1:14" x14ac:dyDescent="0.25">
      <c r="A924" s="12" t="s">
        <v>2905</v>
      </c>
      <c r="B924" s="12" t="s">
        <v>2906</v>
      </c>
      <c r="C924" s="12" t="s">
        <v>2907</v>
      </c>
      <c r="D924" t="s">
        <v>59</v>
      </c>
      <c r="E924" s="12" t="s">
        <v>3179</v>
      </c>
      <c r="F924" s="12" t="s">
        <v>60</v>
      </c>
      <c r="G924" s="12" t="s">
        <v>5119</v>
      </c>
      <c r="H924" s="12" t="s">
        <v>2906</v>
      </c>
      <c r="I924" s="84">
        <v>2600119</v>
      </c>
      <c r="J924" s="12" t="s">
        <v>5102</v>
      </c>
      <c r="L924" s="12" t="str">
        <f>IF(OR(ISBLANK(tblSites[[#This Row],[Implementing Partner]]), tblSites[[#This Row],[Implementing Partner]]="-"), tblSites[[#This Row],[Site Agency]], tblSites[[#This Row],[Implementing Partner]])</f>
        <v>No SMA</v>
      </c>
      <c r="M924" s="12" t="s">
        <v>55</v>
      </c>
      <c r="N924" s="12" t="str">
        <f>tblSites[[#This Row],[FinalImplementingPartner]]</f>
        <v>No SMA</v>
      </c>
    </row>
    <row r="925" spans="1:14" x14ac:dyDescent="0.25">
      <c r="A925" s="12" t="s">
        <v>886</v>
      </c>
      <c r="B925" s="12" t="s">
        <v>887</v>
      </c>
      <c r="C925" s="12" t="s">
        <v>494</v>
      </c>
      <c r="D925" t="s">
        <v>59</v>
      </c>
      <c r="E925" s="12" t="s">
        <v>3179</v>
      </c>
      <c r="F925" s="12" t="s">
        <v>67</v>
      </c>
      <c r="G925" s="12" t="s">
        <v>5156</v>
      </c>
      <c r="H925" s="12" t="s">
        <v>887</v>
      </c>
      <c r="I925" s="84">
        <v>2600118</v>
      </c>
      <c r="J925" s="12" t="s">
        <v>34</v>
      </c>
      <c r="K925" s="12" t="s">
        <v>359</v>
      </c>
      <c r="L925" s="12" t="str">
        <f>IF(OR(ISBLANK(tblSites[[#This Row],[Implementing Partner]]), tblSites[[#This Row],[Implementing Partner]]="-"), tblSites[[#This Row],[Site Agency]], tblSites[[#This Row],[Implementing Partner]])</f>
        <v>FAFD</v>
      </c>
      <c r="M925" s="12" t="s">
        <v>55</v>
      </c>
      <c r="N925" s="12" t="str">
        <f>tblSites[[#This Row],[FinalImplementingPartner]]</f>
        <v>FAFD</v>
      </c>
    </row>
    <row r="926" spans="1:14" x14ac:dyDescent="0.25">
      <c r="A926" s="12" t="s">
        <v>584</v>
      </c>
      <c r="B926" s="12" t="s">
        <v>585</v>
      </c>
      <c r="C926" s="12" t="s">
        <v>586</v>
      </c>
      <c r="D926" t="s">
        <v>59</v>
      </c>
      <c r="E926" s="12" t="s">
        <v>3179</v>
      </c>
      <c r="F926" s="12" t="s">
        <v>114</v>
      </c>
      <c r="G926" s="12" t="s">
        <v>5122</v>
      </c>
      <c r="H926" s="12" t="s">
        <v>585</v>
      </c>
      <c r="I926" s="84">
        <v>2600123</v>
      </c>
      <c r="J926" s="12" t="s">
        <v>5102</v>
      </c>
      <c r="L926" s="12" t="str">
        <f>IF(OR(ISBLANK(tblSites[[#This Row],[Implementing Partner]]), tblSites[[#This Row],[Implementing Partner]]="-"), tblSites[[#This Row],[Site Agency]], tblSites[[#This Row],[Implementing Partner]])</f>
        <v>No SMA</v>
      </c>
      <c r="M926" s="12" t="s">
        <v>55</v>
      </c>
      <c r="N926" s="12" t="str">
        <f>tblSites[[#This Row],[FinalImplementingPartner]]</f>
        <v>No SMA</v>
      </c>
    </row>
    <row r="927" spans="1:14" x14ac:dyDescent="0.25">
      <c r="A927" s="12" t="s">
        <v>427</v>
      </c>
      <c r="B927" s="12" t="s">
        <v>428</v>
      </c>
      <c r="C927" s="12" t="s">
        <v>429</v>
      </c>
      <c r="D927" t="s">
        <v>59</v>
      </c>
      <c r="E927" s="12" t="s">
        <v>3179</v>
      </c>
      <c r="F927" s="12" t="s">
        <v>60</v>
      </c>
      <c r="G927" s="12" t="s">
        <v>5119</v>
      </c>
      <c r="H927" s="12" t="s">
        <v>428</v>
      </c>
      <c r="I927" s="84">
        <v>2600119</v>
      </c>
      <c r="J927" s="12" t="s">
        <v>5102</v>
      </c>
      <c r="L927" s="12" t="str">
        <f>IF(OR(ISBLANK(tblSites[[#This Row],[Implementing Partner]]), tblSites[[#This Row],[Implementing Partner]]="-"), tblSites[[#This Row],[Site Agency]], tblSites[[#This Row],[Implementing Partner]])</f>
        <v>No SMA</v>
      </c>
      <c r="M927" s="12" t="s">
        <v>55</v>
      </c>
      <c r="N927" s="12" t="str">
        <f>tblSites[[#This Row],[FinalImplementingPartner]]</f>
        <v>No SMA</v>
      </c>
    </row>
    <row r="928" spans="1:14" x14ac:dyDescent="0.25">
      <c r="A928" s="12" t="s">
        <v>482</v>
      </c>
      <c r="B928" s="12" t="s">
        <v>483</v>
      </c>
      <c r="C928" s="12" t="s">
        <v>435</v>
      </c>
      <c r="D928" t="s">
        <v>59</v>
      </c>
      <c r="E928" s="12" t="s">
        <v>3179</v>
      </c>
      <c r="F928" s="12" t="s">
        <v>67</v>
      </c>
      <c r="G928" s="12" t="s">
        <v>5109</v>
      </c>
      <c r="H928" s="12" t="s">
        <v>483</v>
      </c>
      <c r="I928" s="84">
        <v>2600118</v>
      </c>
      <c r="J928" s="12" t="s">
        <v>5102</v>
      </c>
      <c r="L928" s="12" t="str">
        <f>IF(OR(ISBLANK(tblSites[[#This Row],[Implementing Partner]]), tblSites[[#This Row],[Implementing Partner]]="-"), tblSites[[#This Row],[Site Agency]], tblSites[[#This Row],[Implementing Partner]])</f>
        <v>No SMA</v>
      </c>
      <c r="M928" s="12" t="s">
        <v>55</v>
      </c>
      <c r="N928" s="12" t="str">
        <f>tblSites[[#This Row],[FinalImplementingPartner]]</f>
        <v>No SMA</v>
      </c>
    </row>
    <row r="929" spans="1:14" x14ac:dyDescent="0.25">
      <c r="A929" s="12" t="s">
        <v>2908</v>
      </c>
      <c r="B929" s="12" t="s">
        <v>2909</v>
      </c>
      <c r="C929" s="12" t="s">
        <v>2910</v>
      </c>
      <c r="D929" t="s">
        <v>59</v>
      </c>
      <c r="E929" s="12" t="s">
        <v>3179</v>
      </c>
      <c r="F929" s="12" t="s">
        <v>114</v>
      </c>
      <c r="G929" s="12" t="s">
        <v>5122</v>
      </c>
      <c r="H929" s="12" t="s">
        <v>2909</v>
      </c>
      <c r="I929" s="84">
        <v>2600123</v>
      </c>
      <c r="J929" s="12" t="s">
        <v>5102</v>
      </c>
      <c r="L929" s="12" t="str">
        <f>IF(OR(ISBLANK(tblSites[[#This Row],[Implementing Partner]]), tblSites[[#This Row],[Implementing Partner]]="-"), tblSites[[#This Row],[Site Agency]], tblSites[[#This Row],[Implementing Partner]])</f>
        <v>No SMA</v>
      </c>
      <c r="M929" s="12" t="s">
        <v>55</v>
      </c>
      <c r="N929" s="12" t="str">
        <f>tblSites[[#This Row],[FinalImplementingPartner]]</f>
        <v>No SMA</v>
      </c>
    </row>
    <row r="930" spans="1:14" x14ac:dyDescent="0.25">
      <c r="A930" s="12" t="s">
        <v>2911</v>
      </c>
      <c r="B930" s="12" t="s">
        <v>432</v>
      </c>
      <c r="C930" s="12" t="s">
        <v>433</v>
      </c>
      <c r="D930" t="s">
        <v>59</v>
      </c>
      <c r="E930" s="12" t="s">
        <v>3179</v>
      </c>
      <c r="F930" s="12" t="s">
        <v>60</v>
      </c>
      <c r="G930" s="12" t="s">
        <v>5119</v>
      </c>
      <c r="H930" s="12" t="s">
        <v>432</v>
      </c>
      <c r="I930" s="84">
        <v>2600119</v>
      </c>
      <c r="J930" s="12" t="s">
        <v>5102</v>
      </c>
      <c r="L930" s="12" t="str">
        <f>IF(OR(ISBLANK(tblSites[[#This Row],[Implementing Partner]]), tblSites[[#This Row],[Implementing Partner]]="-"), tblSites[[#This Row],[Site Agency]], tblSites[[#This Row],[Implementing Partner]])</f>
        <v>No SMA</v>
      </c>
      <c r="M930" s="12" t="s">
        <v>55</v>
      </c>
      <c r="N930" s="12" t="str">
        <f>tblSites[[#This Row],[FinalImplementingPartner]]</f>
        <v>No SMA</v>
      </c>
    </row>
    <row r="931" spans="1:14" x14ac:dyDescent="0.25">
      <c r="A931" s="12" t="s">
        <v>1998</v>
      </c>
      <c r="B931" s="12" t="s">
        <v>1999</v>
      </c>
      <c r="C931" s="12" t="s">
        <v>2000</v>
      </c>
      <c r="D931" t="s">
        <v>59</v>
      </c>
      <c r="E931" s="12" t="s">
        <v>3179</v>
      </c>
      <c r="F931" s="12" t="s">
        <v>67</v>
      </c>
      <c r="G931" s="12" t="s">
        <v>5109</v>
      </c>
      <c r="H931" s="12" t="s">
        <v>1999</v>
      </c>
      <c r="I931" s="84">
        <v>2600118</v>
      </c>
      <c r="J931" s="12" t="s">
        <v>5102</v>
      </c>
      <c r="L931" s="12" t="str">
        <f>IF(OR(ISBLANK(tblSites[[#This Row],[Implementing Partner]]), tblSites[[#This Row],[Implementing Partner]]="-"), tblSites[[#This Row],[Site Agency]], tblSites[[#This Row],[Implementing Partner]])</f>
        <v>No SMA</v>
      </c>
      <c r="M931" s="12" t="s">
        <v>55</v>
      </c>
      <c r="N931" s="12" t="str">
        <f>tblSites[[#This Row],[FinalImplementingPartner]]</f>
        <v>No SMA</v>
      </c>
    </row>
    <row r="932" spans="1:14" x14ac:dyDescent="0.25">
      <c r="A932" s="12" t="s">
        <v>417</v>
      </c>
      <c r="B932" s="12" t="s">
        <v>418</v>
      </c>
      <c r="C932" s="12" t="s">
        <v>419</v>
      </c>
      <c r="D932" t="s">
        <v>59</v>
      </c>
      <c r="E932" s="12" t="s">
        <v>3179</v>
      </c>
      <c r="F932" s="12" t="s">
        <v>60</v>
      </c>
      <c r="G932" s="12" t="s">
        <v>5117</v>
      </c>
      <c r="H932" s="12" t="s">
        <v>418</v>
      </c>
      <c r="I932" s="84">
        <v>2600119</v>
      </c>
      <c r="J932" s="12" t="s">
        <v>5</v>
      </c>
      <c r="K932" s="12" t="s">
        <v>83</v>
      </c>
      <c r="L932" s="12" t="str">
        <f>IF(OR(ISBLANK(tblSites[[#This Row],[Implementing Partner]]), tblSites[[#This Row],[Implementing Partner]]="-"), tblSites[[#This Row],[Site Agency]], tblSites[[#This Row],[Implementing Partner]])</f>
        <v>CESVI</v>
      </c>
      <c r="M932" s="12" t="s">
        <v>55</v>
      </c>
      <c r="N932" s="12" t="str">
        <f>tblSites[[#This Row],[FinalImplementingPartner]]</f>
        <v>CESVI</v>
      </c>
    </row>
    <row r="933" spans="1:14" x14ac:dyDescent="0.25">
      <c r="A933" s="12" t="s">
        <v>536</v>
      </c>
      <c r="B933" s="12" t="s">
        <v>537</v>
      </c>
      <c r="C933" s="12" t="s">
        <v>538</v>
      </c>
      <c r="D933" t="s">
        <v>59</v>
      </c>
      <c r="E933" s="12" t="s">
        <v>3179</v>
      </c>
      <c r="F933" s="12" t="s">
        <v>114</v>
      </c>
      <c r="G933" s="12" t="s">
        <v>5122</v>
      </c>
      <c r="H933" s="12" t="s">
        <v>537</v>
      </c>
      <c r="I933" s="84">
        <v>2600123</v>
      </c>
      <c r="J933" s="12" t="s">
        <v>5102</v>
      </c>
      <c r="L933" s="12" t="str">
        <f>IF(OR(ISBLANK(tblSites[[#This Row],[Implementing Partner]]), tblSites[[#This Row],[Implementing Partner]]="-"), tblSites[[#This Row],[Site Agency]], tblSites[[#This Row],[Implementing Partner]])</f>
        <v>No SMA</v>
      </c>
      <c r="M933" s="12" t="s">
        <v>55</v>
      </c>
      <c r="N933" s="12" t="str">
        <f>tblSites[[#This Row],[FinalImplementingPartner]]</f>
        <v>No SMA</v>
      </c>
    </row>
    <row r="934" spans="1:14" x14ac:dyDescent="0.25">
      <c r="A934" s="12" t="s">
        <v>551</v>
      </c>
      <c r="B934" s="12" t="s">
        <v>552</v>
      </c>
      <c r="C934" s="12" t="s">
        <v>553</v>
      </c>
      <c r="D934" t="s">
        <v>59</v>
      </c>
      <c r="E934" s="12" t="s">
        <v>3179</v>
      </c>
      <c r="F934" s="12" t="s">
        <v>60</v>
      </c>
      <c r="G934" s="12" t="s">
        <v>5119</v>
      </c>
      <c r="H934" s="12" t="s">
        <v>552</v>
      </c>
      <c r="I934" s="84">
        <v>2600119</v>
      </c>
      <c r="J934" s="12" t="s">
        <v>5102</v>
      </c>
      <c r="L934" s="12" t="str">
        <f>IF(OR(ISBLANK(tblSites[[#This Row],[Implementing Partner]]), tblSites[[#This Row],[Implementing Partner]]="-"), tblSites[[#This Row],[Site Agency]], tblSites[[#This Row],[Implementing Partner]])</f>
        <v>No SMA</v>
      </c>
      <c r="M934" s="12" t="s">
        <v>55</v>
      </c>
      <c r="N934" s="12" t="str">
        <f>tblSites[[#This Row],[FinalImplementingPartner]]</f>
        <v>No SMA</v>
      </c>
    </row>
    <row r="935" spans="1:14" x14ac:dyDescent="0.25">
      <c r="A935" s="12" t="s">
        <v>319</v>
      </c>
      <c r="B935" s="12" t="s">
        <v>320</v>
      </c>
      <c r="C935" s="12" t="s">
        <v>150</v>
      </c>
      <c r="D935" t="s">
        <v>59</v>
      </c>
      <c r="E935" s="12" t="s">
        <v>3179</v>
      </c>
      <c r="F935" s="12" t="s">
        <v>67</v>
      </c>
      <c r="G935" s="12" t="s">
        <v>5109</v>
      </c>
      <c r="H935" s="12" t="s">
        <v>320</v>
      </c>
      <c r="I935" s="84">
        <v>2600118</v>
      </c>
      <c r="J935" s="12" t="s">
        <v>5102</v>
      </c>
      <c r="L935" s="12" t="str">
        <f>IF(OR(ISBLANK(tblSites[[#This Row],[Implementing Partner]]), tblSites[[#This Row],[Implementing Partner]]="-"), tblSites[[#This Row],[Site Agency]], tblSites[[#This Row],[Implementing Partner]])</f>
        <v>No SMA</v>
      </c>
      <c r="M935" s="12" t="s">
        <v>55</v>
      </c>
      <c r="N935" s="12" t="str">
        <f>tblSites[[#This Row],[FinalImplementingPartner]]</f>
        <v>No SMA</v>
      </c>
    </row>
    <row r="936" spans="1:14" x14ac:dyDescent="0.25">
      <c r="A936" s="12" t="s">
        <v>316</v>
      </c>
      <c r="B936" s="12" t="s">
        <v>317</v>
      </c>
      <c r="C936" s="12" t="s">
        <v>318</v>
      </c>
      <c r="D936" t="s">
        <v>59</v>
      </c>
      <c r="E936" s="12" t="s">
        <v>3179</v>
      </c>
      <c r="F936" s="12" t="s">
        <v>60</v>
      </c>
      <c r="G936" s="12" t="s">
        <v>5119</v>
      </c>
      <c r="H936" s="12" t="s">
        <v>317</v>
      </c>
      <c r="I936" s="84">
        <v>2600119</v>
      </c>
      <c r="J936" s="12" t="s">
        <v>5102</v>
      </c>
      <c r="L936" s="12" t="str">
        <f>IF(OR(ISBLANK(tblSites[[#This Row],[Implementing Partner]]), tblSites[[#This Row],[Implementing Partner]]="-"), tblSites[[#This Row],[Site Agency]], tblSites[[#This Row],[Implementing Partner]])</f>
        <v>No SMA</v>
      </c>
      <c r="M936" s="12" t="s">
        <v>55</v>
      </c>
      <c r="N936" s="12" t="str">
        <f>tblSites[[#This Row],[FinalImplementingPartner]]</f>
        <v>No SMA</v>
      </c>
    </row>
    <row r="937" spans="1:14" x14ac:dyDescent="0.25">
      <c r="A937" s="12" t="s">
        <v>2912</v>
      </c>
      <c r="B937" s="12" t="s">
        <v>2913</v>
      </c>
      <c r="C937" s="12" t="s">
        <v>2914</v>
      </c>
      <c r="D937" t="s">
        <v>59</v>
      </c>
      <c r="E937" s="12" t="s">
        <v>3179</v>
      </c>
      <c r="F937" s="12" t="s">
        <v>60</v>
      </c>
      <c r="G937" s="12" t="s">
        <v>5119</v>
      </c>
      <c r="H937" s="12" t="s">
        <v>2913</v>
      </c>
      <c r="I937" s="84">
        <v>2600119</v>
      </c>
      <c r="J937" s="12" t="s">
        <v>5102</v>
      </c>
      <c r="L937" s="12" t="str">
        <f>IF(OR(ISBLANK(tblSites[[#This Row],[Implementing Partner]]), tblSites[[#This Row],[Implementing Partner]]="-"), tblSites[[#This Row],[Site Agency]], tblSites[[#This Row],[Implementing Partner]])</f>
        <v>No SMA</v>
      </c>
      <c r="M937" s="12" t="s">
        <v>55</v>
      </c>
      <c r="N937" s="12" t="str">
        <f>tblSites[[#This Row],[FinalImplementingPartner]]</f>
        <v>No SMA</v>
      </c>
    </row>
    <row r="938" spans="1:14" x14ac:dyDescent="0.25">
      <c r="A938" s="12" t="s">
        <v>479</v>
      </c>
      <c r="B938" s="12" t="s">
        <v>480</v>
      </c>
      <c r="C938" s="12" t="s">
        <v>481</v>
      </c>
      <c r="D938" t="s">
        <v>59</v>
      </c>
      <c r="E938" s="12" t="s">
        <v>3179</v>
      </c>
      <c r="F938" s="12" t="s">
        <v>60</v>
      </c>
      <c r="G938" s="12" t="s">
        <v>5119</v>
      </c>
      <c r="H938" s="12" t="s">
        <v>480</v>
      </c>
      <c r="I938" s="84">
        <v>2600119</v>
      </c>
      <c r="J938" s="12" t="s">
        <v>5102</v>
      </c>
      <c r="L938" s="12" t="str">
        <f>IF(OR(ISBLANK(tblSites[[#This Row],[Implementing Partner]]), tblSites[[#This Row],[Implementing Partner]]="-"), tblSites[[#This Row],[Site Agency]], tblSites[[#This Row],[Implementing Partner]])</f>
        <v>No SMA</v>
      </c>
      <c r="M938" s="12" t="s">
        <v>55</v>
      </c>
      <c r="N938" s="12" t="str">
        <f>tblSites[[#This Row],[FinalImplementingPartner]]</f>
        <v>No SMA</v>
      </c>
    </row>
    <row r="939" spans="1:14" x14ac:dyDescent="0.25">
      <c r="A939" s="12" t="s">
        <v>362</v>
      </c>
      <c r="B939" s="12" t="s">
        <v>363</v>
      </c>
      <c r="C939" s="12" t="s">
        <v>364</v>
      </c>
      <c r="D939" t="s">
        <v>59</v>
      </c>
      <c r="E939" s="12" t="s">
        <v>3179</v>
      </c>
      <c r="F939" s="12" t="s">
        <v>114</v>
      </c>
      <c r="G939" s="12" t="s">
        <v>5122</v>
      </c>
      <c r="H939" s="12" t="s">
        <v>363</v>
      </c>
      <c r="I939" s="84">
        <v>2600123</v>
      </c>
      <c r="J939" s="12" t="s">
        <v>5102</v>
      </c>
      <c r="L939" s="12" t="str">
        <f>IF(OR(ISBLANK(tblSites[[#This Row],[Implementing Partner]]), tblSites[[#This Row],[Implementing Partner]]="-"), tblSites[[#This Row],[Site Agency]], tblSites[[#This Row],[Implementing Partner]])</f>
        <v>No SMA</v>
      </c>
      <c r="M939" s="12" t="s">
        <v>55</v>
      </c>
      <c r="N939" s="12" t="str">
        <f>tblSites[[#This Row],[FinalImplementingPartner]]</f>
        <v>No SMA</v>
      </c>
    </row>
    <row r="940" spans="1:14" x14ac:dyDescent="0.25">
      <c r="A940" s="12" t="s">
        <v>453</v>
      </c>
      <c r="B940" s="12" t="s">
        <v>454</v>
      </c>
      <c r="C940" s="12" t="s">
        <v>455</v>
      </c>
      <c r="D940" t="s">
        <v>59</v>
      </c>
      <c r="E940" s="12" t="s">
        <v>3179</v>
      </c>
      <c r="F940" s="12" t="s">
        <v>67</v>
      </c>
      <c r="G940" s="12" t="s">
        <v>5109</v>
      </c>
      <c r="H940" s="12" t="s">
        <v>454</v>
      </c>
      <c r="I940" s="84">
        <v>2600118</v>
      </c>
      <c r="J940" s="12" t="s">
        <v>5102</v>
      </c>
      <c r="L940" s="12" t="str">
        <f>IF(OR(ISBLANK(tblSites[[#This Row],[Implementing Partner]]), tblSites[[#This Row],[Implementing Partner]]="-"), tblSites[[#This Row],[Site Agency]], tblSites[[#This Row],[Implementing Partner]])</f>
        <v>No SMA</v>
      </c>
      <c r="M940" s="12" t="s">
        <v>55</v>
      </c>
      <c r="N940" s="12" t="str">
        <f>tblSites[[#This Row],[FinalImplementingPartner]]</f>
        <v>No SMA</v>
      </c>
    </row>
    <row r="941" spans="1:14" x14ac:dyDescent="0.25">
      <c r="A941" s="12" t="s">
        <v>2915</v>
      </c>
      <c r="B941" s="12" t="s">
        <v>2916</v>
      </c>
      <c r="C941" s="12" t="s">
        <v>2917</v>
      </c>
      <c r="D941" t="s">
        <v>59</v>
      </c>
      <c r="E941" s="12" t="s">
        <v>3179</v>
      </c>
      <c r="F941" s="12" t="s">
        <v>67</v>
      </c>
      <c r="G941" s="12" t="s">
        <v>5109</v>
      </c>
      <c r="H941" s="12" t="s">
        <v>2916</v>
      </c>
      <c r="I941" s="84">
        <v>2600118</v>
      </c>
      <c r="J941" s="12" t="s">
        <v>5102</v>
      </c>
      <c r="L941" s="12" t="str">
        <f>IF(OR(ISBLANK(tblSites[[#This Row],[Implementing Partner]]), tblSites[[#This Row],[Implementing Partner]]="-"), tblSites[[#This Row],[Site Agency]], tblSites[[#This Row],[Implementing Partner]])</f>
        <v>No SMA</v>
      </c>
      <c r="M941" s="12" t="s">
        <v>55</v>
      </c>
      <c r="N941" s="12" t="str">
        <f>tblSites[[#This Row],[FinalImplementingPartner]]</f>
        <v>No SMA</v>
      </c>
    </row>
    <row r="942" spans="1:14" x14ac:dyDescent="0.25">
      <c r="A942" s="12" t="s">
        <v>414</v>
      </c>
      <c r="B942" s="12" t="s">
        <v>415</v>
      </c>
      <c r="C942" s="12" t="s">
        <v>416</v>
      </c>
      <c r="D942" t="s">
        <v>59</v>
      </c>
      <c r="E942" s="12" t="s">
        <v>3179</v>
      </c>
      <c r="F942" s="12" t="s">
        <v>60</v>
      </c>
      <c r="G942" s="12" t="s">
        <v>5117</v>
      </c>
      <c r="H942" s="12" t="s">
        <v>415</v>
      </c>
      <c r="I942" s="84">
        <v>2600119</v>
      </c>
      <c r="J942" s="12" t="s">
        <v>5</v>
      </c>
      <c r="K942" s="12" t="s">
        <v>83</v>
      </c>
      <c r="L942" s="12" t="str">
        <f>IF(OR(ISBLANK(tblSites[[#This Row],[Implementing Partner]]), tblSites[[#This Row],[Implementing Partner]]="-"), tblSites[[#This Row],[Site Agency]], tblSites[[#This Row],[Implementing Partner]])</f>
        <v>CESVI</v>
      </c>
      <c r="M942" s="12" t="s">
        <v>55</v>
      </c>
      <c r="N942" s="12" t="str">
        <f>tblSites[[#This Row],[FinalImplementingPartner]]</f>
        <v>CESVI</v>
      </c>
    </row>
    <row r="943" spans="1:14" x14ac:dyDescent="0.25">
      <c r="A943" s="12" t="s">
        <v>1144</v>
      </c>
      <c r="B943" s="12" t="s">
        <v>1145</v>
      </c>
      <c r="C943" s="12" t="s">
        <v>1146</v>
      </c>
      <c r="D943" t="s">
        <v>5314</v>
      </c>
      <c r="E943" s="12" t="s">
        <v>3176</v>
      </c>
      <c r="F943" s="12" t="s">
        <v>173</v>
      </c>
      <c r="G943" s="12" t="s">
        <v>5404</v>
      </c>
      <c r="H943" s="12" t="s">
        <v>1145</v>
      </c>
      <c r="I943" s="84">
        <v>27002105</v>
      </c>
      <c r="J943" s="12" t="s">
        <v>5102</v>
      </c>
      <c r="L943" s="12" t="str">
        <f>IF(OR(ISBLANK(tblSites[[#This Row],[Implementing Partner]]), tblSites[[#This Row],[Implementing Partner]]="-"), tblSites[[#This Row],[Site Agency]], tblSites[[#This Row],[Implementing Partner]])</f>
        <v>No SMA</v>
      </c>
      <c r="M943" s="12" t="s">
        <v>55</v>
      </c>
      <c r="N943" s="12" t="str">
        <f>tblSites[[#This Row],[FinalImplementingPartner]]</f>
        <v>No SMA</v>
      </c>
    </row>
    <row r="944" spans="1:14" x14ac:dyDescent="0.25">
      <c r="A944" s="12" t="s">
        <v>192</v>
      </c>
      <c r="B944" s="12" t="s">
        <v>193</v>
      </c>
      <c r="C944" s="12" t="s">
        <v>194</v>
      </c>
      <c r="D944" t="s">
        <v>5314</v>
      </c>
      <c r="E944" s="12" t="s">
        <v>3176</v>
      </c>
      <c r="F944" s="12" t="s">
        <v>53</v>
      </c>
      <c r="G944" s="12" t="s">
        <v>5405</v>
      </c>
      <c r="H944" s="12" t="s">
        <v>193</v>
      </c>
      <c r="I944" s="84">
        <v>27002154</v>
      </c>
      <c r="J944" s="12" t="s">
        <v>7</v>
      </c>
      <c r="L944" s="12" t="str">
        <f>IF(OR(ISBLANK(tblSites[[#This Row],[Implementing Partner]]), tblSites[[#This Row],[Implementing Partner]]="-"), tblSites[[#This Row],[Site Agency]], tblSites[[#This Row],[Implementing Partner]])</f>
        <v>ACTED</v>
      </c>
      <c r="M944" s="12" t="s">
        <v>55</v>
      </c>
      <c r="N944" s="12" t="str">
        <f>tblSites[[#This Row],[FinalImplementingPartner]]</f>
        <v>ACTED</v>
      </c>
    </row>
    <row r="945" spans="1:14" x14ac:dyDescent="0.25">
      <c r="A945" s="12" t="s">
        <v>344</v>
      </c>
      <c r="B945" s="12" t="s">
        <v>4341</v>
      </c>
      <c r="C945" s="12" t="s">
        <v>345</v>
      </c>
      <c r="D945" t="s">
        <v>5314</v>
      </c>
      <c r="E945" s="12" t="s">
        <v>3176</v>
      </c>
      <c r="F945" s="12" t="s">
        <v>173</v>
      </c>
      <c r="G945" s="12" t="s">
        <v>5404</v>
      </c>
      <c r="H945" s="12" t="s">
        <v>4341</v>
      </c>
      <c r="I945" s="84">
        <v>27002105</v>
      </c>
      <c r="J945" s="12" t="s">
        <v>5102</v>
      </c>
      <c r="L945" s="12" t="str">
        <f>IF(OR(ISBLANK(tblSites[[#This Row],[Implementing Partner]]), tblSites[[#This Row],[Implementing Partner]]="-"), tblSites[[#This Row],[Site Agency]], tblSites[[#This Row],[Implementing Partner]])</f>
        <v>No SMA</v>
      </c>
      <c r="M945" s="12" t="s">
        <v>55</v>
      </c>
      <c r="N945" s="12" t="str">
        <f>tblSites[[#This Row],[FinalImplementingPartner]]</f>
        <v>No SMA</v>
      </c>
    </row>
    <row r="946" spans="1:14" x14ac:dyDescent="0.25">
      <c r="A946" s="12" t="s">
        <v>1373</v>
      </c>
      <c r="B946" s="12" t="s">
        <v>1374</v>
      </c>
      <c r="D946" t="s">
        <v>5314</v>
      </c>
      <c r="E946" s="12" t="s">
        <v>3176</v>
      </c>
      <c r="F946" s="12" t="s">
        <v>53</v>
      </c>
      <c r="G946" s="12" t="s">
        <v>5406</v>
      </c>
      <c r="H946" s="12" t="s">
        <v>1374</v>
      </c>
      <c r="I946" s="84">
        <v>27002154</v>
      </c>
      <c r="J946" s="12" t="s">
        <v>5102</v>
      </c>
      <c r="L946" s="12" t="str">
        <f>IF(OR(ISBLANK(tblSites[[#This Row],[Implementing Partner]]), tblSites[[#This Row],[Implementing Partner]]="-"), tblSites[[#This Row],[Site Agency]], tblSites[[#This Row],[Implementing Partner]])</f>
        <v>No SMA</v>
      </c>
      <c r="M946" s="12" t="s">
        <v>55</v>
      </c>
      <c r="N946" s="12" t="str">
        <f>tblSites[[#This Row],[FinalImplementingPartner]]</f>
        <v>No SMA</v>
      </c>
    </row>
    <row r="947" spans="1:14" x14ac:dyDescent="0.25">
      <c r="A947" s="12" t="s">
        <v>636</v>
      </c>
      <c r="B947" s="12" t="s">
        <v>637</v>
      </c>
      <c r="C947" s="12" t="s">
        <v>638</v>
      </c>
      <c r="D947" t="s">
        <v>5314</v>
      </c>
      <c r="E947" s="12" t="s">
        <v>3176</v>
      </c>
      <c r="F947" s="12" t="s">
        <v>53</v>
      </c>
      <c r="G947" s="12" t="s">
        <v>5405</v>
      </c>
      <c r="H947" s="12" t="s">
        <v>637</v>
      </c>
      <c r="I947" s="84">
        <v>27002154</v>
      </c>
      <c r="J947" s="12" t="s">
        <v>5</v>
      </c>
      <c r="K947" s="12" t="s">
        <v>7</v>
      </c>
      <c r="L947" s="12" t="str">
        <f>IF(OR(ISBLANK(tblSites[[#This Row],[Implementing Partner]]), tblSites[[#This Row],[Implementing Partner]]="-"), tblSites[[#This Row],[Site Agency]], tblSites[[#This Row],[Implementing Partner]])</f>
        <v>ACTED</v>
      </c>
      <c r="M947" s="12" t="s">
        <v>55</v>
      </c>
      <c r="N947" s="12" t="str">
        <f>tblSites[[#This Row],[FinalImplementingPartner]]</f>
        <v>ACTED</v>
      </c>
    </row>
    <row r="948" spans="1:14" x14ac:dyDescent="0.25">
      <c r="A948" s="12" t="s">
        <v>257</v>
      </c>
      <c r="B948" s="12" t="s">
        <v>258</v>
      </c>
      <c r="C948" s="12" t="s">
        <v>259</v>
      </c>
      <c r="D948" t="s">
        <v>5314</v>
      </c>
      <c r="E948" s="12" t="s">
        <v>3176</v>
      </c>
      <c r="F948" s="12" t="s">
        <v>53</v>
      </c>
      <c r="G948" s="12" t="s">
        <v>5405</v>
      </c>
      <c r="H948" s="12" t="s">
        <v>258</v>
      </c>
      <c r="I948" s="84">
        <v>27002154</v>
      </c>
      <c r="J948" s="12" t="s">
        <v>7</v>
      </c>
      <c r="L948" s="12" t="str">
        <f>IF(OR(ISBLANK(tblSites[[#This Row],[Implementing Partner]]), tblSites[[#This Row],[Implementing Partner]]="-"), tblSites[[#This Row],[Site Agency]], tblSites[[#This Row],[Implementing Partner]])</f>
        <v>ACTED</v>
      </c>
      <c r="M948" s="12" t="s">
        <v>55</v>
      </c>
      <c r="N948" s="12" t="str">
        <f>tblSites[[#This Row],[FinalImplementingPartner]]</f>
        <v>ACTED</v>
      </c>
    </row>
    <row r="949" spans="1:14" x14ac:dyDescent="0.25">
      <c r="A949" s="12" t="s">
        <v>1153</v>
      </c>
      <c r="B949" s="12" t="s">
        <v>1154</v>
      </c>
      <c r="D949" t="s">
        <v>5314</v>
      </c>
      <c r="E949" s="12" t="s">
        <v>3176</v>
      </c>
      <c r="F949" s="12" t="s">
        <v>53</v>
      </c>
      <c r="G949" s="12" t="s">
        <v>5406</v>
      </c>
      <c r="H949" s="12" t="s">
        <v>1154</v>
      </c>
      <c r="I949" s="84">
        <v>27002154</v>
      </c>
      <c r="J949" s="12" t="s">
        <v>5102</v>
      </c>
      <c r="L949" s="12" t="str">
        <f>IF(OR(ISBLANK(tblSites[[#This Row],[Implementing Partner]]), tblSites[[#This Row],[Implementing Partner]]="-"), tblSites[[#This Row],[Site Agency]], tblSites[[#This Row],[Implementing Partner]])</f>
        <v>No SMA</v>
      </c>
      <c r="M949" s="12" t="s">
        <v>55</v>
      </c>
      <c r="N949" s="12" t="str">
        <f>tblSites[[#This Row],[FinalImplementingPartner]]</f>
        <v>No SMA</v>
      </c>
    </row>
    <row r="950" spans="1:14" x14ac:dyDescent="0.25">
      <c r="A950" s="12" t="s">
        <v>198</v>
      </c>
      <c r="B950" s="12" t="s">
        <v>199</v>
      </c>
      <c r="C950" s="12" t="s">
        <v>200</v>
      </c>
      <c r="D950" t="s">
        <v>5314</v>
      </c>
      <c r="E950" s="12" t="s">
        <v>3176</v>
      </c>
      <c r="F950" s="12" t="s">
        <v>173</v>
      </c>
      <c r="G950" s="12" t="s">
        <v>5407</v>
      </c>
      <c r="H950" s="12" t="s">
        <v>199</v>
      </c>
      <c r="I950" s="84">
        <v>27002105</v>
      </c>
      <c r="J950" s="12" t="s">
        <v>7</v>
      </c>
      <c r="L950" s="12" t="str">
        <f>IF(OR(ISBLANK(tblSites[[#This Row],[Implementing Partner]]), tblSites[[#This Row],[Implementing Partner]]="-"), tblSites[[#This Row],[Site Agency]], tblSites[[#This Row],[Implementing Partner]])</f>
        <v>ACTED</v>
      </c>
      <c r="M950" s="12" t="s">
        <v>55</v>
      </c>
      <c r="N950" s="12" t="str">
        <f>tblSites[[#This Row],[FinalImplementingPartner]]</f>
        <v>ACTED</v>
      </c>
    </row>
    <row r="951" spans="1:14" x14ac:dyDescent="0.25">
      <c r="A951" s="12" t="s">
        <v>2331</v>
      </c>
      <c r="B951" s="12" t="s">
        <v>2332</v>
      </c>
      <c r="D951" t="s">
        <v>5314</v>
      </c>
      <c r="E951" s="12" t="s">
        <v>3176</v>
      </c>
      <c r="F951" s="12" t="s">
        <v>173</v>
      </c>
      <c r="G951" s="12" t="s">
        <v>5404</v>
      </c>
      <c r="H951" s="12" t="s">
        <v>2332</v>
      </c>
      <c r="I951" s="84">
        <v>27002105</v>
      </c>
      <c r="J951" s="12" t="s">
        <v>5102</v>
      </c>
      <c r="L951" s="12" t="str">
        <f>IF(OR(ISBLANK(tblSites[[#This Row],[Implementing Partner]]), tblSites[[#This Row],[Implementing Partner]]="-"), tblSites[[#This Row],[Site Agency]], tblSites[[#This Row],[Implementing Partner]])</f>
        <v>No SMA</v>
      </c>
      <c r="M951" s="12" t="s">
        <v>55</v>
      </c>
      <c r="N951" s="12" t="str">
        <f>tblSites[[#This Row],[FinalImplementingPartner]]</f>
        <v>No SMA</v>
      </c>
    </row>
    <row r="952" spans="1:14" x14ac:dyDescent="0.25">
      <c r="A952" s="12" t="s">
        <v>1549</v>
      </c>
      <c r="B952" s="12" t="s">
        <v>1550</v>
      </c>
      <c r="C952" s="12" t="s">
        <v>1551</v>
      </c>
      <c r="D952" t="s">
        <v>5314</v>
      </c>
      <c r="E952" s="12" t="s">
        <v>3176</v>
      </c>
      <c r="F952" s="12" t="s">
        <v>135</v>
      </c>
      <c r="G952" s="12" t="s">
        <v>5408</v>
      </c>
      <c r="H952" s="12" t="s">
        <v>1550</v>
      </c>
      <c r="I952" s="84">
        <v>27002100</v>
      </c>
      <c r="J952" s="12" t="s">
        <v>5102</v>
      </c>
      <c r="L952" s="12" t="str">
        <f>IF(OR(ISBLANK(tblSites[[#This Row],[Implementing Partner]]), tblSites[[#This Row],[Implementing Partner]]="-"), tblSites[[#This Row],[Site Agency]], tblSites[[#This Row],[Implementing Partner]])</f>
        <v>No SMA</v>
      </c>
      <c r="M952" s="12" t="s">
        <v>55</v>
      </c>
      <c r="N952" s="12" t="str">
        <f>tblSites[[#This Row],[FinalImplementingPartner]]</f>
        <v>No SMA</v>
      </c>
    </row>
    <row r="953" spans="1:14" x14ac:dyDescent="0.25">
      <c r="A953" s="12" t="s">
        <v>2918</v>
      </c>
      <c r="B953" s="12" t="s">
        <v>2919</v>
      </c>
      <c r="D953" t="s">
        <v>5314</v>
      </c>
      <c r="E953" s="12" t="s">
        <v>3176</v>
      </c>
      <c r="F953" s="12" t="s">
        <v>472</v>
      </c>
      <c r="G953" s="12" t="s">
        <v>5409</v>
      </c>
      <c r="H953" s="12" t="s">
        <v>2919</v>
      </c>
      <c r="I953" s="84">
        <v>27002103</v>
      </c>
      <c r="J953" s="12" t="s">
        <v>5102</v>
      </c>
      <c r="L953" s="12" t="str">
        <f>IF(OR(ISBLANK(tblSites[[#This Row],[Implementing Partner]]), tblSites[[#This Row],[Implementing Partner]]="-"), tblSites[[#This Row],[Site Agency]], tblSites[[#This Row],[Implementing Partner]])</f>
        <v>No SMA</v>
      </c>
      <c r="M953" s="12" t="s">
        <v>55</v>
      </c>
      <c r="N953" s="12" t="str">
        <f>tblSites[[#This Row],[FinalImplementingPartner]]</f>
        <v>No SMA</v>
      </c>
    </row>
    <row r="954" spans="1:14" x14ac:dyDescent="0.25">
      <c r="A954" s="12" t="s">
        <v>2920</v>
      </c>
      <c r="B954" s="12" t="s">
        <v>2921</v>
      </c>
      <c r="D954" t="s">
        <v>5314</v>
      </c>
      <c r="E954" s="12" t="s">
        <v>3176</v>
      </c>
      <c r="F954" s="12" t="s">
        <v>440</v>
      </c>
      <c r="G954" s="12" t="s">
        <v>5410</v>
      </c>
      <c r="H954" s="12" t="s">
        <v>2921</v>
      </c>
      <c r="I954" s="84">
        <v>27003176</v>
      </c>
      <c r="J954" s="12" t="s">
        <v>5102</v>
      </c>
      <c r="L954" s="12" t="str">
        <f>IF(OR(ISBLANK(tblSites[[#This Row],[Implementing Partner]]), tblSites[[#This Row],[Implementing Partner]]="-"), tblSites[[#This Row],[Site Agency]], tblSites[[#This Row],[Implementing Partner]])</f>
        <v>No SMA</v>
      </c>
      <c r="M954" s="12" t="s">
        <v>55</v>
      </c>
      <c r="N954" s="12" t="str">
        <f>tblSites[[#This Row],[FinalImplementingPartner]]</f>
        <v>No SMA</v>
      </c>
    </row>
    <row r="955" spans="1:14" x14ac:dyDescent="0.25">
      <c r="A955" s="12" t="s">
        <v>2922</v>
      </c>
      <c r="B955" s="12" t="s">
        <v>2923</v>
      </c>
      <c r="D955" t="s">
        <v>5314</v>
      </c>
      <c r="E955" s="12" t="s">
        <v>3176</v>
      </c>
      <c r="F955" s="12" t="s">
        <v>440</v>
      </c>
      <c r="G955" s="12" t="s">
        <v>5410</v>
      </c>
      <c r="H955" s="12" t="s">
        <v>2923</v>
      </c>
      <c r="I955" s="84">
        <v>27003176</v>
      </c>
      <c r="J955" s="12" t="s">
        <v>5102</v>
      </c>
      <c r="L955" s="12" t="str">
        <f>IF(OR(ISBLANK(tblSites[[#This Row],[Implementing Partner]]), tblSites[[#This Row],[Implementing Partner]]="-"), tblSites[[#This Row],[Site Agency]], tblSites[[#This Row],[Implementing Partner]])</f>
        <v>No SMA</v>
      </c>
      <c r="M955" s="12" t="s">
        <v>55</v>
      </c>
      <c r="N955" s="12" t="str">
        <f>tblSites[[#This Row],[FinalImplementingPartner]]</f>
        <v>No SMA</v>
      </c>
    </row>
    <row r="956" spans="1:14" x14ac:dyDescent="0.25">
      <c r="A956" s="12" t="s">
        <v>2924</v>
      </c>
      <c r="B956" s="12" t="s">
        <v>2925</v>
      </c>
      <c r="D956" t="s">
        <v>5314</v>
      </c>
      <c r="E956" s="12" t="s">
        <v>3176</v>
      </c>
      <c r="F956" s="12" t="s">
        <v>440</v>
      </c>
      <c r="G956" s="12" t="s">
        <v>5410</v>
      </c>
      <c r="H956" s="12" t="s">
        <v>2925</v>
      </c>
      <c r="I956" s="84">
        <v>27003176</v>
      </c>
      <c r="J956" s="12" t="s">
        <v>5102</v>
      </c>
      <c r="L956" s="12" t="str">
        <f>IF(OR(ISBLANK(tblSites[[#This Row],[Implementing Partner]]), tblSites[[#This Row],[Implementing Partner]]="-"), tblSites[[#This Row],[Site Agency]], tblSites[[#This Row],[Implementing Partner]])</f>
        <v>No SMA</v>
      </c>
      <c r="M956" s="12" t="s">
        <v>55</v>
      </c>
      <c r="N956" s="12" t="str">
        <f>tblSites[[#This Row],[FinalImplementingPartner]]</f>
        <v>No SMA</v>
      </c>
    </row>
    <row r="957" spans="1:14" x14ac:dyDescent="0.25">
      <c r="A957" s="12" t="s">
        <v>1876</v>
      </c>
      <c r="B957" s="12" t="s">
        <v>1877</v>
      </c>
      <c r="C957" s="12" t="s">
        <v>1878</v>
      </c>
      <c r="D957" t="s">
        <v>5314</v>
      </c>
      <c r="E957" s="12" t="s">
        <v>3176</v>
      </c>
      <c r="F957" s="12" t="s">
        <v>325</v>
      </c>
      <c r="G957" s="12" t="s">
        <v>5411</v>
      </c>
      <c r="H957" s="12" t="s">
        <v>1877</v>
      </c>
      <c r="I957" s="84">
        <v>27002104</v>
      </c>
      <c r="J957" s="12" t="s">
        <v>5102</v>
      </c>
      <c r="L957" s="12" t="str">
        <f>IF(OR(ISBLANK(tblSites[[#This Row],[Implementing Partner]]), tblSites[[#This Row],[Implementing Partner]]="-"), tblSites[[#This Row],[Site Agency]], tblSites[[#This Row],[Implementing Partner]])</f>
        <v>No SMA</v>
      </c>
      <c r="M957" s="12" t="s">
        <v>55</v>
      </c>
      <c r="N957" s="12" t="str">
        <f>tblSites[[#This Row],[FinalImplementingPartner]]</f>
        <v>No SMA</v>
      </c>
    </row>
    <row r="958" spans="1:14" x14ac:dyDescent="0.25">
      <c r="A958" s="12" t="s">
        <v>1921</v>
      </c>
      <c r="B958" s="12" t="s">
        <v>1922</v>
      </c>
      <c r="D958" t="s">
        <v>5314</v>
      </c>
      <c r="E958" s="12" t="s">
        <v>3176</v>
      </c>
      <c r="F958" s="12" t="s">
        <v>325</v>
      </c>
      <c r="G958" s="12" t="s">
        <v>5411</v>
      </c>
      <c r="H958" s="12" t="s">
        <v>1922</v>
      </c>
      <c r="I958" s="84">
        <v>27002104</v>
      </c>
      <c r="J958" s="12" t="s">
        <v>5102</v>
      </c>
      <c r="L958" s="12" t="str">
        <f>IF(OR(ISBLANK(tblSites[[#This Row],[Implementing Partner]]), tblSites[[#This Row],[Implementing Partner]]="-"), tblSites[[#This Row],[Site Agency]], tblSites[[#This Row],[Implementing Partner]])</f>
        <v>No SMA</v>
      </c>
      <c r="M958" s="12" t="s">
        <v>55</v>
      </c>
      <c r="N958" s="12" t="str">
        <f>tblSites[[#This Row],[FinalImplementingPartner]]</f>
        <v>No SMA</v>
      </c>
    </row>
    <row r="959" spans="1:14" x14ac:dyDescent="0.25">
      <c r="A959" s="12" t="s">
        <v>1926</v>
      </c>
      <c r="B959" s="12" t="s">
        <v>1927</v>
      </c>
      <c r="C959" s="12" t="s">
        <v>1928</v>
      </c>
      <c r="D959" t="s">
        <v>5314</v>
      </c>
      <c r="E959" s="12" t="s">
        <v>3176</v>
      </c>
      <c r="F959" s="12" t="s">
        <v>325</v>
      </c>
      <c r="G959" s="12" t="s">
        <v>5411</v>
      </c>
      <c r="H959" s="12" t="s">
        <v>1927</v>
      </c>
      <c r="I959" s="84">
        <v>27002104</v>
      </c>
      <c r="J959" s="12" t="s">
        <v>5102</v>
      </c>
      <c r="L959" s="12" t="str">
        <f>IF(OR(ISBLANK(tblSites[[#This Row],[Implementing Partner]]), tblSites[[#This Row],[Implementing Partner]]="-"), tblSites[[#This Row],[Site Agency]], tblSites[[#This Row],[Implementing Partner]])</f>
        <v>No SMA</v>
      </c>
      <c r="M959" s="12" t="s">
        <v>55</v>
      </c>
      <c r="N959" s="12" t="str">
        <f>tblSites[[#This Row],[FinalImplementingPartner]]</f>
        <v>No SMA</v>
      </c>
    </row>
    <row r="960" spans="1:14" x14ac:dyDescent="0.25">
      <c r="A960" s="12" t="s">
        <v>2927</v>
      </c>
      <c r="B960" s="12" t="s">
        <v>2928</v>
      </c>
      <c r="D960" t="s">
        <v>5314</v>
      </c>
      <c r="E960" s="12" t="s">
        <v>3176</v>
      </c>
      <c r="F960" s="12" t="s">
        <v>440</v>
      </c>
      <c r="G960" s="12" t="s">
        <v>5410</v>
      </c>
      <c r="H960" s="12" t="s">
        <v>2928</v>
      </c>
      <c r="I960" s="84">
        <v>27003176</v>
      </c>
      <c r="J960" s="12" t="s">
        <v>5102</v>
      </c>
      <c r="L960" s="12" t="str">
        <f>IF(OR(ISBLANK(tblSites[[#This Row],[Implementing Partner]]), tblSites[[#This Row],[Implementing Partner]]="-"), tblSites[[#This Row],[Site Agency]], tblSites[[#This Row],[Implementing Partner]])</f>
        <v>No SMA</v>
      </c>
      <c r="M960" s="12" t="s">
        <v>55</v>
      </c>
      <c r="N960" s="12" t="str">
        <f>tblSites[[#This Row],[FinalImplementingPartner]]</f>
        <v>No SMA</v>
      </c>
    </row>
    <row r="961" spans="1:14" x14ac:dyDescent="0.25">
      <c r="A961" s="12" t="s">
        <v>2929</v>
      </c>
      <c r="B961" s="12" t="s">
        <v>2930</v>
      </c>
      <c r="D961" t="s">
        <v>5314</v>
      </c>
      <c r="E961" s="12" t="s">
        <v>3176</v>
      </c>
      <c r="F961" s="12" t="s">
        <v>440</v>
      </c>
      <c r="G961" s="12" t="s">
        <v>5410</v>
      </c>
      <c r="H961" s="12" t="s">
        <v>2930</v>
      </c>
      <c r="I961" s="84">
        <v>27003176</v>
      </c>
      <c r="J961" s="12" t="s">
        <v>5102</v>
      </c>
      <c r="L961" s="12" t="str">
        <f>IF(OR(ISBLANK(tblSites[[#This Row],[Implementing Partner]]), tblSites[[#This Row],[Implementing Partner]]="-"), tblSites[[#This Row],[Site Agency]], tblSites[[#This Row],[Implementing Partner]])</f>
        <v>No SMA</v>
      </c>
      <c r="M961" s="12" t="s">
        <v>55</v>
      </c>
      <c r="N961" s="12" t="str">
        <f>tblSites[[#This Row],[FinalImplementingPartner]]</f>
        <v>No SMA</v>
      </c>
    </row>
    <row r="962" spans="1:14" x14ac:dyDescent="0.25">
      <c r="A962" s="12" t="s">
        <v>2931</v>
      </c>
      <c r="B962" s="12" t="s">
        <v>2932</v>
      </c>
      <c r="D962" t="s">
        <v>5314</v>
      </c>
      <c r="E962" s="12" t="s">
        <v>3176</v>
      </c>
      <c r="F962" s="12" t="s">
        <v>440</v>
      </c>
      <c r="G962" s="12" t="s">
        <v>5410</v>
      </c>
      <c r="H962" s="12" t="s">
        <v>2932</v>
      </c>
      <c r="I962" s="84">
        <v>27003176</v>
      </c>
      <c r="J962" s="12" t="s">
        <v>5102</v>
      </c>
      <c r="L962" s="12" t="str">
        <f>IF(OR(ISBLANK(tblSites[[#This Row],[Implementing Partner]]), tblSites[[#This Row],[Implementing Partner]]="-"), tblSites[[#This Row],[Site Agency]], tblSites[[#This Row],[Implementing Partner]])</f>
        <v>No SMA</v>
      </c>
      <c r="M962" s="12" t="s">
        <v>55</v>
      </c>
      <c r="N962" s="12" t="str">
        <f>tblSites[[#This Row],[FinalImplementingPartner]]</f>
        <v>No SMA</v>
      </c>
    </row>
    <row r="963" spans="1:14" x14ac:dyDescent="0.25">
      <c r="A963" s="12" t="s">
        <v>1749</v>
      </c>
      <c r="B963" s="12" t="s">
        <v>1750</v>
      </c>
      <c r="C963" s="12" t="s">
        <v>1751</v>
      </c>
      <c r="D963" t="s">
        <v>5314</v>
      </c>
      <c r="E963" s="12" t="s">
        <v>3176</v>
      </c>
      <c r="F963" s="12" t="s">
        <v>325</v>
      </c>
      <c r="G963" s="12" t="s">
        <v>5411</v>
      </c>
      <c r="H963" s="12" t="s">
        <v>1750</v>
      </c>
      <c r="I963" s="84">
        <v>27002104</v>
      </c>
      <c r="J963" s="12" t="s">
        <v>5102</v>
      </c>
      <c r="L963" s="12" t="str">
        <f>IF(OR(ISBLANK(tblSites[[#This Row],[Implementing Partner]]), tblSites[[#This Row],[Implementing Partner]]="-"), tblSites[[#This Row],[Site Agency]], tblSites[[#This Row],[Implementing Partner]])</f>
        <v>No SMA</v>
      </c>
      <c r="M963" s="12" t="s">
        <v>55</v>
      </c>
      <c r="N963" s="12" t="str">
        <f>tblSites[[#This Row],[FinalImplementingPartner]]</f>
        <v>No SMA</v>
      </c>
    </row>
    <row r="964" spans="1:14" x14ac:dyDescent="0.25">
      <c r="A964" s="12" t="s">
        <v>1459</v>
      </c>
      <c r="B964" s="12" t="s">
        <v>1460</v>
      </c>
      <c r="C964" s="12" t="s">
        <v>1461</v>
      </c>
      <c r="D964" t="s">
        <v>5314</v>
      </c>
      <c r="E964" s="12" t="s">
        <v>3176</v>
      </c>
      <c r="F964" s="12" t="s">
        <v>135</v>
      </c>
      <c r="G964" s="12" t="s">
        <v>5408</v>
      </c>
      <c r="H964" s="12" t="s">
        <v>1460</v>
      </c>
      <c r="I964" s="84">
        <v>27002100</v>
      </c>
      <c r="J964" s="12" t="s">
        <v>5102</v>
      </c>
      <c r="L964" s="12" t="str">
        <f>IF(OR(ISBLANK(tblSites[[#This Row],[Implementing Partner]]), tblSites[[#This Row],[Implementing Partner]]="-"), tblSites[[#This Row],[Site Agency]], tblSites[[#This Row],[Implementing Partner]])</f>
        <v>No SMA</v>
      </c>
      <c r="M964" s="12" t="s">
        <v>55</v>
      </c>
      <c r="N964" s="12" t="str">
        <f>tblSites[[#This Row],[FinalImplementingPartner]]</f>
        <v>No SMA</v>
      </c>
    </row>
    <row r="965" spans="1:14" x14ac:dyDescent="0.25">
      <c r="A965" s="12" t="s">
        <v>1425</v>
      </c>
      <c r="B965" s="12" t="s">
        <v>1426</v>
      </c>
      <c r="D965" t="s">
        <v>5314</v>
      </c>
      <c r="E965" s="12" t="s">
        <v>3176</v>
      </c>
      <c r="F965" s="12" t="s">
        <v>53</v>
      </c>
      <c r="G965" s="12" t="s">
        <v>5406</v>
      </c>
      <c r="H965" s="12" t="s">
        <v>1426</v>
      </c>
      <c r="I965" s="84">
        <v>27002154</v>
      </c>
      <c r="J965" s="12" t="s">
        <v>5102</v>
      </c>
      <c r="L965" s="12" t="str">
        <f>IF(OR(ISBLANK(tblSites[[#This Row],[Implementing Partner]]), tblSites[[#This Row],[Implementing Partner]]="-"), tblSites[[#This Row],[Site Agency]], tblSites[[#This Row],[Implementing Partner]])</f>
        <v>No SMA</v>
      </c>
      <c r="M965" s="12" t="s">
        <v>55</v>
      </c>
      <c r="N965" s="12" t="str">
        <f>tblSites[[#This Row],[FinalImplementingPartner]]</f>
        <v>No SMA</v>
      </c>
    </row>
    <row r="966" spans="1:14" x14ac:dyDescent="0.25">
      <c r="A966" s="12" t="s">
        <v>1655</v>
      </c>
      <c r="B966" s="12" t="s">
        <v>1656</v>
      </c>
      <c r="C966" s="12" t="s">
        <v>389</v>
      </c>
      <c r="D966" t="s">
        <v>5314</v>
      </c>
      <c r="E966" s="12" t="s">
        <v>3176</v>
      </c>
      <c r="F966" s="12" t="s">
        <v>53</v>
      </c>
      <c r="G966" s="12" t="s">
        <v>5406</v>
      </c>
      <c r="H966" s="12" t="s">
        <v>1656</v>
      </c>
      <c r="I966" s="84">
        <v>27002154</v>
      </c>
      <c r="J966" s="12" t="s">
        <v>5102</v>
      </c>
      <c r="L966" s="12" t="str">
        <f>IF(OR(ISBLANK(tblSites[[#This Row],[Implementing Partner]]), tblSites[[#This Row],[Implementing Partner]]="-"), tblSites[[#This Row],[Site Agency]], tblSites[[#This Row],[Implementing Partner]])</f>
        <v>No SMA</v>
      </c>
      <c r="M966" s="12" t="s">
        <v>55</v>
      </c>
      <c r="N966" s="12" t="str">
        <f>tblSites[[#This Row],[FinalImplementingPartner]]</f>
        <v>No SMA</v>
      </c>
    </row>
    <row r="967" spans="1:14" x14ac:dyDescent="0.25">
      <c r="A967" s="12" t="s">
        <v>1582</v>
      </c>
      <c r="B967" s="12" t="s">
        <v>1583</v>
      </c>
      <c r="C967" s="12" t="s">
        <v>1584</v>
      </c>
      <c r="D967" t="s">
        <v>5314</v>
      </c>
      <c r="E967" s="12" t="s">
        <v>3176</v>
      </c>
      <c r="F967" s="12" t="s">
        <v>53</v>
      </c>
      <c r="G967" s="12" t="s">
        <v>5406</v>
      </c>
      <c r="H967" s="12" t="s">
        <v>1583</v>
      </c>
      <c r="I967" s="84">
        <v>27002154</v>
      </c>
      <c r="J967" s="12" t="s">
        <v>5102</v>
      </c>
      <c r="L967" s="12" t="str">
        <f>IF(OR(ISBLANK(tblSites[[#This Row],[Implementing Partner]]), tblSites[[#This Row],[Implementing Partner]]="-"), tblSites[[#This Row],[Site Agency]], tblSites[[#This Row],[Implementing Partner]])</f>
        <v>No SMA</v>
      </c>
      <c r="M967" s="12" t="s">
        <v>55</v>
      </c>
      <c r="N967" s="12" t="str">
        <f>tblSites[[#This Row],[FinalImplementingPartner]]</f>
        <v>No SMA</v>
      </c>
    </row>
    <row r="968" spans="1:14" x14ac:dyDescent="0.25">
      <c r="A968" s="12" t="s">
        <v>1599</v>
      </c>
      <c r="B968" s="12" t="s">
        <v>4080</v>
      </c>
      <c r="C968" s="12" t="s">
        <v>650</v>
      </c>
      <c r="D968" t="s">
        <v>5314</v>
      </c>
      <c r="E968" s="12" t="s">
        <v>3176</v>
      </c>
      <c r="F968" s="12" t="s">
        <v>53</v>
      </c>
      <c r="G968" s="12" t="s">
        <v>5406</v>
      </c>
      <c r="H968" s="12" t="s">
        <v>4080</v>
      </c>
      <c r="I968" s="84">
        <v>27002154</v>
      </c>
      <c r="J968" s="12" t="s">
        <v>5102</v>
      </c>
      <c r="L968" s="12" t="str">
        <f>IF(OR(ISBLANK(tblSites[[#This Row],[Implementing Partner]]), tblSites[[#This Row],[Implementing Partner]]="-"), tblSites[[#This Row],[Site Agency]], tblSites[[#This Row],[Implementing Partner]])</f>
        <v>No SMA</v>
      </c>
      <c r="M968" s="12" t="s">
        <v>55</v>
      </c>
      <c r="N968" s="12" t="str">
        <f>tblSites[[#This Row],[FinalImplementingPartner]]</f>
        <v>No SMA</v>
      </c>
    </row>
    <row r="969" spans="1:14" x14ac:dyDescent="0.25">
      <c r="A969" s="12" t="s">
        <v>1653</v>
      </c>
      <c r="B969" s="12" t="s">
        <v>1654</v>
      </c>
      <c r="C969" s="12" t="s">
        <v>885</v>
      </c>
      <c r="D969" t="s">
        <v>5314</v>
      </c>
      <c r="E969" s="12" t="s">
        <v>3176</v>
      </c>
      <c r="F969" s="12" t="s">
        <v>53</v>
      </c>
      <c r="G969" s="12" t="s">
        <v>5406</v>
      </c>
      <c r="H969" s="12" t="s">
        <v>1654</v>
      </c>
      <c r="I969" s="84">
        <v>27002154</v>
      </c>
      <c r="J969" s="12" t="s">
        <v>5102</v>
      </c>
      <c r="L969" s="12" t="str">
        <f>IF(OR(ISBLANK(tblSites[[#This Row],[Implementing Partner]]), tblSites[[#This Row],[Implementing Partner]]="-"), tblSites[[#This Row],[Site Agency]], tblSites[[#This Row],[Implementing Partner]])</f>
        <v>No SMA</v>
      </c>
      <c r="M969" s="12" t="s">
        <v>55</v>
      </c>
      <c r="N969" s="12" t="str">
        <f>tblSites[[#This Row],[FinalImplementingPartner]]</f>
        <v>No SMA</v>
      </c>
    </row>
    <row r="970" spans="1:14" x14ac:dyDescent="0.25">
      <c r="A970" s="12" t="s">
        <v>1778</v>
      </c>
      <c r="B970" s="12" t="s">
        <v>1779</v>
      </c>
      <c r="C970" s="12" t="s">
        <v>1391</v>
      </c>
      <c r="D970" t="s">
        <v>5314</v>
      </c>
      <c r="E970" s="12" t="s">
        <v>3176</v>
      </c>
      <c r="F970" s="12" t="s">
        <v>53</v>
      </c>
      <c r="G970" s="12" t="s">
        <v>5412</v>
      </c>
      <c r="H970" s="12" t="s">
        <v>1779</v>
      </c>
      <c r="I970" s="84">
        <v>27002154</v>
      </c>
      <c r="J970" s="12" t="s">
        <v>35</v>
      </c>
      <c r="L970" s="12" t="str">
        <f>IF(OR(ISBLANK(tblSites[[#This Row],[Implementing Partner]]), tblSites[[#This Row],[Implementing Partner]]="-"), tblSites[[#This Row],[Site Agency]], tblSites[[#This Row],[Implementing Partner]])</f>
        <v>NRC</v>
      </c>
      <c r="M970" s="12" t="s">
        <v>55</v>
      </c>
      <c r="N970" s="12" t="str">
        <f>tblSites[[#This Row],[FinalImplementingPartner]]</f>
        <v>NRC</v>
      </c>
    </row>
    <row r="971" spans="1:14" x14ac:dyDescent="0.25">
      <c r="A971" s="12" t="s">
        <v>2130</v>
      </c>
      <c r="B971" s="12" t="s">
        <v>4342</v>
      </c>
      <c r="C971" s="12" t="s">
        <v>2131</v>
      </c>
      <c r="D971" t="s">
        <v>5314</v>
      </c>
      <c r="E971" s="12" t="s">
        <v>3176</v>
      </c>
      <c r="F971" s="12" t="s">
        <v>53</v>
      </c>
      <c r="G971" s="12" t="s">
        <v>5406</v>
      </c>
      <c r="H971" s="12" t="s">
        <v>4342</v>
      </c>
      <c r="I971" s="84">
        <v>27002154</v>
      </c>
      <c r="J971" s="12" t="s">
        <v>5102</v>
      </c>
      <c r="L971" s="12" t="str">
        <f>IF(OR(ISBLANK(tblSites[[#This Row],[Implementing Partner]]), tblSites[[#This Row],[Implementing Partner]]="-"), tblSites[[#This Row],[Site Agency]], tblSites[[#This Row],[Implementing Partner]])</f>
        <v>No SMA</v>
      </c>
      <c r="M971" s="12" t="s">
        <v>55</v>
      </c>
      <c r="N971" s="12" t="str">
        <f>tblSites[[#This Row],[FinalImplementingPartner]]</f>
        <v>No SMA</v>
      </c>
    </row>
    <row r="972" spans="1:14" x14ac:dyDescent="0.25">
      <c r="A972" s="12" t="s">
        <v>1606</v>
      </c>
      <c r="B972" s="12" t="s">
        <v>1607</v>
      </c>
      <c r="C972" s="12" t="s">
        <v>1608</v>
      </c>
      <c r="D972" t="s">
        <v>5314</v>
      </c>
      <c r="E972" s="12" t="s">
        <v>3176</v>
      </c>
      <c r="F972" s="12" t="s">
        <v>53</v>
      </c>
      <c r="G972" s="12" t="s">
        <v>5406</v>
      </c>
      <c r="H972" s="12" t="s">
        <v>1607</v>
      </c>
      <c r="I972" s="84">
        <v>27002154</v>
      </c>
      <c r="J972" s="12" t="s">
        <v>5102</v>
      </c>
      <c r="L972" s="12" t="str">
        <f>IF(OR(ISBLANK(tblSites[[#This Row],[Implementing Partner]]), tblSites[[#This Row],[Implementing Partner]]="-"), tblSites[[#This Row],[Site Agency]], tblSites[[#This Row],[Implementing Partner]])</f>
        <v>No SMA</v>
      </c>
      <c r="M972" s="12" t="s">
        <v>55</v>
      </c>
      <c r="N972" s="12" t="str">
        <f>tblSites[[#This Row],[FinalImplementingPartner]]</f>
        <v>No SMA</v>
      </c>
    </row>
    <row r="973" spans="1:14" x14ac:dyDescent="0.25">
      <c r="A973" s="12" t="s">
        <v>3750</v>
      </c>
      <c r="B973" s="12" t="s">
        <v>845</v>
      </c>
      <c r="C973" s="12" t="s">
        <v>846</v>
      </c>
      <c r="D973" t="s">
        <v>5314</v>
      </c>
      <c r="E973" s="12" t="s">
        <v>3176</v>
      </c>
      <c r="F973" s="12" t="s">
        <v>53</v>
      </c>
      <c r="G973" s="12" t="s">
        <v>5406</v>
      </c>
      <c r="H973" s="12" t="s">
        <v>845</v>
      </c>
      <c r="I973" s="84">
        <v>27002154</v>
      </c>
      <c r="J973" s="12" t="s">
        <v>5102</v>
      </c>
      <c r="L973" s="12" t="str">
        <f>IF(OR(ISBLANK(tblSites[[#This Row],[Implementing Partner]]), tblSites[[#This Row],[Implementing Partner]]="-"), tblSites[[#This Row],[Site Agency]], tblSites[[#This Row],[Implementing Partner]])</f>
        <v>No SMA</v>
      </c>
      <c r="M973" s="12" t="s">
        <v>55</v>
      </c>
      <c r="N973" s="12" t="str">
        <f>tblSites[[#This Row],[FinalImplementingPartner]]</f>
        <v>No SMA</v>
      </c>
    </row>
    <row r="974" spans="1:14" x14ac:dyDescent="0.25">
      <c r="A974" s="12" t="s">
        <v>1600</v>
      </c>
      <c r="B974" s="12" t="s">
        <v>819</v>
      </c>
      <c r="C974" s="12" t="s">
        <v>389</v>
      </c>
      <c r="D974" t="s">
        <v>5314</v>
      </c>
      <c r="E974" s="12" t="s">
        <v>3176</v>
      </c>
      <c r="F974" s="12" t="s">
        <v>53</v>
      </c>
      <c r="G974" s="12" t="s">
        <v>5406</v>
      </c>
      <c r="H974" s="12" t="s">
        <v>819</v>
      </c>
      <c r="I974" s="84">
        <v>27002154</v>
      </c>
      <c r="J974" s="12" t="s">
        <v>5102</v>
      </c>
      <c r="L974" s="12" t="str">
        <f>IF(OR(ISBLANK(tblSites[[#This Row],[Implementing Partner]]), tblSites[[#This Row],[Implementing Partner]]="-"), tblSites[[#This Row],[Site Agency]], tblSites[[#This Row],[Implementing Partner]])</f>
        <v>No SMA</v>
      </c>
      <c r="M974" s="12" t="s">
        <v>55</v>
      </c>
      <c r="N974" s="12" t="str">
        <f>tblSites[[#This Row],[FinalImplementingPartner]]</f>
        <v>No SMA</v>
      </c>
    </row>
    <row r="975" spans="1:14" x14ac:dyDescent="0.25">
      <c r="A975" s="12" t="s">
        <v>2104</v>
      </c>
      <c r="B975" s="12" t="s">
        <v>2105</v>
      </c>
      <c r="C975" s="12" t="s">
        <v>2106</v>
      </c>
      <c r="D975" t="s">
        <v>5314</v>
      </c>
      <c r="E975" s="12" t="s">
        <v>3176</v>
      </c>
      <c r="F975" s="12" t="s">
        <v>53</v>
      </c>
      <c r="G975" s="12" t="s">
        <v>5406</v>
      </c>
      <c r="H975" s="12" t="s">
        <v>2105</v>
      </c>
      <c r="I975" s="84">
        <v>27002154</v>
      </c>
      <c r="J975" s="12" t="s">
        <v>5102</v>
      </c>
      <c r="L975" s="12" t="str">
        <f>IF(OR(ISBLANK(tblSites[[#This Row],[Implementing Partner]]), tblSites[[#This Row],[Implementing Partner]]="-"), tblSites[[#This Row],[Site Agency]], tblSites[[#This Row],[Implementing Partner]])</f>
        <v>No SMA</v>
      </c>
      <c r="M975" s="12" t="s">
        <v>55</v>
      </c>
      <c r="N975" s="12" t="str">
        <f>tblSites[[#This Row],[FinalImplementingPartner]]</f>
        <v>No SMA</v>
      </c>
    </row>
    <row r="976" spans="1:14" x14ac:dyDescent="0.25">
      <c r="A976" s="12" t="s">
        <v>239</v>
      </c>
      <c r="B976" s="12" t="s">
        <v>240</v>
      </c>
      <c r="C976" s="12" t="s">
        <v>241</v>
      </c>
      <c r="D976" t="s">
        <v>5314</v>
      </c>
      <c r="E976" s="12" t="s">
        <v>3176</v>
      </c>
      <c r="F976" s="12" t="s">
        <v>53</v>
      </c>
      <c r="G976" s="12" t="s">
        <v>5405</v>
      </c>
      <c r="H976" s="12" t="s">
        <v>240</v>
      </c>
      <c r="I976" s="84">
        <v>27002154</v>
      </c>
      <c r="J976" s="12" t="s">
        <v>7</v>
      </c>
      <c r="L976" s="12" t="str">
        <f>IF(OR(ISBLANK(tblSites[[#This Row],[Implementing Partner]]), tblSites[[#This Row],[Implementing Partner]]="-"), tblSites[[#This Row],[Site Agency]], tblSites[[#This Row],[Implementing Partner]])</f>
        <v>ACTED</v>
      </c>
      <c r="M976" s="12" t="s">
        <v>55</v>
      </c>
      <c r="N976" s="12" t="str">
        <f>tblSites[[#This Row],[FinalImplementingPartner]]</f>
        <v>ACTED</v>
      </c>
    </row>
    <row r="977" spans="1:14" x14ac:dyDescent="0.25">
      <c r="A977" s="12" t="s">
        <v>633</v>
      </c>
      <c r="B977" s="12" t="s">
        <v>634</v>
      </c>
      <c r="C977" s="12" t="s">
        <v>635</v>
      </c>
      <c r="D977" t="s">
        <v>5314</v>
      </c>
      <c r="E977" s="12" t="s">
        <v>3176</v>
      </c>
      <c r="F977" s="12" t="s">
        <v>53</v>
      </c>
      <c r="G977" s="12" t="s">
        <v>5405</v>
      </c>
      <c r="H977" s="12" t="s">
        <v>634</v>
      </c>
      <c r="I977" s="84">
        <v>27002154</v>
      </c>
      <c r="J977" s="12" t="s">
        <v>5</v>
      </c>
      <c r="K977" s="12" t="s">
        <v>7</v>
      </c>
      <c r="L977" s="12" t="str">
        <f>IF(OR(ISBLANK(tblSites[[#This Row],[Implementing Partner]]), tblSites[[#This Row],[Implementing Partner]]="-"), tblSites[[#This Row],[Site Agency]], tblSites[[#This Row],[Implementing Partner]])</f>
        <v>ACTED</v>
      </c>
      <c r="M977" s="12" t="s">
        <v>55</v>
      </c>
      <c r="N977" s="12" t="str">
        <f>tblSites[[#This Row],[FinalImplementingPartner]]</f>
        <v>ACTED</v>
      </c>
    </row>
    <row r="978" spans="1:14" x14ac:dyDescent="0.25">
      <c r="A978" s="12" t="s">
        <v>2007</v>
      </c>
      <c r="B978" s="12" t="s">
        <v>2008</v>
      </c>
      <c r="C978" s="12" t="s">
        <v>2009</v>
      </c>
      <c r="D978" t="s">
        <v>5314</v>
      </c>
      <c r="E978" s="12" t="s">
        <v>3176</v>
      </c>
      <c r="F978" s="12" t="s">
        <v>53</v>
      </c>
      <c r="G978" s="12" t="s">
        <v>5406</v>
      </c>
      <c r="H978" s="12" t="s">
        <v>2008</v>
      </c>
      <c r="I978" s="84">
        <v>27002154</v>
      </c>
      <c r="J978" s="12" t="s">
        <v>5102</v>
      </c>
      <c r="L978" s="12" t="str">
        <f>IF(OR(ISBLANK(tblSites[[#This Row],[Implementing Partner]]), tblSites[[#This Row],[Implementing Partner]]="-"), tblSites[[#This Row],[Site Agency]], tblSites[[#This Row],[Implementing Partner]])</f>
        <v>No SMA</v>
      </c>
      <c r="M978" s="12" t="s">
        <v>55</v>
      </c>
      <c r="N978" s="12" t="str">
        <f>tblSites[[#This Row],[FinalImplementingPartner]]</f>
        <v>No SMA</v>
      </c>
    </row>
    <row r="979" spans="1:14" x14ac:dyDescent="0.25">
      <c r="A979" s="12" t="s">
        <v>216</v>
      </c>
      <c r="B979" s="12" t="s">
        <v>217</v>
      </c>
      <c r="C979" s="12" t="s">
        <v>218</v>
      </c>
      <c r="D979" t="s">
        <v>5314</v>
      </c>
      <c r="E979" s="12" t="s">
        <v>3176</v>
      </c>
      <c r="F979" s="12" t="s">
        <v>53</v>
      </c>
      <c r="G979" s="12" t="s">
        <v>5405</v>
      </c>
      <c r="H979" s="12" t="s">
        <v>217</v>
      </c>
      <c r="I979" s="84">
        <v>27002154</v>
      </c>
      <c r="J979" s="12" t="s">
        <v>7</v>
      </c>
      <c r="L979" s="12" t="str">
        <f>IF(OR(ISBLANK(tblSites[[#This Row],[Implementing Partner]]), tblSites[[#This Row],[Implementing Partner]]="-"), tblSites[[#This Row],[Site Agency]], tblSites[[#This Row],[Implementing Partner]])</f>
        <v>ACTED</v>
      </c>
      <c r="M979" s="12" t="s">
        <v>55</v>
      </c>
      <c r="N979" s="12" t="str">
        <f>tblSites[[#This Row],[FinalImplementingPartner]]</f>
        <v>ACTED</v>
      </c>
    </row>
    <row r="980" spans="1:14" x14ac:dyDescent="0.25">
      <c r="A980" s="12" t="s">
        <v>293</v>
      </c>
      <c r="B980" s="12" t="s">
        <v>294</v>
      </c>
      <c r="C980" s="12" t="s">
        <v>295</v>
      </c>
      <c r="D980" t="s">
        <v>5314</v>
      </c>
      <c r="E980" s="12" t="s">
        <v>3176</v>
      </c>
      <c r="F980" s="12" t="s">
        <v>53</v>
      </c>
      <c r="G980" s="12" t="s">
        <v>5405</v>
      </c>
      <c r="H980" s="12" t="s">
        <v>294</v>
      </c>
      <c r="I980" s="84">
        <v>27002154</v>
      </c>
      <c r="J980" s="12" t="s">
        <v>7</v>
      </c>
      <c r="L980" s="12" t="str">
        <f>IF(OR(ISBLANK(tblSites[[#This Row],[Implementing Partner]]), tblSites[[#This Row],[Implementing Partner]]="-"), tblSites[[#This Row],[Site Agency]], tblSites[[#This Row],[Implementing Partner]])</f>
        <v>ACTED</v>
      </c>
      <c r="M980" s="12" t="s">
        <v>55</v>
      </c>
      <c r="N980" s="12" t="str">
        <f>tblSites[[#This Row],[FinalImplementingPartner]]</f>
        <v>ACTED</v>
      </c>
    </row>
    <row r="981" spans="1:14" x14ac:dyDescent="0.25">
      <c r="A981" s="12" t="s">
        <v>639</v>
      </c>
      <c r="B981" s="12" t="s">
        <v>640</v>
      </c>
      <c r="C981" s="12" t="s">
        <v>641</v>
      </c>
      <c r="D981" t="s">
        <v>5314</v>
      </c>
      <c r="E981" s="12" t="s">
        <v>3176</v>
      </c>
      <c r="F981" s="12" t="s">
        <v>53</v>
      </c>
      <c r="G981" s="12" t="s">
        <v>5405</v>
      </c>
      <c r="H981" s="12" t="s">
        <v>640</v>
      </c>
      <c r="I981" s="84">
        <v>27002154</v>
      </c>
      <c r="J981" s="12" t="s">
        <v>5</v>
      </c>
      <c r="K981" s="12" t="s">
        <v>7</v>
      </c>
      <c r="L981" s="12" t="str">
        <f>IF(OR(ISBLANK(tblSites[[#This Row],[Implementing Partner]]), tblSites[[#This Row],[Implementing Partner]]="-"), tblSites[[#This Row],[Site Agency]], tblSites[[#This Row],[Implementing Partner]])</f>
        <v>ACTED</v>
      </c>
      <c r="M981" s="12" t="s">
        <v>55</v>
      </c>
      <c r="N981" s="12" t="str">
        <f>tblSites[[#This Row],[FinalImplementingPartner]]</f>
        <v>ACTED</v>
      </c>
    </row>
    <row r="982" spans="1:14" x14ac:dyDescent="0.25">
      <c r="A982" s="12" t="s">
        <v>642</v>
      </c>
      <c r="B982" s="12" t="s">
        <v>643</v>
      </c>
      <c r="C982" s="12" t="s">
        <v>644</v>
      </c>
      <c r="D982" t="s">
        <v>5314</v>
      </c>
      <c r="E982" s="12" t="s">
        <v>3176</v>
      </c>
      <c r="F982" s="12" t="s">
        <v>53</v>
      </c>
      <c r="G982" s="12" t="s">
        <v>5405</v>
      </c>
      <c r="H982" s="12" t="s">
        <v>643</v>
      </c>
      <c r="I982" s="84">
        <v>27002154</v>
      </c>
      <c r="J982" s="12" t="s">
        <v>7</v>
      </c>
      <c r="L982" s="12" t="str">
        <f>IF(OR(ISBLANK(tblSites[[#This Row],[Implementing Partner]]), tblSites[[#This Row],[Implementing Partner]]="-"), tblSites[[#This Row],[Site Agency]], tblSites[[#This Row],[Implementing Partner]])</f>
        <v>ACTED</v>
      </c>
      <c r="M982" s="12" t="s">
        <v>55</v>
      </c>
      <c r="N982" s="12" t="str">
        <f>tblSites[[#This Row],[FinalImplementingPartner]]</f>
        <v>ACTED</v>
      </c>
    </row>
    <row r="983" spans="1:14" x14ac:dyDescent="0.25">
      <c r="A983" s="12" t="s">
        <v>2421</v>
      </c>
      <c r="B983" s="12" t="s">
        <v>2422</v>
      </c>
      <c r="C983" s="12" t="s">
        <v>2423</v>
      </c>
      <c r="D983" t="s">
        <v>5314</v>
      </c>
      <c r="E983" s="12" t="s">
        <v>3176</v>
      </c>
      <c r="F983" s="12" t="s">
        <v>53</v>
      </c>
      <c r="G983" s="12" t="s">
        <v>5406</v>
      </c>
      <c r="H983" s="12" t="s">
        <v>2422</v>
      </c>
      <c r="I983" s="84">
        <v>27002154</v>
      </c>
      <c r="J983" s="12" t="s">
        <v>5102</v>
      </c>
      <c r="L983" s="12" t="str">
        <f>IF(OR(ISBLANK(tblSites[[#This Row],[Implementing Partner]]), tblSites[[#This Row],[Implementing Partner]]="-"), tblSites[[#This Row],[Site Agency]], tblSites[[#This Row],[Implementing Partner]])</f>
        <v>No SMA</v>
      </c>
      <c r="M983" s="12" t="s">
        <v>55</v>
      </c>
      <c r="N983" s="12" t="str">
        <f>tblSites[[#This Row],[FinalImplementingPartner]]</f>
        <v>No SMA</v>
      </c>
    </row>
    <row r="984" spans="1:14" x14ac:dyDescent="0.25">
      <c r="A984" s="12" t="s">
        <v>656</v>
      </c>
      <c r="B984" s="12" t="s">
        <v>657</v>
      </c>
      <c r="C984" s="12" t="s">
        <v>658</v>
      </c>
      <c r="D984" t="s">
        <v>5314</v>
      </c>
      <c r="E984" s="12" t="s">
        <v>3176</v>
      </c>
      <c r="F984" s="12" t="s">
        <v>53</v>
      </c>
      <c r="G984" s="12" t="s">
        <v>5405</v>
      </c>
      <c r="H984" s="12" t="s">
        <v>657</v>
      </c>
      <c r="I984" s="84">
        <v>27002154</v>
      </c>
      <c r="J984" s="12" t="s">
        <v>5</v>
      </c>
      <c r="K984" s="12" t="s">
        <v>7</v>
      </c>
      <c r="L984" s="12" t="str">
        <f>IF(OR(ISBLANK(tblSites[[#This Row],[Implementing Partner]]), tblSites[[#This Row],[Implementing Partner]]="-"), tblSites[[#This Row],[Site Agency]], tblSites[[#This Row],[Implementing Partner]])</f>
        <v>ACTED</v>
      </c>
      <c r="M984" s="12" t="s">
        <v>55</v>
      </c>
      <c r="N984" s="12" t="str">
        <f>tblSites[[#This Row],[FinalImplementingPartner]]</f>
        <v>ACTED</v>
      </c>
    </row>
    <row r="985" spans="1:14" x14ac:dyDescent="0.25">
      <c r="A985" s="12" t="s">
        <v>1051</v>
      </c>
      <c r="B985" s="12" t="s">
        <v>1052</v>
      </c>
      <c r="C985" s="12" t="s">
        <v>1053</v>
      </c>
      <c r="D985" t="s">
        <v>5314</v>
      </c>
      <c r="E985" s="12" t="s">
        <v>3176</v>
      </c>
      <c r="F985" s="12" t="s">
        <v>53</v>
      </c>
      <c r="G985" s="12" t="s">
        <v>5413</v>
      </c>
      <c r="H985" s="12" t="s">
        <v>1052</v>
      </c>
      <c r="I985" s="84">
        <v>27002154</v>
      </c>
      <c r="J985" s="12" t="s">
        <v>34</v>
      </c>
      <c r="K985" s="12" t="s">
        <v>54</v>
      </c>
      <c r="L985" s="12" t="str">
        <f>IF(OR(ISBLANK(tblSites[[#This Row],[Implementing Partner]]), tblSites[[#This Row],[Implementing Partner]]="-"), tblSites[[#This Row],[Site Agency]], tblSites[[#This Row],[Implementing Partner]])</f>
        <v>PHC</v>
      </c>
      <c r="M985" s="12" t="s">
        <v>55</v>
      </c>
      <c r="N985" s="12" t="str">
        <f>tblSites[[#This Row],[FinalImplementingPartner]]</f>
        <v>PHC</v>
      </c>
    </row>
    <row r="986" spans="1:14" x14ac:dyDescent="0.25">
      <c r="A986" s="12" t="s">
        <v>236</v>
      </c>
      <c r="B986" s="12" t="s">
        <v>237</v>
      </c>
      <c r="C986" s="12" t="s">
        <v>238</v>
      </c>
      <c r="D986" t="s">
        <v>5314</v>
      </c>
      <c r="E986" s="12" t="s">
        <v>3176</v>
      </c>
      <c r="F986" s="12" t="s">
        <v>53</v>
      </c>
      <c r="G986" s="12" t="s">
        <v>5405</v>
      </c>
      <c r="H986" s="12" t="s">
        <v>237</v>
      </c>
      <c r="I986" s="84">
        <v>27002154</v>
      </c>
      <c r="J986" s="12" t="s">
        <v>7</v>
      </c>
      <c r="L986" s="12" t="str">
        <f>IF(OR(ISBLANK(tblSites[[#This Row],[Implementing Partner]]), tblSites[[#This Row],[Implementing Partner]]="-"), tblSites[[#This Row],[Site Agency]], tblSites[[#This Row],[Implementing Partner]])</f>
        <v>ACTED</v>
      </c>
      <c r="M986" s="12" t="s">
        <v>55</v>
      </c>
      <c r="N986" s="12" t="str">
        <f>tblSites[[#This Row],[FinalImplementingPartner]]</f>
        <v>ACTED</v>
      </c>
    </row>
    <row r="987" spans="1:14" x14ac:dyDescent="0.25">
      <c r="A987" s="12" t="s">
        <v>1158</v>
      </c>
      <c r="B987" s="12" t="s">
        <v>1159</v>
      </c>
      <c r="C987" s="12" t="s">
        <v>1160</v>
      </c>
      <c r="D987" t="s">
        <v>5314</v>
      </c>
      <c r="E987" s="12" t="s">
        <v>3176</v>
      </c>
      <c r="F987" s="12" t="s">
        <v>53</v>
      </c>
      <c r="G987" s="12" t="s">
        <v>5406</v>
      </c>
      <c r="H987" s="12" t="s">
        <v>1159</v>
      </c>
      <c r="I987" s="84">
        <v>27002154</v>
      </c>
      <c r="J987" s="12" t="s">
        <v>5102</v>
      </c>
      <c r="L987" s="12" t="str">
        <f>IF(OR(ISBLANK(tblSites[[#This Row],[Implementing Partner]]), tblSites[[#This Row],[Implementing Partner]]="-"), tblSites[[#This Row],[Site Agency]], tblSites[[#This Row],[Implementing Partner]])</f>
        <v>No SMA</v>
      </c>
      <c r="M987" s="12" t="s">
        <v>55</v>
      </c>
      <c r="N987" s="12" t="str">
        <f>tblSites[[#This Row],[FinalImplementingPartner]]</f>
        <v>No SMA</v>
      </c>
    </row>
    <row r="988" spans="1:14" x14ac:dyDescent="0.25">
      <c r="A988" s="12" t="s">
        <v>230</v>
      </c>
      <c r="B988" s="12" t="s">
        <v>231</v>
      </c>
      <c r="C988" s="12" t="s">
        <v>232</v>
      </c>
      <c r="D988" t="s">
        <v>5314</v>
      </c>
      <c r="E988" s="12" t="s">
        <v>3176</v>
      </c>
      <c r="F988" s="12" t="s">
        <v>53</v>
      </c>
      <c r="G988" s="12" t="s">
        <v>5405</v>
      </c>
      <c r="H988" s="12" t="s">
        <v>231</v>
      </c>
      <c r="I988" s="84">
        <v>27002154</v>
      </c>
      <c r="J988" s="12" t="s">
        <v>7</v>
      </c>
      <c r="K988" s="12" t="s">
        <v>389</v>
      </c>
      <c r="L988" s="12" t="str">
        <f>IF(OR(ISBLANK(tblSites[[#This Row],[Implementing Partner]]), tblSites[[#This Row],[Implementing Partner]]="-"), tblSites[[#This Row],[Site Agency]], tblSites[[#This Row],[Implementing Partner]])</f>
        <v>ACTED</v>
      </c>
      <c r="M988" s="12" t="s">
        <v>55</v>
      </c>
      <c r="N988" s="12" t="str">
        <f>tblSites[[#This Row],[FinalImplementingPartner]]</f>
        <v>ACTED</v>
      </c>
    </row>
    <row r="989" spans="1:14" x14ac:dyDescent="0.25">
      <c r="A989" s="12" t="s">
        <v>1634</v>
      </c>
      <c r="B989" s="12" t="s">
        <v>1635</v>
      </c>
      <c r="C989" s="12" t="s">
        <v>1191</v>
      </c>
      <c r="D989" t="s">
        <v>5314</v>
      </c>
      <c r="E989" s="12" t="s">
        <v>3176</v>
      </c>
      <c r="F989" s="12" t="s">
        <v>53</v>
      </c>
      <c r="G989" s="12" t="s">
        <v>5406</v>
      </c>
      <c r="H989" s="12" t="s">
        <v>1635</v>
      </c>
      <c r="I989" s="84">
        <v>27002154</v>
      </c>
      <c r="J989" s="12" t="s">
        <v>5102</v>
      </c>
      <c r="L989" s="12" t="str">
        <f>IF(OR(ISBLANK(tblSites[[#This Row],[Implementing Partner]]), tblSites[[#This Row],[Implementing Partner]]="-"), tblSites[[#This Row],[Site Agency]], tblSites[[#This Row],[Implementing Partner]])</f>
        <v>No SMA</v>
      </c>
      <c r="M989" s="12" t="s">
        <v>55</v>
      </c>
      <c r="N989" s="12" t="str">
        <f>tblSites[[#This Row],[FinalImplementingPartner]]</f>
        <v>No SMA</v>
      </c>
    </row>
    <row r="990" spans="1:14" x14ac:dyDescent="0.25">
      <c r="A990" s="12" t="s">
        <v>1601</v>
      </c>
      <c r="B990" s="12" t="s">
        <v>1602</v>
      </c>
      <c r="C990" s="12" t="s">
        <v>1603</v>
      </c>
      <c r="D990" t="s">
        <v>5314</v>
      </c>
      <c r="E990" s="12" t="s">
        <v>3176</v>
      </c>
      <c r="F990" s="12" t="s">
        <v>173</v>
      </c>
      <c r="G990" s="12" t="s">
        <v>5404</v>
      </c>
      <c r="H990" s="12" t="s">
        <v>1602</v>
      </c>
      <c r="I990" s="84">
        <v>27002105</v>
      </c>
      <c r="J990" s="12" t="s">
        <v>5102</v>
      </c>
      <c r="L990" s="12" t="str">
        <f>IF(OR(ISBLANK(tblSites[[#This Row],[Implementing Partner]]), tblSites[[#This Row],[Implementing Partner]]="-"), tblSites[[#This Row],[Site Agency]], tblSites[[#This Row],[Implementing Partner]])</f>
        <v>No SMA</v>
      </c>
      <c r="M990" s="12" t="s">
        <v>55</v>
      </c>
      <c r="N990" s="12" t="str">
        <f>tblSites[[#This Row],[FinalImplementingPartner]]</f>
        <v>No SMA</v>
      </c>
    </row>
    <row r="991" spans="1:14" x14ac:dyDescent="0.25">
      <c r="A991" s="12" t="s">
        <v>213</v>
      </c>
      <c r="B991" s="12" t="s">
        <v>214</v>
      </c>
      <c r="C991" s="12" t="s">
        <v>215</v>
      </c>
      <c r="D991" t="s">
        <v>5314</v>
      </c>
      <c r="E991" s="12" t="s">
        <v>3176</v>
      </c>
      <c r="F991" s="12" t="s">
        <v>53</v>
      </c>
      <c r="G991" s="12" t="s">
        <v>5405</v>
      </c>
      <c r="H991" s="12" t="s">
        <v>214</v>
      </c>
      <c r="I991" s="84">
        <v>27002154</v>
      </c>
      <c r="J991" s="12" t="s">
        <v>7</v>
      </c>
      <c r="L991" s="12" t="str">
        <f>IF(OR(ISBLANK(tblSites[[#This Row],[Implementing Partner]]), tblSites[[#This Row],[Implementing Partner]]="-"), tblSites[[#This Row],[Site Agency]], tblSites[[#This Row],[Implementing Partner]])</f>
        <v>ACTED</v>
      </c>
      <c r="M991" s="12" t="s">
        <v>55</v>
      </c>
      <c r="N991" s="12" t="str">
        <f>tblSites[[#This Row],[FinalImplementingPartner]]</f>
        <v>ACTED</v>
      </c>
    </row>
    <row r="992" spans="1:14" x14ac:dyDescent="0.25">
      <c r="A992" s="12" t="s">
        <v>1506</v>
      </c>
      <c r="B992" s="12" t="s">
        <v>1507</v>
      </c>
      <c r="C992" s="12" t="s">
        <v>1257</v>
      </c>
      <c r="D992" t="s">
        <v>5314</v>
      </c>
      <c r="E992" s="12" t="s">
        <v>3176</v>
      </c>
      <c r="F992" s="12" t="s">
        <v>173</v>
      </c>
      <c r="G992" s="12" t="s">
        <v>5404</v>
      </c>
      <c r="H992" s="12" t="s">
        <v>1507</v>
      </c>
      <c r="I992" s="84">
        <v>27002105</v>
      </c>
      <c r="J992" s="12" t="s">
        <v>5102</v>
      </c>
      <c r="L992" s="12" t="str">
        <f>IF(OR(ISBLANK(tblSites[[#This Row],[Implementing Partner]]), tblSites[[#This Row],[Implementing Partner]]="-"), tblSites[[#This Row],[Site Agency]], tblSites[[#This Row],[Implementing Partner]])</f>
        <v>No SMA</v>
      </c>
      <c r="M992" s="12" t="s">
        <v>55</v>
      </c>
      <c r="N992" s="12" t="str">
        <f>tblSites[[#This Row],[FinalImplementingPartner]]</f>
        <v>No SMA</v>
      </c>
    </row>
    <row r="993" spans="1:14" x14ac:dyDescent="0.25">
      <c r="A993" s="12" t="s">
        <v>201</v>
      </c>
      <c r="B993" s="12" t="s">
        <v>202</v>
      </c>
      <c r="C993" s="12" t="s">
        <v>203</v>
      </c>
      <c r="D993" t="s">
        <v>5314</v>
      </c>
      <c r="E993" s="12" t="s">
        <v>3176</v>
      </c>
      <c r="F993" s="12" t="s">
        <v>53</v>
      </c>
      <c r="G993" s="12" t="s">
        <v>5405</v>
      </c>
      <c r="H993" s="12" t="s">
        <v>202</v>
      </c>
      <c r="I993" s="84">
        <v>27002154</v>
      </c>
      <c r="J993" s="12" t="s">
        <v>7</v>
      </c>
      <c r="L993" s="12" t="str">
        <f>IF(OR(ISBLANK(tblSites[[#This Row],[Implementing Partner]]), tblSites[[#This Row],[Implementing Partner]]="-"), tblSites[[#This Row],[Site Agency]], tblSites[[#This Row],[Implementing Partner]])</f>
        <v>ACTED</v>
      </c>
      <c r="M993" s="12" t="s">
        <v>55</v>
      </c>
      <c r="N993" s="12" t="str">
        <f>tblSites[[#This Row],[FinalImplementingPartner]]</f>
        <v>ACTED</v>
      </c>
    </row>
    <row r="994" spans="1:14" x14ac:dyDescent="0.25">
      <c r="A994" s="12" t="s">
        <v>1123</v>
      </c>
      <c r="B994" s="12" t="s">
        <v>1124</v>
      </c>
      <c r="C994" s="12" t="s">
        <v>1125</v>
      </c>
      <c r="D994" t="s">
        <v>5314</v>
      </c>
      <c r="E994" s="12" t="s">
        <v>3176</v>
      </c>
      <c r="F994" s="12" t="s">
        <v>53</v>
      </c>
      <c r="G994" s="12" t="s">
        <v>5406</v>
      </c>
      <c r="H994" s="12" t="s">
        <v>1124</v>
      </c>
      <c r="I994" s="84">
        <v>27002154</v>
      </c>
      <c r="J994" s="12" t="s">
        <v>5102</v>
      </c>
      <c r="L994" s="12" t="str">
        <f>IF(OR(ISBLANK(tblSites[[#This Row],[Implementing Partner]]), tblSites[[#This Row],[Implementing Partner]]="-"), tblSites[[#This Row],[Site Agency]], tblSites[[#This Row],[Implementing Partner]])</f>
        <v>No SMA</v>
      </c>
      <c r="M994" s="12" t="s">
        <v>55</v>
      </c>
      <c r="N994" s="12" t="str">
        <f>tblSites[[#This Row],[FinalImplementingPartner]]</f>
        <v>No SMA</v>
      </c>
    </row>
    <row r="995" spans="1:14" x14ac:dyDescent="0.25">
      <c r="A995" s="12" t="s">
        <v>645</v>
      </c>
      <c r="B995" s="12" t="s">
        <v>646</v>
      </c>
      <c r="C995" s="12" t="s">
        <v>647</v>
      </c>
      <c r="D995" t="s">
        <v>5314</v>
      </c>
      <c r="E995" s="12" t="s">
        <v>3176</v>
      </c>
      <c r="F995" s="12" t="s">
        <v>53</v>
      </c>
      <c r="G995" s="12" t="s">
        <v>5405</v>
      </c>
      <c r="H995" s="12" t="s">
        <v>646</v>
      </c>
      <c r="I995" s="84">
        <v>27002154</v>
      </c>
      <c r="J995" s="12" t="s">
        <v>5</v>
      </c>
      <c r="K995" s="12" t="s">
        <v>7</v>
      </c>
      <c r="L995" s="12" t="str">
        <f>IF(OR(ISBLANK(tblSites[[#This Row],[Implementing Partner]]), tblSites[[#This Row],[Implementing Partner]]="-"), tblSites[[#This Row],[Site Agency]], tblSites[[#This Row],[Implementing Partner]])</f>
        <v>ACTED</v>
      </c>
      <c r="M995" s="12" t="s">
        <v>55</v>
      </c>
      <c r="N995" s="12" t="str">
        <f>tblSites[[#This Row],[FinalImplementingPartner]]</f>
        <v>ACTED</v>
      </c>
    </row>
    <row r="996" spans="1:14" x14ac:dyDescent="0.25">
      <c r="A996" s="12" t="s">
        <v>1552</v>
      </c>
      <c r="B996" s="12" t="s">
        <v>1553</v>
      </c>
      <c r="C996" s="12" t="s">
        <v>1554</v>
      </c>
      <c r="D996" t="s">
        <v>5314</v>
      </c>
      <c r="E996" s="12" t="s">
        <v>3176</v>
      </c>
      <c r="F996" s="12" t="s">
        <v>53</v>
      </c>
      <c r="G996" s="12" t="s">
        <v>5406</v>
      </c>
      <c r="H996" s="12" t="s">
        <v>1553</v>
      </c>
      <c r="I996" s="84">
        <v>27002154</v>
      </c>
      <c r="J996" s="12" t="s">
        <v>5102</v>
      </c>
      <c r="L996" s="12" t="str">
        <f>IF(OR(ISBLANK(tblSites[[#This Row],[Implementing Partner]]), tblSites[[#This Row],[Implementing Partner]]="-"), tblSites[[#This Row],[Site Agency]], tblSites[[#This Row],[Implementing Partner]])</f>
        <v>No SMA</v>
      </c>
      <c r="M996" s="12" t="s">
        <v>55</v>
      </c>
      <c r="N996" s="12" t="str">
        <f>tblSites[[#This Row],[FinalImplementingPartner]]</f>
        <v>No SMA</v>
      </c>
    </row>
    <row r="997" spans="1:14" x14ac:dyDescent="0.25">
      <c r="A997" s="12" t="s">
        <v>1555</v>
      </c>
      <c r="B997" s="12" t="s">
        <v>1556</v>
      </c>
      <c r="C997" s="12" t="s">
        <v>1557</v>
      </c>
      <c r="D997" t="s">
        <v>5314</v>
      </c>
      <c r="E997" s="12" t="s">
        <v>3176</v>
      </c>
      <c r="F997" s="12" t="s">
        <v>173</v>
      </c>
      <c r="G997" s="12" t="s">
        <v>5404</v>
      </c>
      <c r="H997" s="12" t="s">
        <v>1556</v>
      </c>
      <c r="I997" s="84">
        <v>27002105</v>
      </c>
      <c r="J997" s="12" t="s">
        <v>5102</v>
      </c>
      <c r="L997" s="12" t="str">
        <f>IF(OR(ISBLANK(tblSites[[#This Row],[Implementing Partner]]), tblSites[[#This Row],[Implementing Partner]]="-"), tblSites[[#This Row],[Site Agency]], tblSites[[#This Row],[Implementing Partner]])</f>
        <v>No SMA</v>
      </c>
      <c r="M997" s="12" t="s">
        <v>55</v>
      </c>
      <c r="N997" s="12" t="str">
        <f>tblSites[[#This Row],[FinalImplementingPartner]]</f>
        <v>No SMA</v>
      </c>
    </row>
    <row r="998" spans="1:14" x14ac:dyDescent="0.25">
      <c r="A998" s="12" t="s">
        <v>2220</v>
      </c>
      <c r="B998" s="12" t="s">
        <v>2221</v>
      </c>
      <c r="C998" s="12" t="s">
        <v>2222</v>
      </c>
      <c r="D998" t="s">
        <v>5314</v>
      </c>
      <c r="E998" s="12" t="s">
        <v>3176</v>
      </c>
      <c r="F998" s="12" t="s">
        <v>173</v>
      </c>
      <c r="G998" s="12" t="s">
        <v>5414</v>
      </c>
      <c r="H998" s="12" t="s">
        <v>2221</v>
      </c>
      <c r="I998" s="84">
        <v>27002105</v>
      </c>
      <c r="J998" s="12" t="s">
        <v>35</v>
      </c>
      <c r="L998" s="12" t="str">
        <f>IF(OR(ISBLANK(tblSites[[#This Row],[Implementing Partner]]), tblSites[[#This Row],[Implementing Partner]]="-"), tblSites[[#This Row],[Site Agency]], tblSites[[#This Row],[Implementing Partner]])</f>
        <v>NRC</v>
      </c>
      <c r="M998" s="12" t="s">
        <v>55</v>
      </c>
      <c r="N998" s="12" t="str">
        <f>tblSites[[#This Row],[FinalImplementingPartner]]</f>
        <v>NRC</v>
      </c>
    </row>
    <row r="999" spans="1:14" x14ac:dyDescent="0.25">
      <c r="A999" s="12" t="s">
        <v>2934</v>
      </c>
      <c r="B999" s="12" t="s">
        <v>246</v>
      </c>
      <c r="C999" s="12" t="s">
        <v>2423</v>
      </c>
      <c r="D999" t="s">
        <v>5314</v>
      </c>
      <c r="E999" s="12" t="s">
        <v>3176</v>
      </c>
      <c r="F999" s="12" t="s">
        <v>53</v>
      </c>
      <c r="G999" s="12" t="s">
        <v>5406</v>
      </c>
      <c r="H999" s="12" t="s">
        <v>246</v>
      </c>
      <c r="I999" s="84">
        <v>27002154</v>
      </c>
      <c r="J999" s="12" t="s">
        <v>5102</v>
      </c>
      <c r="L999" s="12" t="str">
        <f>IF(OR(ISBLANK(tblSites[[#This Row],[Implementing Partner]]), tblSites[[#This Row],[Implementing Partner]]="-"), tblSites[[#This Row],[Site Agency]], tblSites[[#This Row],[Implementing Partner]])</f>
        <v>No SMA</v>
      </c>
      <c r="M999" s="12" t="s">
        <v>55</v>
      </c>
      <c r="N999" s="12" t="str">
        <f>tblSites[[#This Row],[FinalImplementingPartner]]</f>
        <v>No SMA</v>
      </c>
    </row>
    <row r="1000" spans="1:14" x14ac:dyDescent="0.25">
      <c r="A1000" s="12" t="s">
        <v>2935</v>
      </c>
      <c r="B1000" s="12" t="s">
        <v>246</v>
      </c>
      <c r="C1000" s="12" t="s">
        <v>2423</v>
      </c>
      <c r="D1000" t="s">
        <v>5314</v>
      </c>
      <c r="E1000" s="12" t="s">
        <v>3176</v>
      </c>
      <c r="F1000" s="12" t="s">
        <v>53</v>
      </c>
      <c r="G1000" s="12" t="s">
        <v>5406</v>
      </c>
      <c r="H1000" s="12" t="s">
        <v>246</v>
      </c>
      <c r="I1000" s="84">
        <v>27002154</v>
      </c>
      <c r="J1000" s="12" t="s">
        <v>5102</v>
      </c>
      <c r="L1000" s="12" t="str">
        <f>IF(OR(ISBLANK(tblSites[[#This Row],[Implementing Partner]]), tblSites[[#This Row],[Implementing Partner]]="-"), tblSites[[#This Row],[Site Agency]], tblSites[[#This Row],[Implementing Partner]])</f>
        <v>No SMA</v>
      </c>
      <c r="M1000" s="12" t="s">
        <v>55</v>
      </c>
      <c r="N1000" s="12" t="str">
        <f>tblSites[[#This Row],[FinalImplementingPartner]]</f>
        <v>No SMA</v>
      </c>
    </row>
    <row r="1001" spans="1:14" x14ac:dyDescent="0.25">
      <c r="A1001" s="12" t="s">
        <v>2936</v>
      </c>
      <c r="B1001" s="12" t="s">
        <v>246</v>
      </c>
      <c r="C1001" s="12" t="s">
        <v>2423</v>
      </c>
      <c r="D1001" t="s">
        <v>5314</v>
      </c>
      <c r="E1001" s="12" t="s">
        <v>3176</v>
      </c>
      <c r="F1001" s="12" t="s">
        <v>53</v>
      </c>
      <c r="G1001" s="12" t="s">
        <v>5406</v>
      </c>
      <c r="H1001" s="12" t="s">
        <v>246</v>
      </c>
      <c r="I1001" s="84">
        <v>27002154</v>
      </c>
      <c r="J1001" s="12" t="s">
        <v>5102</v>
      </c>
      <c r="L1001" s="12" t="str">
        <f>IF(OR(ISBLANK(tblSites[[#This Row],[Implementing Partner]]), tblSites[[#This Row],[Implementing Partner]]="-"), tblSites[[#This Row],[Site Agency]], tblSites[[#This Row],[Implementing Partner]])</f>
        <v>No SMA</v>
      </c>
      <c r="M1001" s="12" t="s">
        <v>55</v>
      </c>
      <c r="N1001" s="12" t="str">
        <f>tblSites[[#This Row],[FinalImplementingPartner]]</f>
        <v>No SMA</v>
      </c>
    </row>
    <row r="1002" spans="1:14" x14ac:dyDescent="0.25">
      <c r="A1002" s="12" t="s">
        <v>272</v>
      </c>
      <c r="B1002" s="12" t="s">
        <v>273</v>
      </c>
      <c r="C1002" s="12" t="s">
        <v>274</v>
      </c>
      <c r="D1002" t="s">
        <v>5314</v>
      </c>
      <c r="E1002" s="12" t="s">
        <v>3176</v>
      </c>
      <c r="F1002" s="12" t="s">
        <v>53</v>
      </c>
      <c r="G1002" s="12" t="s">
        <v>5405</v>
      </c>
      <c r="H1002" s="12" t="s">
        <v>273</v>
      </c>
      <c r="I1002" s="84">
        <v>27002154</v>
      </c>
      <c r="J1002" s="12" t="s">
        <v>7</v>
      </c>
      <c r="L1002" s="12" t="str">
        <f>IF(OR(ISBLANK(tblSites[[#This Row],[Implementing Partner]]), tblSites[[#This Row],[Implementing Partner]]="-"), tblSites[[#This Row],[Site Agency]], tblSites[[#This Row],[Implementing Partner]])</f>
        <v>ACTED</v>
      </c>
      <c r="M1002" s="12" t="s">
        <v>55</v>
      </c>
      <c r="N1002" s="12" t="str">
        <f>tblSites[[#This Row],[FinalImplementingPartner]]</f>
        <v>ACTED</v>
      </c>
    </row>
    <row r="1003" spans="1:14" x14ac:dyDescent="0.25">
      <c r="A1003" s="12" t="s">
        <v>254</v>
      </c>
      <c r="B1003" s="12" t="s">
        <v>255</v>
      </c>
      <c r="C1003" s="12" t="s">
        <v>256</v>
      </c>
      <c r="D1003" t="s">
        <v>5314</v>
      </c>
      <c r="E1003" s="12" t="s">
        <v>3176</v>
      </c>
      <c r="F1003" s="12" t="s">
        <v>53</v>
      </c>
      <c r="G1003" s="12" t="s">
        <v>5405</v>
      </c>
      <c r="H1003" s="12" t="s">
        <v>255</v>
      </c>
      <c r="I1003" s="84">
        <v>27002154</v>
      </c>
      <c r="J1003" s="12" t="s">
        <v>7</v>
      </c>
      <c r="L1003" s="12" t="str">
        <f>IF(OR(ISBLANK(tblSites[[#This Row],[Implementing Partner]]), tblSites[[#This Row],[Implementing Partner]]="-"), tblSites[[#This Row],[Site Agency]], tblSites[[#This Row],[Implementing Partner]])</f>
        <v>ACTED</v>
      </c>
      <c r="M1003" s="12" t="s">
        <v>55</v>
      </c>
      <c r="N1003" s="12" t="str">
        <f>tblSites[[#This Row],[FinalImplementingPartner]]</f>
        <v>ACTED</v>
      </c>
    </row>
    <row r="1004" spans="1:14" x14ac:dyDescent="0.25">
      <c r="A1004" s="12" t="s">
        <v>1572</v>
      </c>
      <c r="B1004" s="12" t="s">
        <v>1573</v>
      </c>
      <c r="C1004" s="12" t="s">
        <v>1574</v>
      </c>
      <c r="D1004" t="s">
        <v>5314</v>
      </c>
      <c r="E1004" s="12" t="s">
        <v>3176</v>
      </c>
      <c r="F1004" s="12" t="s">
        <v>53</v>
      </c>
      <c r="G1004" s="12" t="s">
        <v>5406</v>
      </c>
      <c r="H1004" s="12" t="s">
        <v>1573</v>
      </c>
      <c r="I1004" s="84">
        <v>27002154</v>
      </c>
      <c r="J1004" s="12" t="s">
        <v>5102</v>
      </c>
      <c r="L1004" s="12" t="str">
        <f>IF(OR(ISBLANK(tblSites[[#This Row],[Implementing Partner]]), tblSites[[#This Row],[Implementing Partner]]="-"), tblSites[[#This Row],[Site Agency]], tblSites[[#This Row],[Implementing Partner]])</f>
        <v>No SMA</v>
      </c>
      <c r="M1004" s="12" t="s">
        <v>55</v>
      </c>
      <c r="N1004" s="12" t="str">
        <f>tblSites[[#This Row],[FinalImplementingPartner]]</f>
        <v>No SMA</v>
      </c>
    </row>
    <row r="1005" spans="1:14" x14ac:dyDescent="0.25">
      <c r="A1005" s="12" t="s">
        <v>1612</v>
      </c>
      <c r="B1005" s="12" t="s">
        <v>1613</v>
      </c>
      <c r="C1005" s="12" t="s">
        <v>1614</v>
      </c>
      <c r="D1005" t="s">
        <v>5314</v>
      </c>
      <c r="E1005" s="12" t="s">
        <v>3176</v>
      </c>
      <c r="F1005" s="12" t="s">
        <v>53</v>
      </c>
      <c r="G1005" s="12" t="s">
        <v>5406</v>
      </c>
      <c r="H1005" s="12" t="s">
        <v>1613</v>
      </c>
      <c r="I1005" s="84">
        <v>27002154</v>
      </c>
      <c r="J1005" s="12" t="s">
        <v>5102</v>
      </c>
      <c r="L1005" s="12" t="str">
        <f>IF(OR(ISBLANK(tblSites[[#This Row],[Implementing Partner]]), tblSites[[#This Row],[Implementing Partner]]="-"), tblSites[[#This Row],[Site Agency]], tblSites[[#This Row],[Implementing Partner]])</f>
        <v>No SMA</v>
      </c>
      <c r="M1005" s="12" t="s">
        <v>55</v>
      </c>
      <c r="N1005" s="12" t="str">
        <f>tblSites[[#This Row],[FinalImplementingPartner]]</f>
        <v>No SMA</v>
      </c>
    </row>
    <row r="1006" spans="1:14" x14ac:dyDescent="0.25">
      <c r="A1006" s="12" t="s">
        <v>1176</v>
      </c>
      <c r="B1006" s="12" t="s">
        <v>1177</v>
      </c>
      <c r="C1006" s="12" t="s">
        <v>1178</v>
      </c>
      <c r="D1006" t="s">
        <v>5314</v>
      </c>
      <c r="E1006" s="12" t="s">
        <v>3176</v>
      </c>
      <c r="F1006" s="12" t="s">
        <v>53</v>
      </c>
      <c r="G1006" s="12" t="s">
        <v>5406</v>
      </c>
      <c r="H1006" s="12" t="s">
        <v>1177</v>
      </c>
      <c r="I1006" s="84">
        <v>27002154</v>
      </c>
      <c r="J1006" s="12" t="s">
        <v>5102</v>
      </c>
      <c r="L1006" s="12" t="str">
        <f>IF(OR(ISBLANK(tblSites[[#This Row],[Implementing Partner]]), tblSites[[#This Row],[Implementing Partner]]="-"), tblSites[[#This Row],[Site Agency]], tblSites[[#This Row],[Implementing Partner]])</f>
        <v>No SMA</v>
      </c>
      <c r="M1006" s="12" t="s">
        <v>55</v>
      </c>
      <c r="N1006" s="12" t="str">
        <f>tblSites[[#This Row],[FinalImplementingPartner]]</f>
        <v>No SMA</v>
      </c>
    </row>
    <row r="1007" spans="1:14" x14ac:dyDescent="0.25">
      <c r="A1007" s="12" t="s">
        <v>284</v>
      </c>
      <c r="B1007" s="12" t="s">
        <v>285</v>
      </c>
      <c r="C1007" s="12" t="s">
        <v>286</v>
      </c>
      <c r="D1007" t="s">
        <v>5314</v>
      </c>
      <c r="E1007" s="12" t="s">
        <v>3176</v>
      </c>
      <c r="F1007" s="12" t="s">
        <v>53</v>
      </c>
      <c r="G1007" s="12" t="s">
        <v>5405</v>
      </c>
      <c r="H1007" s="12" t="s">
        <v>285</v>
      </c>
      <c r="I1007" s="84">
        <v>27002154</v>
      </c>
      <c r="J1007" s="12" t="s">
        <v>7</v>
      </c>
      <c r="L1007" s="12" t="str">
        <f>IF(OR(ISBLANK(tblSites[[#This Row],[Implementing Partner]]), tblSites[[#This Row],[Implementing Partner]]="-"), tblSites[[#This Row],[Site Agency]], tblSites[[#This Row],[Implementing Partner]])</f>
        <v>ACTED</v>
      </c>
      <c r="M1007" s="12" t="s">
        <v>55</v>
      </c>
      <c r="N1007" s="12" t="str">
        <f>tblSites[[#This Row],[FinalImplementingPartner]]</f>
        <v>ACTED</v>
      </c>
    </row>
    <row r="1008" spans="1:14" x14ac:dyDescent="0.25">
      <c r="A1008" s="12" t="s">
        <v>50</v>
      </c>
      <c r="B1008" s="12" t="s">
        <v>51</v>
      </c>
      <c r="C1008" s="12" t="s">
        <v>52</v>
      </c>
      <c r="D1008" t="s">
        <v>5314</v>
      </c>
      <c r="E1008" s="12" t="s">
        <v>3176</v>
      </c>
      <c r="F1008" s="12" t="s">
        <v>53</v>
      </c>
      <c r="G1008" s="12" t="s">
        <v>5413</v>
      </c>
      <c r="H1008" s="12" t="s">
        <v>51</v>
      </c>
      <c r="I1008" s="84">
        <v>27002154</v>
      </c>
      <c r="J1008" s="12" t="s">
        <v>54</v>
      </c>
      <c r="L1008" s="12" t="str">
        <f>IF(OR(ISBLANK(tblSites[[#This Row],[Implementing Partner]]), tblSites[[#This Row],[Implementing Partner]]="-"), tblSites[[#This Row],[Site Agency]], tblSites[[#This Row],[Implementing Partner]])</f>
        <v>PHC</v>
      </c>
      <c r="M1008" s="12" t="s">
        <v>55</v>
      </c>
      <c r="N1008" s="12" t="str">
        <f>tblSites[[#This Row],[FinalImplementingPartner]]</f>
        <v>PHC</v>
      </c>
    </row>
    <row r="1009" spans="1:14" x14ac:dyDescent="0.25">
      <c r="A1009" s="12" t="s">
        <v>3751</v>
      </c>
      <c r="B1009" s="12" t="s">
        <v>4343</v>
      </c>
      <c r="C1009" s="12" t="s">
        <v>4882</v>
      </c>
      <c r="D1009" t="s">
        <v>5314</v>
      </c>
      <c r="E1009" s="12" t="s">
        <v>3176</v>
      </c>
      <c r="F1009" s="12" t="s">
        <v>440</v>
      </c>
      <c r="G1009" s="12" t="s">
        <v>5415</v>
      </c>
      <c r="H1009" s="12" t="s">
        <v>4343</v>
      </c>
      <c r="I1009" s="84">
        <v>27003176</v>
      </c>
      <c r="J1009" s="12" t="s">
        <v>1215</v>
      </c>
      <c r="L1009" s="12" t="str">
        <f>IF(OR(ISBLANK(tblSites[[#This Row],[Implementing Partner]]), tblSites[[#This Row],[Implementing Partner]]="-"), tblSites[[#This Row],[Site Agency]], tblSites[[#This Row],[Implementing Partner]])</f>
        <v>UNRWA</v>
      </c>
      <c r="M1009" s="12" t="s">
        <v>55</v>
      </c>
      <c r="N1009" s="12" t="str">
        <f>tblSites[[#This Row],[FinalImplementingPartner]]</f>
        <v>UNRWA</v>
      </c>
    </row>
    <row r="1010" spans="1:14" x14ac:dyDescent="0.25">
      <c r="A1010" s="12" t="s">
        <v>3752</v>
      </c>
      <c r="B1010" s="12" t="s">
        <v>4344</v>
      </c>
      <c r="C1010" s="12" t="s">
        <v>4883</v>
      </c>
      <c r="D1010" t="s">
        <v>5314</v>
      </c>
      <c r="E1010" s="12" t="s">
        <v>3176</v>
      </c>
      <c r="F1010" s="12" t="s">
        <v>440</v>
      </c>
      <c r="G1010" s="12" t="s">
        <v>5415</v>
      </c>
      <c r="H1010" s="12" t="s">
        <v>4344</v>
      </c>
      <c r="I1010" s="84">
        <v>27003176</v>
      </c>
      <c r="J1010" s="12" t="s">
        <v>1215</v>
      </c>
      <c r="L1010" s="12" t="str">
        <f>IF(OR(ISBLANK(tblSites[[#This Row],[Implementing Partner]]), tblSites[[#This Row],[Implementing Partner]]="-"), tblSites[[#This Row],[Site Agency]], tblSites[[#This Row],[Implementing Partner]])</f>
        <v>UNRWA</v>
      </c>
      <c r="M1010" s="12" t="s">
        <v>55</v>
      </c>
      <c r="N1010" s="12" t="str">
        <f>tblSites[[#This Row],[FinalImplementingPartner]]</f>
        <v>UNRWA</v>
      </c>
    </row>
    <row r="1011" spans="1:14" x14ac:dyDescent="0.25">
      <c r="A1011" s="12" t="s">
        <v>1631</v>
      </c>
      <c r="B1011" s="12" t="s">
        <v>1632</v>
      </c>
      <c r="C1011" s="12" t="s">
        <v>1633</v>
      </c>
      <c r="D1011" t="s">
        <v>5314</v>
      </c>
      <c r="E1011" s="12" t="s">
        <v>3176</v>
      </c>
      <c r="F1011" s="12" t="s">
        <v>53</v>
      </c>
      <c r="G1011" s="12" t="s">
        <v>5406</v>
      </c>
      <c r="H1011" s="12" t="s">
        <v>1632</v>
      </c>
      <c r="I1011" s="84">
        <v>27002154</v>
      </c>
      <c r="J1011" s="12" t="s">
        <v>5102</v>
      </c>
      <c r="L1011" s="12" t="str">
        <f>IF(OR(ISBLANK(tblSites[[#This Row],[Implementing Partner]]), tblSites[[#This Row],[Implementing Partner]]="-"), tblSites[[#This Row],[Site Agency]], tblSites[[#This Row],[Implementing Partner]])</f>
        <v>No SMA</v>
      </c>
      <c r="M1011" s="12" t="s">
        <v>55</v>
      </c>
      <c r="N1011" s="12" t="str">
        <f>tblSites[[#This Row],[FinalImplementingPartner]]</f>
        <v>No SMA</v>
      </c>
    </row>
    <row r="1012" spans="1:14" x14ac:dyDescent="0.25">
      <c r="A1012" s="12" t="s">
        <v>1183</v>
      </c>
      <c r="B1012" s="12" t="s">
        <v>1184</v>
      </c>
      <c r="C1012" s="12" t="s">
        <v>1185</v>
      </c>
      <c r="D1012" t="s">
        <v>5314</v>
      </c>
      <c r="E1012" s="12" t="s">
        <v>3176</v>
      </c>
      <c r="F1012" s="12" t="s">
        <v>53</v>
      </c>
      <c r="G1012" s="12" t="s">
        <v>5406</v>
      </c>
      <c r="H1012" s="12" t="s">
        <v>1184</v>
      </c>
      <c r="I1012" s="84">
        <v>27002154</v>
      </c>
      <c r="J1012" s="12" t="s">
        <v>5102</v>
      </c>
      <c r="L1012" s="12" t="str">
        <f>IF(OR(ISBLANK(tblSites[[#This Row],[Implementing Partner]]), tblSites[[#This Row],[Implementing Partner]]="-"), tblSites[[#This Row],[Site Agency]], tblSites[[#This Row],[Implementing Partner]])</f>
        <v>No SMA</v>
      </c>
      <c r="M1012" s="12" t="s">
        <v>55</v>
      </c>
      <c r="N1012" s="12" t="str">
        <f>tblSites[[#This Row],[FinalImplementingPartner]]</f>
        <v>No SMA</v>
      </c>
    </row>
    <row r="1013" spans="1:14" x14ac:dyDescent="0.25">
      <c r="A1013" s="12" t="s">
        <v>3753</v>
      </c>
      <c r="B1013" s="12" t="s">
        <v>4345</v>
      </c>
      <c r="C1013" s="12" t="s">
        <v>4884</v>
      </c>
      <c r="D1013" t="s">
        <v>5314</v>
      </c>
      <c r="E1013" s="12" t="s">
        <v>3176</v>
      </c>
      <c r="F1013" s="12" t="s">
        <v>440</v>
      </c>
      <c r="G1013" s="12" t="s">
        <v>5415</v>
      </c>
      <c r="H1013" s="12" t="s">
        <v>4345</v>
      </c>
      <c r="I1013" s="84">
        <v>27003176</v>
      </c>
      <c r="J1013" s="12" t="s">
        <v>1215</v>
      </c>
      <c r="L1013" s="12" t="str">
        <f>IF(OR(ISBLANK(tblSites[[#This Row],[Implementing Partner]]), tblSites[[#This Row],[Implementing Partner]]="-"), tblSites[[#This Row],[Site Agency]], tblSites[[#This Row],[Implementing Partner]])</f>
        <v>UNRWA</v>
      </c>
      <c r="M1013" s="12" t="s">
        <v>55</v>
      </c>
      <c r="N1013" s="12" t="str">
        <f>tblSites[[#This Row],[FinalImplementingPartner]]</f>
        <v>UNRWA</v>
      </c>
    </row>
    <row r="1014" spans="1:14" x14ac:dyDescent="0.25">
      <c r="A1014" s="12" t="s">
        <v>3754</v>
      </c>
      <c r="B1014" s="12" t="s">
        <v>4346</v>
      </c>
      <c r="C1014" s="12" t="s">
        <v>4885</v>
      </c>
      <c r="D1014" t="s">
        <v>5314</v>
      </c>
      <c r="E1014" s="12" t="s">
        <v>3176</v>
      </c>
      <c r="F1014" s="12" t="s">
        <v>440</v>
      </c>
      <c r="G1014" s="12" t="s">
        <v>5415</v>
      </c>
      <c r="H1014" s="12" t="s">
        <v>4346</v>
      </c>
      <c r="I1014" s="84">
        <v>27003176</v>
      </c>
      <c r="J1014" s="12" t="s">
        <v>1215</v>
      </c>
      <c r="L1014" s="12" t="str">
        <f>IF(OR(ISBLANK(tblSites[[#This Row],[Implementing Partner]]), tblSites[[#This Row],[Implementing Partner]]="-"), tblSites[[#This Row],[Site Agency]], tblSites[[#This Row],[Implementing Partner]])</f>
        <v>UNRWA</v>
      </c>
      <c r="M1014" s="12" t="s">
        <v>55</v>
      </c>
      <c r="N1014" s="12" t="str">
        <f>tblSites[[#This Row],[FinalImplementingPartner]]</f>
        <v>UNRWA</v>
      </c>
    </row>
    <row r="1015" spans="1:14" x14ac:dyDescent="0.25">
      <c r="A1015" s="12" t="s">
        <v>1249</v>
      </c>
      <c r="B1015" s="12" t="s">
        <v>1250</v>
      </c>
      <c r="C1015" s="12" t="s">
        <v>1251</v>
      </c>
      <c r="D1015" t="s">
        <v>5314</v>
      </c>
      <c r="E1015" s="12" t="s">
        <v>3176</v>
      </c>
      <c r="F1015" s="12" t="s">
        <v>173</v>
      </c>
      <c r="G1015" s="12" t="s">
        <v>5404</v>
      </c>
      <c r="H1015" s="12" t="s">
        <v>1250</v>
      </c>
      <c r="I1015" s="84">
        <v>27002105</v>
      </c>
      <c r="J1015" s="12" t="s">
        <v>5102</v>
      </c>
      <c r="L1015" s="12" t="str">
        <f>IF(OR(ISBLANK(tblSites[[#This Row],[Implementing Partner]]), tblSites[[#This Row],[Implementing Partner]]="-"), tblSites[[#This Row],[Site Agency]], tblSites[[#This Row],[Implementing Partner]])</f>
        <v>No SMA</v>
      </c>
      <c r="M1015" s="12" t="s">
        <v>55</v>
      </c>
      <c r="N1015" s="12" t="str">
        <f>tblSites[[#This Row],[FinalImplementingPartner]]</f>
        <v>No SMA</v>
      </c>
    </row>
    <row r="1016" spans="1:14" x14ac:dyDescent="0.25">
      <c r="A1016" s="12" t="s">
        <v>1370</v>
      </c>
      <c r="B1016" s="12" t="s">
        <v>1371</v>
      </c>
      <c r="C1016" s="12" t="s">
        <v>1372</v>
      </c>
      <c r="D1016" t="s">
        <v>5314</v>
      </c>
      <c r="E1016" s="12" t="s">
        <v>3176</v>
      </c>
      <c r="F1016" s="12" t="s">
        <v>173</v>
      </c>
      <c r="G1016" s="12" t="s">
        <v>5404</v>
      </c>
      <c r="H1016" s="12" t="s">
        <v>1371</v>
      </c>
      <c r="I1016" s="84">
        <v>27002105</v>
      </c>
      <c r="J1016" s="12" t="s">
        <v>5102</v>
      </c>
      <c r="L1016" s="12" t="str">
        <f>IF(OR(ISBLANK(tblSites[[#This Row],[Implementing Partner]]), tblSites[[#This Row],[Implementing Partner]]="-"), tblSites[[#This Row],[Site Agency]], tblSites[[#This Row],[Implementing Partner]])</f>
        <v>No SMA</v>
      </c>
      <c r="M1016" s="12" t="s">
        <v>55</v>
      </c>
      <c r="N1016" s="12" t="str">
        <f>tblSites[[#This Row],[FinalImplementingPartner]]</f>
        <v>No SMA</v>
      </c>
    </row>
    <row r="1017" spans="1:14" x14ac:dyDescent="0.25">
      <c r="A1017" s="12" t="s">
        <v>1575</v>
      </c>
      <c r="B1017" s="12" t="s">
        <v>1576</v>
      </c>
      <c r="C1017" s="12" t="s">
        <v>1577</v>
      </c>
      <c r="D1017" t="s">
        <v>5314</v>
      </c>
      <c r="E1017" s="12" t="s">
        <v>3176</v>
      </c>
      <c r="F1017" s="12" t="s">
        <v>53</v>
      </c>
      <c r="G1017" s="12" t="s">
        <v>5406</v>
      </c>
      <c r="H1017" s="12" t="s">
        <v>1576</v>
      </c>
      <c r="I1017" s="84">
        <v>27002154</v>
      </c>
      <c r="J1017" s="12" t="s">
        <v>5102</v>
      </c>
      <c r="L1017" s="12" t="str">
        <f>IF(OR(ISBLANK(tblSites[[#This Row],[Implementing Partner]]), tblSites[[#This Row],[Implementing Partner]]="-"), tblSites[[#This Row],[Site Agency]], tblSites[[#This Row],[Implementing Partner]])</f>
        <v>No SMA</v>
      </c>
      <c r="M1017" s="12" t="s">
        <v>55</v>
      </c>
      <c r="N1017" s="12" t="str">
        <f>tblSites[[#This Row],[FinalImplementingPartner]]</f>
        <v>No SMA</v>
      </c>
    </row>
    <row r="1018" spans="1:14" x14ac:dyDescent="0.25">
      <c r="A1018" s="12" t="s">
        <v>2210</v>
      </c>
      <c r="B1018" s="12" t="s">
        <v>2211</v>
      </c>
      <c r="C1018" s="12" t="s">
        <v>2212</v>
      </c>
      <c r="D1018" t="s">
        <v>5314</v>
      </c>
      <c r="E1018" s="12" t="s">
        <v>3176</v>
      </c>
      <c r="F1018" s="12" t="s">
        <v>2213</v>
      </c>
      <c r="G1018" s="12" t="s">
        <v>5416</v>
      </c>
      <c r="H1018" s="12" t="s">
        <v>2211</v>
      </c>
      <c r="I1018" s="84">
        <v>27004171</v>
      </c>
      <c r="J1018" s="12" t="s">
        <v>5102</v>
      </c>
      <c r="L1018" s="12" t="str">
        <f>IF(OR(ISBLANK(tblSites[[#This Row],[Implementing Partner]]), tblSites[[#This Row],[Implementing Partner]]="-"), tblSites[[#This Row],[Site Agency]], tblSites[[#This Row],[Implementing Partner]])</f>
        <v>No SMA</v>
      </c>
      <c r="M1018" s="12" t="s">
        <v>55</v>
      </c>
      <c r="N1018" s="12" t="str">
        <f>tblSites[[#This Row],[FinalImplementingPartner]]</f>
        <v>No SMA</v>
      </c>
    </row>
    <row r="1019" spans="1:14" x14ac:dyDescent="0.25">
      <c r="A1019" s="12" t="s">
        <v>1838</v>
      </c>
      <c r="B1019" s="12" t="s">
        <v>1839</v>
      </c>
      <c r="C1019" s="12" t="s">
        <v>1840</v>
      </c>
      <c r="D1019" t="s">
        <v>5314</v>
      </c>
      <c r="E1019" s="12" t="s">
        <v>3176</v>
      </c>
      <c r="F1019" s="12" t="s">
        <v>325</v>
      </c>
      <c r="G1019" s="12" t="s">
        <v>5411</v>
      </c>
      <c r="H1019" s="12" t="s">
        <v>1839</v>
      </c>
      <c r="I1019" s="84">
        <v>27002104</v>
      </c>
      <c r="J1019" s="12" t="s">
        <v>5102</v>
      </c>
      <c r="L1019" s="12" t="str">
        <f>IF(OR(ISBLANK(tblSites[[#This Row],[Implementing Partner]]), tblSites[[#This Row],[Implementing Partner]]="-"), tblSites[[#This Row],[Site Agency]], tblSites[[#This Row],[Implementing Partner]])</f>
        <v>No SMA</v>
      </c>
      <c r="M1019" s="12" t="s">
        <v>55</v>
      </c>
      <c r="N1019" s="12" t="str">
        <f>tblSites[[#This Row],[FinalImplementingPartner]]</f>
        <v>No SMA</v>
      </c>
    </row>
    <row r="1020" spans="1:14" x14ac:dyDescent="0.25">
      <c r="A1020" s="12" t="s">
        <v>1546</v>
      </c>
      <c r="B1020" s="12" t="s">
        <v>1547</v>
      </c>
      <c r="C1020" s="12" t="s">
        <v>1548</v>
      </c>
      <c r="D1020" t="s">
        <v>5314</v>
      </c>
      <c r="E1020" s="12" t="s">
        <v>3176</v>
      </c>
      <c r="F1020" s="12" t="s">
        <v>53</v>
      </c>
      <c r="G1020" s="12" t="s">
        <v>5406</v>
      </c>
      <c r="H1020" s="12" t="s">
        <v>1547</v>
      </c>
      <c r="I1020" s="84">
        <v>27002154</v>
      </c>
      <c r="J1020" s="12" t="s">
        <v>5102</v>
      </c>
      <c r="L1020" s="12" t="str">
        <f>IF(OR(ISBLANK(tblSites[[#This Row],[Implementing Partner]]), tblSites[[#This Row],[Implementing Partner]]="-"), tblSites[[#This Row],[Site Agency]], tblSites[[#This Row],[Implementing Partner]])</f>
        <v>No SMA</v>
      </c>
      <c r="M1020" s="12" t="s">
        <v>55</v>
      </c>
      <c r="N1020" s="12" t="str">
        <f>tblSites[[#This Row],[FinalImplementingPartner]]</f>
        <v>No SMA</v>
      </c>
    </row>
    <row r="1021" spans="1:14" x14ac:dyDescent="0.25">
      <c r="A1021" s="12" t="s">
        <v>1433</v>
      </c>
      <c r="B1021" s="12" t="s">
        <v>1434</v>
      </c>
      <c r="C1021" s="12" t="s">
        <v>458</v>
      </c>
      <c r="D1021" t="s">
        <v>5314</v>
      </c>
      <c r="E1021" s="12" t="s">
        <v>3176</v>
      </c>
      <c r="F1021" s="12" t="s">
        <v>135</v>
      </c>
      <c r="G1021" s="12" t="s">
        <v>5408</v>
      </c>
      <c r="H1021" s="12" t="s">
        <v>1434</v>
      </c>
      <c r="I1021" s="84">
        <v>27002100</v>
      </c>
      <c r="J1021" s="12" t="s">
        <v>5102</v>
      </c>
      <c r="L1021" s="12" t="str">
        <f>IF(OR(ISBLANK(tblSites[[#This Row],[Implementing Partner]]), tblSites[[#This Row],[Implementing Partner]]="-"), tblSites[[#This Row],[Site Agency]], tblSites[[#This Row],[Implementing Partner]])</f>
        <v>No SMA</v>
      </c>
      <c r="M1021" s="12" t="s">
        <v>55</v>
      </c>
      <c r="N1021" s="12" t="str">
        <f>tblSites[[#This Row],[FinalImplementingPartner]]</f>
        <v>No SMA</v>
      </c>
    </row>
    <row r="1022" spans="1:14" x14ac:dyDescent="0.25">
      <c r="A1022" s="12" t="s">
        <v>937</v>
      </c>
      <c r="B1022" s="12" t="s">
        <v>938</v>
      </c>
      <c r="C1022" s="12" t="s">
        <v>939</v>
      </c>
      <c r="D1022" t="s">
        <v>5314</v>
      </c>
      <c r="E1022" s="12" t="s">
        <v>3176</v>
      </c>
      <c r="F1022" s="12" t="s">
        <v>53</v>
      </c>
      <c r="G1022" s="12" t="s">
        <v>5413</v>
      </c>
      <c r="H1022" s="12" t="s">
        <v>938</v>
      </c>
      <c r="I1022" s="84">
        <v>27002154</v>
      </c>
      <c r="J1022" s="12" t="s">
        <v>5</v>
      </c>
      <c r="K1022" s="12" t="s">
        <v>54</v>
      </c>
      <c r="L1022" s="12" t="str">
        <f>IF(OR(ISBLANK(tblSites[[#This Row],[Implementing Partner]]), tblSites[[#This Row],[Implementing Partner]]="-"), tblSites[[#This Row],[Site Agency]], tblSites[[#This Row],[Implementing Partner]])</f>
        <v>PHC</v>
      </c>
      <c r="M1022" s="12" t="s">
        <v>55</v>
      </c>
      <c r="N1022" s="12" t="str">
        <f>tblSites[[#This Row],[FinalImplementingPartner]]</f>
        <v>PHC</v>
      </c>
    </row>
    <row r="1023" spans="1:14" x14ac:dyDescent="0.25">
      <c r="A1023" s="12" t="s">
        <v>1007</v>
      </c>
      <c r="B1023" s="12" t="s">
        <v>1008</v>
      </c>
      <c r="C1023" s="12" t="s">
        <v>1009</v>
      </c>
      <c r="D1023" t="s">
        <v>5314</v>
      </c>
      <c r="E1023" s="12" t="s">
        <v>3176</v>
      </c>
      <c r="F1023" s="12" t="s">
        <v>53</v>
      </c>
      <c r="G1023" s="12" t="s">
        <v>5413</v>
      </c>
      <c r="H1023" s="12" t="s">
        <v>1008</v>
      </c>
      <c r="I1023" s="84">
        <v>27002154</v>
      </c>
      <c r="J1023" s="12" t="s">
        <v>5</v>
      </c>
      <c r="K1023" s="12" t="s">
        <v>54</v>
      </c>
      <c r="L1023" s="12" t="str">
        <f>IF(OR(ISBLANK(tblSites[[#This Row],[Implementing Partner]]), tblSites[[#This Row],[Implementing Partner]]="-"), tblSites[[#This Row],[Site Agency]], tblSites[[#This Row],[Implementing Partner]])</f>
        <v>PHC</v>
      </c>
      <c r="M1023" s="12" t="s">
        <v>55</v>
      </c>
      <c r="N1023" s="12" t="str">
        <f>tblSites[[#This Row],[FinalImplementingPartner]]</f>
        <v>PHC</v>
      </c>
    </row>
    <row r="1024" spans="1:14" x14ac:dyDescent="0.25">
      <c r="A1024" s="12" t="s">
        <v>1380</v>
      </c>
      <c r="B1024" s="12" t="s">
        <v>1381</v>
      </c>
      <c r="C1024" s="12" t="s">
        <v>1382</v>
      </c>
      <c r="D1024" t="s">
        <v>5314</v>
      </c>
      <c r="E1024" s="12" t="s">
        <v>3176</v>
      </c>
      <c r="F1024" s="12" t="s">
        <v>1360</v>
      </c>
      <c r="G1024" s="12" t="s">
        <v>5417</v>
      </c>
      <c r="H1024" s="12" t="s">
        <v>1381</v>
      </c>
      <c r="I1024" s="84">
        <v>27002107</v>
      </c>
      <c r="J1024" s="12" t="s">
        <v>5102</v>
      </c>
      <c r="L1024" s="12" t="str">
        <f>IF(OR(ISBLANK(tblSites[[#This Row],[Implementing Partner]]), tblSites[[#This Row],[Implementing Partner]]="-"), tblSites[[#This Row],[Site Agency]], tblSites[[#This Row],[Implementing Partner]])</f>
        <v>No SMA</v>
      </c>
      <c r="M1024" s="12" t="s">
        <v>55</v>
      </c>
      <c r="N1024" s="12" t="str">
        <f>tblSites[[#This Row],[FinalImplementingPartner]]</f>
        <v>No SMA</v>
      </c>
    </row>
    <row r="1025" spans="1:14" x14ac:dyDescent="0.25">
      <c r="A1025" s="12" t="s">
        <v>609</v>
      </c>
      <c r="B1025" s="12" t="s">
        <v>610</v>
      </c>
      <c r="C1025" s="12" t="s">
        <v>611</v>
      </c>
      <c r="D1025" t="s">
        <v>5314</v>
      </c>
      <c r="E1025" s="12" t="s">
        <v>3176</v>
      </c>
      <c r="F1025" s="12" t="s">
        <v>173</v>
      </c>
      <c r="G1025" s="12" t="s">
        <v>5418</v>
      </c>
      <c r="H1025" s="12" t="s">
        <v>610</v>
      </c>
      <c r="I1025" s="84">
        <v>27002105</v>
      </c>
      <c r="J1025" s="12" t="s">
        <v>5</v>
      </c>
      <c r="K1025" s="12" t="s">
        <v>83</v>
      </c>
      <c r="L1025" s="12" t="str">
        <f>IF(OR(ISBLANK(tblSites[[#This Row],[Implementing Partner]]), tblSites[[#This Row],[Implementing Partner]]="-"), tblSites[[#This Row],[Site Agency]], tblSites[[#This Row],[Implementing Partner]])</f>
        <v>CESVI</v>
      </c>
      <c r="M1025" s="12" t="s">
        <v>55</v>
      </c>
      <c r="N1025" s="12" t="str">
        <f>tblSites[[#This Row],[FinalImplementingPartner]]</f>
        <v>CESVI</v>
      </c>
    </row>
    <row r="1026" spans="1:14" x14ac:dyDescent="0.25">
      <c r="A1026" s="12" t="s">
        <v>1444</v>
      </c>
      <c r="B1026" s="12" t="s">
        <v>1445</v>
      </c>
      <c r="C1026" s="12" t="s">
        <v>1446</v>
      </c>
      <c r="D1026" t="s">
        <v>5314</v>
      </c>
      <c r="E1026" s="12" t="s">
        <v>3176</v>
      </c>
      <c r="F1026" s="12" t="s">
        <v>173</v>
      </c>
      <c r="G1026" s="12" t="s">
        <v>5404</v>
      </c>
      <c r="H1026" s="12" t="s">
        <v>1445</v>
      </c>
      <c r="I1026" s="84">
        <v>27002105</v>
      </c>
      <c r="J1026" s="12" t="s">
        <v>5102</v>
      </c>
      <c r="L1026" s="12" t="str">
        <f>IF(OR(ISBLANK(tblSites[[#This Row],[Implementing Partner]]), tblSites[[#This Row],[Implementing Partner]]="-"), tblSites[[#This Row],[Site Agency]], tblSites[[#This Row],[Implementing Partner]])</f>
        <v>No SMA</v>
      </c>
      <c r="M1026" s="12" t="s">
        <v>55</v>
      </c>
      <c r="N1026" s="12" t="str">
        <f>tblSites[[#This Row],[FinalImplementingPartner]]</f>
        <v>No SMA</v>
      </c>
    </row>
    <row r="1027" spans="1:14" x14ac:dyDescent="0.25">
      <c r="A1027" s="12" t="s">
        <v>1453</v>
      </c>
      <c r="B1027" s="12" t="s">
        <v>1454</v>
      </c>
      <c r="C1027" s="12" t="s">
        <v>1455</v>
      </c>
      <c r="D1027" t="s">
        <v>5314</v>
      </c>
      <c r="E1027" s="12" t="s">
        <v>3176</v>
      </c>
      <c r="F1027" s="12" t="s">
        <v>173</v>
      </c>
      <c r="G1027" s="12" t="s">
        <v>5404</v>
      </c>
      <c r="H1027" s="12" t="s">
        <v>1454</v>
      </c>
      <c r="I1027" s="84">
        <v>27002105</v>
      </c>
      <c r="J1027" s="12" t="s">
        <v>5102</v>
      </c>
      <c r="L1027" s="12" t="str">
        <f>IF(OR(ISBLANK(tblSites[[#This Row],[Implementing Partner]]), tblSites[[#This Row],[Implementing Partner]]="-"), tblSites[[#This Row],[Site Agency]], tblSites[[#This Row],[Implementing Partner]])</f>
        <v>No SMA</v>
      </c>
      <c r="M1027" s="12" t="s">
        <v>55</v>
      </c>
      <c r="N1027" s="12" t="str">
        <f>tblSites[[#This Row],[FinalImplementingPartner]]</f>
        <v>No SMA</v>
      </c>
    </row>
    <row r="1028" spans="1:14" x14ac:dyDescent="0.25">
      <c r="A1028" s="12" t="s">
        <v>1206</v>
      </c>
      <c r="B1028" s="12" t="s">
        <v>1207</v>
      </c>
      <c r="C1028" s="12" t="s">
        <v>1208</v>
      </c>
      <c r="D1028" t="s">
        <v>5314</v>
      </c>
      <c r="E1028" s="12" t="s">
        <v>3176</v>
      </c>
      <c r="F1028" s="12" t="s">
        <v>173</v>
      </c>
      <c r="G1028" s="12" t="s">
        <v>5404</v>
      </c>
      <c r="H1028" s="12" t="s">
        <v>1207</v>
      </c>
      <c r="I1028" s="84">
        <v>27002105</v>
      </c>
      <c r="J1028" s="12" t="s">
        <v>5102</v>
      </c>
      <c r="L1028" s="12" t="str">
        <f>IF(OR(ISBLANK(tblSites[[#This Row],[Implementing Partner]]), tblSites[[#This Row],[Implementing Partner]]="-"), tblSites[[#This Row],[Site Agency]], tblSites[[#This Row],[Implementing Partner]])</f>
        <v>No SMA</v>
      </c>
      <c r="M1028" s="12" t="s">
        <v>55</v>
      </c>
      <c r="N1028" s="12" t="str">
        <f>tblSites[[#This Row],[FinalImplementingPartner]]</f>
        <v>No SMA</v>
      </c>
    </row>
    <row r="1029" spans="1:14" x14ac:dyDescent="0.25">
      <c r="A1029" s="12" t="s">
        <v>1662</v>
      </c>
      <c r="B1029" s="12" t="s">
        <v>1445</v>
      </c>
      <c r="C1029" s="12" t="s">
        <v>150</v>
      </c>
      <c r="D1029" t="s">
        <v>5314</v>
      </c>
      <c r="E1029" s="12" t="s">
        <v>3176</v>
      </c>
      <c r="F1029" s="12" t="s">
        <v>173</v>
      </c>
      <c r="G1029" s="12" t="s">
        <v>5404</v>
      </c>
      <c r="H1029" s="12" t="s">
        <v>1445</v>
      </c>
      <c r="I1029" s="84">
        <v>27002105</v>
      </c>
      <c r="J1029" s="12" t="s">
        <v>5102</v>
      </c>
      <c r="L1029" s="12" t="str">
        <f>IF(OR(ISBLANK(tblSites[[#This Row],[Implementing Partner]]), tblSites[[#This Row],[Implementing Partner]]="-"), tblSites[[#This Row],[Site Agency]], tblSites[[#This Row],[Implementing Partner]])</f>
        <v>No SMA</v>
      </c>
      <c r="M1029" s="12" t="s">
        <v>55</v>
      </c>
      <c r="N1029" s="12" t="str">
        <f>tblSites[[#This Row],[FinalImplementingPartner]]</f>
        <v>No SMA</v>
      </c>
    </row>
    <row r="1030" spans="1:14" x14ac:dyDescent="0.25">
      <c r="A1030" s="12" t="s">
        <v>1286</v>
      </c>
      <c r="B1030" s="12" t="s">
        <v>1287</v>
      </c>
      <c r="C1030" s="12" t="s">
        <v>1288</v>
      </c>
      <c r="D1030" t="s">
        <v>5314</v>
      </c>
      <c r="E1030" s="12" t="s">
        <v>3176</v>
      </c>
      <c r="F1030" s="12" t="s">
        <v>173</v>
      </c>
      <c r="G1030" s="12" t="s">
        <v>5404</v>
      </c>
      <c r="H1030" s="12" t="s">
        <v>1287</v>
      </c>
      <c r="I1030" s="84">
        <v>27002105</v>
      </c>
      <c r="J1030" s="12" t="s">
        <v>5102</v>
      </c>
      <c r="L1030" s="12" t="str">
        <f>IF(OR(ISBLANK(tblSites[[#This Row],[Implementing Partner]]), tblSites[[#This Row],[Implementing Partner]]="-"), tblSites[[#This Row],[Site Agency]], tblSites[[#This Row],[Implementing Partner]])</f>
        <v>No SMA</v>
      </c>
      <c r="M1030" s="12" t="s">
        <v>55</v>
      </c>
      <c r="N1030" s="12" t="str">
        <f>tblSites[[#This Row],[FinalImplementingPartner]]</f>
        <v>No SMA</v>
      </c>
    </row>
    <row r="1031" spans="1:14" x14ac:dyDescent="0.25">
      <c r="A1031" s="12" t="s">
        <v>1456</v>
      </c>
      <c r="B1031" s="12" t="s">
        <v>1457</v>
      </c>
      <c r="C1031" s="12" t="s">
        <v>1458</v>
      </c>
      <c r="D1031" t="s">
        <v>5314</v>
      </c>
      <c r="E1031" s="12" t="s">
        <v>3176</v>
      </c>
      <c r="F1031" s="12" t="s">
        <v>173</v>
      </c>
      <c r="G1031" s="12" t="s">
        <v>5404</v>
      </c>
      <c r="H1031" s="12" t="s">
        <v>1457</v>
      </c>
      <c r="I1031" s="84">
        <v>27002105</v>
      </c>
      <c r="J1031" s="12" t="s">
        <v>5102</v>
      </c>
      <c r="L1031" s="12" t="str">
        <f>IF(OR(ISBLANK(tblSites[[#This Row],[Implementing Partner]]), tblSites[[#This Row],[Implementing Partner]]="-"), tblSites[[#This Row],[Site Agency]], tblSites[[#This Row],[Implementing Partner]])</f>
        <v>No SMA</v>
      </c>
      <c r="M1031" s="12" t="s">
        <v>55</v>
      </c>
      <c r="N1031" s="12" t="str">
        <f>tblSites[[#This Row],[FinalImplementingPartner]]</f>
        <v>No SMA</v>
      </c>
    </row>
    <row r="1032" spans="1:14" x14ac:dyDescent="0.25">
      <c r="A1032" s="12" t="s">
        <v>2937</v>
      </c>
      <c r="B1032" s="12" t="s">
        <v>2938</v>
      </c>
      <c r="C1032" s="12" t="s">
        <v>2939</v>
      </c>
      <c r="D1032" t="s">
        <v>5314</v>
      </c>
      <c r="E1032" s="12" t="s">
        <v>3176</v>
      </c>
      <c r="F1032" s="12" t="s">
        <v>173</v>
      </c>
      <c r="G1032" s="12" t="s">
        <v>5404</v>
      </c>
      <c r="H1032" s="12" t="s">
        <v>2938</v>
      </c>
      <c r="I1032" s="84">
        <v>27002105</v>
      </c>
      <c r="J1032" s="12" t="s">
        <v>5102</v>
      </c>
      <c r="L1032" s="12" t="str">
        <f>IF(OR(ISBLANK(tblSites[[#This Row],[Implementing Partner]]), tblSites[[#This Row],[Implementing Partner]]="-"), tblSites[[#This Row],[Site Agency]], tblSites[[#This Row],[Implementing Partner]])</f>
        <v>No SMA</v>
      </c>
      <c r="M1032" s="12" t="s">
        <v>55</v>
      </c>
      <c r="N1032" s="12" t="str">
        <f>tblSites[[#This Row],[FinalImplementingPartner]]</f>
        <v>No SMA</v>
      </c>
    </row>
    <row r="1033" spans="1:14" x14ac:dyDescent="0.25">
      <c r="A1033" s="12" t="s">
        <v>2940</v>
      </c>
      <c r="B1033" s="12" t="s">
        <v>2941</v>
      </c>
      <c r="C1033" s="12" t="s">
        <v>2942</v>
      </c>
      <c r="D1033" t="s">
        <v>5314</v>
      </c>
      <c r="E1033" s="12" t="s">
        <v>3176</v>
      </c>
      <c r="F1033" s="12" t="s">
        <v>173</v>
      </c>
      <c r="G1033" s="12" t="s">
        <v>5404</v>
      </c>
      <c r="H1033" s="12" t="s">
        <v>2941</v>
      </c>
      <c r="I1033" s="84">
        <v>27002105</v>
      </c>
      <c r="J1033" s="12" t="s">
        <v>5102</v>
      </c>
      <c r="L1033" s="12" t="str">
        <f>IF(OR(ISBLANK(tblSites[[#This Row],[Implementing Partner]]), tblSites[[#This Row],[Implementing Partner]]="-"), tblSites[[#This Row],[Site Agency]], tblSites[[#This Row],[Implementing Partner]])</f>
        <v>No SMA</v>
      </c>
      <c r="M1033" s="12" t="s">
        <v>55</v>
      </c>
      <c r="N1033" s="12" t="str">
        <f>tblSites[[#This Row],[FinalImplementingPartner]]</f>
        <v>No SMA</v>
      </c>
    </row>
    <row r="1034" spans="1:14" x14ac:dyDescent="0.25">
      <c r="A1034" s="12" t="s">
        <v>1651</v>
      </c>
      <c r="B1034" s="12" t="s">
        <v>1652</v>
      </c>
      <c r="D1034" t="s">
        <v>5314</v>
      </c>
      <c r="E1034" s="12" t="s">
        <v>3176</v>
      </c>
      <c r="F1034" s="12" t="s">
        <v>173</v>
      </c>
      <c r="G1034" s="12" t="s">
        <v>5404</v>
      </c>
      <c r="H1034" s="12" t="s">
        <v>1652</v>
      </c>
      <c r="I1034" s="84">
        <v>27002105</v>
      </c>
      <c r="J1034" s="12" t="s">
        <v>5102</v>
      </c>
      <c r="L1034" s="12" t="str">
        <f>IF(OR(ISBLANK(tblSites[[#This Row],[Implementing Partner]]), tblSites[[#This Row],[Implementing Partner]]="-"), tblSites[[#This Row],[Site Agency]], tblSites[[#This Row],[Implementing Partner]])</f>
        <v>No SMA</v>
      </c>
      <c r="M1034" s="12" t="s">
        <v>55</v>
      </c>
      <c r="N1034" s="12" t="str">
        <f>tblSites[[#This Row],[FinalImplementingPartner]]</f>
        <v>No SMA</v>
      </c>
    </row>
    <row r="1035" spans="1:14" x14ac:dyDescent="0.25">
      <c r="A1035" s="12" t="s">
        <v>2091</v>
      </c>
      <c r="B1035" s="12" t="s">
        <v>2092</v>
      </c>
      <c r="C1035" s="12" t="s">
        <v>2093</v>
      </c>
      <c r="D1035" t="s">
        <v>5314</v>
      </c>
      <c r="E1035" s="12" t="s">
        <v>3176</v>
      </c>
      <c r="F1035" s="12" t="s">
        <v>173</v>
      </c>
      <c r="G1035" s="12" t="s">
        <v>5414</v>
      </c>
      <c r="H1035" s="12" t="s">
        <v>2092</v>
      </c>
      <c r="I1035" s="84">
        <v>27002105</v>
      </c>
      <c r="J1035" s="12" t="s">
        <v>35</v>
      </c>
      <c r="L1035" s="12" t="str">
        <f>IF(OR(ISBLANK(tblSites[[#This Row],[Implementing Partner]]), tblSites[[#This Row],[Implementing Partner]]="-"), tblSites[[#This Row],[Site Agency]], tblSites[[#This Row],[Implementing Partner]])</f>
        <v>NRC</v>
      </c>
      <c r="M1035" s="12" t="s">
        <v>55</v>
      </c>
      <c r="N1035" s="12" t="str">
        <f>tblSites[[#This Row],[FinalImplementingPartner]]</f>
        <v>NRC</v>
      </c>
    </row>
    <row r="1036" spans="1:14" x14ac:dyDescent="0.25">
      <c r="A1036" s="12" t="s">
        <v>1375</v>
      </c>
      <c r="B1036" s="12" t="s">
        <v>1376</v>
      </c>
      <c r="C1036" s="12" t="s">
        <v>909</v>
      </c>
      <c r="D1036" t="s">
        <v>5314</v>
      </c>
      <c r="E1036" s="12" t="s">
        <v>3176</v>
      </c>
      <c r="F1036" s="12" t="s">
        <v>173</v>
      </c>
      <c r="G1036" s="12" t="s">
        <v>5404</v>
      </c>
      <c r="H1036" s="12" t="s">
        <v>1376</v>
      </c>
      <c r="I1036" s="84">
        <v>27002105</v>
      </c>
      <c r="J1036" s="12" t="s">
        <v>5102</v>
      </c>
      <c r="L1036" s="12" t="str">
        <f>IF(OR(ISBLANK(tblSites[[#This Row],[Implementing Partner]]), tblSites[[#This Row],[Implementing Partner]]="-"), tblSites[[#This Row],[Site Agency]], tblSites[[#This Row],[Implementing Partner]])</f>
        <v>No SMA</v>
      </c>
      <c r="M1036" s="12" t="s">
        <v>55</v>
      </c>
      <c r="N1036" s="12" t="str">
        <f>tblSites[[#This Row],[FinalImplementingPartner]]</f>
        <v>No SMA</v>
      </c>
    </row>
    <row r="1037" spans="1:14" x14ac:dyDescent="0.25">
      <c r="A1037" s="12" t="s">
        <v>1465</v>
      </c>
      <c r="B1037" s="12" t="s">
        <v>1466</v>
      </c>
      <c r="C1037" s="12" t="s">
        <v>1467</v>
      </c>
      <c r="D1037" t="s">
        <v>5314</v>
      </c>
      <c r="E1037" s="12" t="s">
        <v>3176</v>
      </c>
      <c r="F1037" s="12" t="s">
        <v>173</v>
      </c>
      <c r="G1037" s="12" t="s">
        <v>5404</v>
      </c>
      <c r="H1037" s="12" t="s">
        <v>1466</v>
      </c>
      <c r="I1037" s="84">
        <v>27002105</v>
      </c>
      <c r="J1037" s="12" t="s">
        <v>5102</v>
      </c>
      <c r="L1037" s="12" t="str">
        <f>IF(OR(ISBLANK(tblSites[[#This Row],[Implementing Partner]]), tblSites[[#This Row],[Implementing Partner]]="-"), tblSites[[#This Row],[Site Agency]], tblSites[[#This Row],[Implementing Partner]])</f>
        <v>No SMA</v>
      </c>
      <c r="M1037" s="12" t="s">
        <v>55</v>
      </c>
      <c r="N1037" s="12" t="str">
        <f>tblSites[[#This Row],[FinalImplementingPartner]]</f>
        <v>No SMA</v>
      </c>
    </row>
    <row r="1038" spans="1:14" x14ac:dyDescent="0.25">
      <c r="A1038" s="12" t="s">
        <v>1569</v>
      </c>
      <c r="B1038" s="12" t="s">
        <v>1570</v>
      </c>
      <c r="C1038" s="12" t="s">
        <v>1571</v>
      </c>
      <c r="D1038" t="s">
        <v>5314</v>
      </c>
      <c r="E1038" s="12" t="s">
        <v>3176</v>
      </c>
      <c r="F1038" s="12" t="s">
        <v>53</v>
      </c>
      <c r="G1038" s="12" t="s">
        <v>5406</v>
      </c>
      <c r="H1038" s="12" t="s">
        <v>1570</v>
      </c>
      <c r="I1038" s="84">
        <v>27002154</v>
      </c>
      <c r="J1038" s="12" t="s">
        <v>5102</v>
      </c>
      <c r="L1038" s="12" t="str">
        <f>IF(OR(ISBLANK(tblSites[[#This Row],[Implementing Partner]]), tblSites[[#This Row],[Implementing Partner]]="-"), tblSites[[#This Row],[Site Agency]], tblSites[[#This Row],[Implementing Partner]])</f>
        <v>No SMA</v>
      </c>
      <c r="M1038" s="12" t="s">
        <v>55</v>
      </c>
      <c r="N1038" s="12" t="str">
        <f>tblSites[[#This Row],[FinalImplementingPartner]]</f>
        <v>No SMA</v>
      </c>
    </row>
    <row r="1039" spans="1:14" x14ac:dyDescent="0.25">
      <c r="A1039" s="12" t="s">
        <v>2943</v>
      </c>
      <c r="B1039" s="12" t="s">
        <v>2944</v>
      </c>
      <c r="C1039" s="12" t="s">
        <v>2945</v>
      </c>
      <c r="D1039" t="s">
        <v>5314</v>
      </c>
      <c r="E1039" s="12" t="s">
        <v>3176</v>
      </c>
      <c r="F1039" s="12" t="s">
        <v>173</v>
      </c>
      <c r="G1039" s="12" t="s">
        <v>5404</v>
      </c>
      <c r="H1039" s="12" t="s">
        <v>2944</v>
      </c>
      <c r="I1039" s="84">
        <v>27002105</v>
      </c>
      <c r="J1039" s="12" t="s">
        <v>5102</v>
      </c>
      <c r="L1039" s="12" t="str">
        <f>IF(OR(ISBLANK(tblSites[[#This Row],[Implementing Partner]]), tblSites[[#This Row],[Implementing Partner]]="-"), tblSites[[#This Row],[Site Agency]], tblSites[[#This Row],[Implementing Partner]])</f>
        <v>No SMA</v>
      </c>
      <c r="M1039" s="12" t="s">
        <v>55</v>
      </c>
      <c r="N1039" s="12" t="str">
        <f>tblSites[[#This Row],[FinalImplementingPartner]]</f>
        <v>No SMA</v>
      </c>
    </row>
    <row r="1040" spans="1:14" x14ac:dyDescent="0.25">
      <c r="A1040" s="12" t="s">
        <v>2027</v>
      </c>
      <c r="B1040" s="12" t="s">
        <v>2028</v>
      </c>
      <c r="C1040" s="12" t="s">
        <v>2029</v>
      </c>
      <c r="D1040" t="s">
        <v>5314</v>
      </c>
      <c r="E1040" s="12" t="s">
        <v>3176</v>
      </c>
      <c r="F1040" s="12" t="s">
        <v>325</v>
      </c>
      <c r="G1040" s="12" t="s">
        <v>5411</v>
      </c>
      <c r="H1040" s="12" t="s">
        <v>2028</v>
      </c>
      <c r="I1040" s="84">
        <v>27002104</v>
      </c>
      <c r="J1040" s="12" t="s">
        <v>5102</v>
      </c>
      <c r="L1040" s="12" t="str">
        <f>IF(OR(ISBLANK(tblSites[[#This Row],[Implementing Partner]]), tblSites[[#This Row],[Implementing Partner]]="-"), tblSites[[#This Row],[Site Agency]], tblSites[[#This Row],[Implementing Partner]])</f>
        <v>No SMA</v>
      </c>
      <c r="M1040" s="12" t="s">
        <v>55</v>
      </c>
      <c r="N1040" s="12" t="str">
        <f>tblSites[[#This Row],[FinalImplementingPartner]]</f>
        <v>No SMA</v>
      </c>
    </row>
    <row r="1041" spans="1:14" x14ac:dyDescent="0.25">
      <c r="A1041" s="12" t="s">
        <v>1639</v>
      </c>
      <c r="B1041" s="12" t="s">
        <v>1640</v>
      </c>
      <c r="C1041" s="12" t="s">
        <v>1641</v>
      </c>
      <c r="D1041" t="s">
        <v>5314</v>
      </c>
      <c r="E1041" s="12" t="s">
        <v>3176</v>
      </c>
      <c r="F1041" s="12" t="s">
        <v>53</v>
      </c>
      <c r="G1041" s="12" t="s">
        <v>5406</v>
      </c>
      <c r="H1041" s="12" t="s">
        <v>1640</v>
      </c>
      <c r="I1041" s="84">
        <v>27002154</v>
      </c>
      <c r="J1041" s="12" t="s">
        <v>5102</v>
      </c>
      <c r="L1041" s="12" t="str">
        <f>IF(OR(ISBLANK(tblSites[[#This Row],[Implementing Partner]]), tblSites[[#This Row],[Implementing Partner]]="-"), tblSites[[#This Row],[Site Agency]], tblSites[[#This Row],[Implementing Partner]])</f>
        <v>No SMA</v>
      </c>
      <c r="M1041" s="12" t="s">
        <v>55</v>
      </c>
      <c r="N1041" s="12" t="str">
        <f>tblSites[[#This Row],[FinalImplementingPartner]]</f>
        <v>No SMA</v>
      </c>
    </row>
    <row r="1042" spans="1:14" x14ac:dyDescent="0.25">
      <c r="A1042" s="12" t="s">
        <v>1132</v>
      </c>
      <c r="B1042" s="12" t="s">
        <v>1133</v>
      </c>
      <c r="C1042" s="12" t="s">
        <v>1134</v>
      </c>
      <c r="D1042" t="s">
        <v>5314</v>
      </c>
      <c r="E1042" s="12" t="s">
        <v>3176</v>
      </c>
      <c r="F1042" s="12" t="s">
        <v>53</v>
      </c>
      <c r="G1042" s="12" t="s">
        <v>5406</v>
      </c>
      <c r="H1042" s="12" t="s">
        <v>1133</v>
      </c>
      <c r="I1042" s="84">
        <v>27002154</v>
      </c>
      <c r="J1042" s="12" t="s">
        <v>5102</v>
      </c>
      <c r="L1042" s="12" t="str">
        <f>IF(OR(ISBLANK(tblSites[[#This Row],[Implementing Partner]]), tblSites[[#This Row],[Implementing Partner]]="-"), tblSites[[#This Row],[Site Agency]], tblSites[[#This Row],[Implementing Partner]])</f>
        <v>No SMA</v>
      </c>
      <c r="M1042" s="12" t="s">
        <v>55</v>
      </c>
      <c r="N1042" s="12" t="str">
        <f>tblSites[[#This Row],[FinalImplementingPartner]]</f>
        <v>No SMA</v>
      </c>
    </row>
    <row r="1043" spans="1:14" x14ac:dyDescent="0.25">
      <c r="A1043" s="12" t="s">
        <v>245</v>
      </c>
      <c r="B1043" s="12" t="s">
        <v>246</v>
      </c>
      <c r="C1043" s="12" t="s">
        <v>247</v>
      </c>
      <c r="D1043" t="s">
        <v>5314</v>
      </c>
      <c r="E1043" s="12" t="s">
        <v>3176</v>
      </c>
      <c r="F1043" s="12" t="s">
        <v>53</v>
      </c>
      <c r="G1043" s="12" t="s">
        <v>5405</v>
      </c>
      <c r="H1043" s="12" t="s">
        <v>246</v>
      </c>
      <c r="I1043" s="84">
        <v>27002154</v>
      </c>
      <c r="J1043" s="12" t="s">
        <v>7</v>
      </c>
      <c r="L1043" s="12" t="str">
        <f>IF(OR(ISBLANK(tblSites[[#This Row],[Implementing Partner]]), tblSites[[#This Row],[Implementing Partner]]="-"), tblSites[[#This Row],[Site Agency]], tblSites[[#This Row],[Implementing Partner]])</f>
        <v>ACTED</v>
      </c>
      <c r="M1043" s="12" t="s">
        <v>55</v>
      </c>
      <c r="N1043" s="12" t="str">
        <f>tblSites[[#This Row],[FinalImplementingPartner]]</f>
        <v>ACTED</v>
      </c>
    </row>
    <row r="1044" spans="1:14" x14ac:dyDescent="0.25">
      <c r="A1044" s="12" t="s">
        <v>2066</v>
      </c>
      <c r="B1044" s="12" t="s">
        <v>2067</v>
      </c>
      <c r="C1044" s="12" t="s">
        <v>2068</v>
      </c>
      <c r="D1044" t="s">
        <v>5314</v>
      </c>
      <c r="E1044" s="12" t="s">
        <v>3176</v>
      </c>
      <c r="F1044" s="12" t="s">
        <v>79</v>
      </c>
      <c r="G1044" s="12" t="s">
        <v>5419</v>
      </c>
      <c r="H1044" s="12" t="s">
        <v>2067</v>
      </c>
      <c r="I1044" s="84">
        <v>27002101</v>
      </c>
      <c r="J1044" s="12" t="s">
        <v>5102</v>
      </c>
      <c r="L1044" s="12" t="str">
        <f>IF(OR(ISBLANK(tblSites[[#This Row],[Implementing Partner]]), tblSites[[#This Row],[Implementing Partner]]="-"), tblSites[[#This Row],[Site Agency]], tblSites[[#This Row],[Implementing Partner]])</f>
        <v>No SMA</v>
      </c>
      <c r="M1044" s="12" t="s">
        <v>55</v>
      </c>
      <c r="N1044" s="12" t="str">
        <f>tblSites[[#This Row],[FinalImplementingPartner]]</f>
        <v>No SMA</v>
      </c>
    </row>
    <row r="1045" spans="1:14" x14ac:dyDescent="0.25">
      <c r="A1045" s="12" t="s">
        <v>2084</v>
      </c>
      <c r="B1045" s="12" t="s">
        <v>1531</v>
      </c>
      <c r="C1045" s="12" t="s">
        <v>1532</v>
      </c>
      <c r="D1045" t="s">
        <v>5314</v>
      </c>
      <c r="E1045" s="12" t="s">
        <v>3176</v>
      </c>
      <c r="F1045" s="12" t="s">
        <v>79</v>
      </c>
      <c r="G1045" s="12" t="s">
        <v>5419</v>
      </c>
      <c r="H1045" s="12" t="s">
        <v>1531</v>
      </c>
      <c r="I1045" s="84">
        <v>27002101</v>
      </c>
      <c r="J1045" s="12" t="s">
        <v>5102</v>
      </c>
      <c r="L1045" s="12" t="str">
        <f>IF(OR(ISBLANK(tblSites[[#This Row],[Implementing Partner]]), tblSites[[#This Row],[Implementing Partner]]="-"), tblSites[[#This Row],[Site Agency]], tblSites[[#This Row],[Implementing Partner]])</f>
        <v>No SMA</v>
      </c>
      <c r="M1045" s="12" t="s">
        <v>55</v>
      </c>
      <c r="N1045" s="12" t="str">
        <f>tblSites[[#This Row],[FinalImplementingPartner]]</f>
        <v>No SMA</v>
      </c>
    </row>
    <row r="1046" spans="1:14" x14ac:dyDescent="0.25">
      <c r="A1046" s="12" t="s">
        <v>1422</v>
      </c>
      <c r="B1046" s="12" t="s">
        <v>1423</v>
      </c>
      <c r="C1046" s="12" t="s">
        <v>1424</v>
      </c>
      <c r="D1046" t="s">
        <v>5314</v>
      </c>
      <c r="E1046" s="12" t="s">
        <v>3176</v>
      </c>
      <c r="F1046" s="12" t="s">
        <v>173</v>
      </c>
      <c r="G1046" s="12" t="s">
        <v>5404</v>
      </c>
      <c r="H1046" s="12" t="s">
        <v>1423</v>
      </c>
      <c r="I1046" s="84">
        <v>27002105</v>
      </c>
      <c r="J1046" s="12" t="s">
        <v>5102</v>
      </c>
      <c r="L1046" s="12" t="str">
        <f>IF(OR(ISBLANK(tblSites[[#This Row],[Implementing Partner]]), tblSites[[#This Row],[Implementing Partner]]="-"), tblSites[[#This Row],[Site Agency]], tblSites[[#This Row],[Implementing Partner]])</f>
        <v>No SMA</v>
      </c>
      <c r="M1046" s="12" t="s">
        <v>55</v>
      </c>
      <c r="N1046" s="12" t="str">
        <f>tblSites[[#This Row],[FinalImplementingPartner]]</f>
        <v>No SMA</v>
      </c>
    </row>
    <row r="1047" spans="1:14" x14ac:dyDescent="0.25">
      <c r="A1047" s="12" t="s">
        <v>2946</v>
      </c>
      <c r="B1047" s="12" t="s">
        <v>2947</v>
      </c>
      <c r="C1047" s="12" t="s">
        <v>389</v>
      </c>
      <c r="D1047" t="s">
        <v>5314</v>
      </c>
      <c r="E1047" s="12" t="s">
        <v>3176</v>
      </c>
      <c r="F1047" s="12" t="s">
        <v>79</v>
      </c>
      <c r="G1047" s="12" t="s">
        <v>5419</v>
      </c>
      <c r="H1047" s="12" t="s">
        <v>2947</v>
      </c>
      <c r="I1047" s="84">
        <v>27002101</v>
      </c>
      <c r="J1047" s="12" t="s">
        <v>5102</v>
      </c>
      <c r="L1047" s="12" t="str">
        <f>IF(OR(ISBLANK(tblSites[[#This Row],[Implementing Partner]]), tblSites[[#This Row],[Implementing Partner]]="-"), tblSites[[#This Row],[Site Agency]], tblSites[[#This Row],[Implementing Partner]])</f>
        <v>No SMA</v>
      </c>
      <c r="M1047" s="12" t="s">
        <v>55</v>
      </c>
      <c r="N1047" s="12" t="str">
        <f>tblSites[[#This Row],[FinalImplementingPartner]]</f>
        <v>No SMA</v>
      </c>
    </row>
    <row r="1048" spans="1:14" x14ac:dyDescent="0.25">
      <c r="A1048" s="12" t="s">
        <v>2948</v>
      </c>
      <c r="B1048" s="12" t="s">
        <v>1122</v>
      </c>
      <c r="C1048" s="12" t="s">
        <v>2949</v>
      </c>
      <c r="D1048" t="s">
        <v>5314</v>
      </c>
      <c r="E1048" s="12" t="s">
        <v>3176</v>
      </c>
      <c r="F1048" s="12" t="s">
        <v>325</v>
      </c>
      <c r="G1048" s="12" t="s">
        <v>5411</v>
      </c>
      <c r="H1048" s="12" t="s">
        <v>1122</v>
      </c>
      <c r="I1048" s="84">
        <v>27002104</v>
      </c>
      <c r="J1048" s="12" t="s">
        <v>5102</v>
      </c>
      <c r="L1048" s="12" t="str">
        <f>IF(OR(ISBLANK(tblSites[[#This Row],[Implementing Partner]]), tblSites[[#This Row],[Implementing Partner]]="-"), tblSites[[#This Row],[Site Agency]], tblSites[[#This Row],[Implementing Partner]])</f>
        <v>No SMA</v>
      </c>
      <c r="M1048" s="12" t="s">
        <v>55</v>
      </c>
      <c r="N1048" s="12" t="str">
        <f>tblSites[[#This Row],[FinalImplementingPartner]]</f>
        <v>No SMA</v>
      </c>
    </row>
    <row r="1049" spans="1:14" x14ac:dyDescent="0.25">
      <c r="A1049" s="12" t="s">
        <v>1767</v>
      </c>
      <c r="B1049" s="12" t="s">
        <v>1768</v>
      </c>
      <c r="C1049" s="12" t="s">
        <v>1769</v>
      </c>
      <c r="D1049" t="s">
        <v>5314</v>
      </c>
      <c r="E1049" s="12" t="s">
        <v>3176</v>
      </c>
      <c r="F1049" s="12" t="s">
        <v>325</v>
      </c>
      <c r="G1049" s="12" t="s">
        <v>5411</v>
      </c>
      <c r="H1049" s="12" t="s">
        <v>1768</v>
      </c>
      <c r="I1049" s="84">
        <v>27002104</v>
      </c>
      <c r="J1049" s="12" t="s">
        <v>5102</v>
      </c>
      <c r="L1049" s="12" t="str">
        <f>IF(OR(ISBLANK(tblSites[[#This Row],[Implementing Partner]]), tblSites[[#This Row],[Implementing Partner]]="-"), tblSites[[#This Row],[Site Agency]], tblSites[[#This Row],[Implementing Partner]])</f>
        <v>No SMA</v>
      </c>
      <c r="M1049" s="12" t="s">
        <v>55</v>
      </c>
      <c r="N1049" s="12" t="str">
        <f>tblSites[[#This Row],[FinalImplementingPartner]]</f>
        <v>No SMA</v>
      </c>
    </row>
    <row r="1050" spans="1:14" x14ac:dyDescent="0.25">
      <c r="A1050" s="12" t="s">
        <v>2950</v>
      </c>
      <c r="B1050" s="12" t="s">
        <v>2951</v>
      </c>
      <c r="D1050" t="s">
        <v>5314</v>
      </c>
      <c r="E1050" s="12" t="s">
        <v>3176</v>
      </c>
      <c r="F1050" s="12" t="s">
        <v>2952</v>
      </c>
      <c r="G1050" s="12" t="s">
        <v>5420</v>
      </c>
      <c r="H1050" s="12" t="s">
        <v>2951</v>
      </c>
      <c r="I1050" s="84">
        <v>27002106</v>
      </c>
      <c r="J1050" s="12" t="s">
        <v>5102</v>
      </c>
      <c r="L1050" s="12" t="str">
        <f>IF(OR(ISBLANK(tblSites[[#This Row],[Implementing Partner]]), tblSites[[#This Row],[Implementing Partner]]="-"), tblSites[[#This Row],[Site Agency]], tblSites[[#This Row],[Implementing Partner]])</f>
        <v>No SMA</v>
      </c>
      <c r="M1050" s="12" t="s">
        <v>55</v>
      </c>
      <c r="N1050" s="12" t="str">
        <f>tblSites[[#This Row],[FinalImplementingPartner]]</f>
        <v>No SMA</v>
      </c>
    </row>
    <row r="1051" spans="1:14" x14ac:dyDescent="0.25">
      <c r="A1051" s="12" t="s">
        <v>2145</v>
      </c>
      <c r="B1051" s="12" t="s">
        <v>2146</v>
      </c>
      <c r="C1051" s="12" t="s">
        <v>2147</v>
      </c>
      <c r="D1051" t="s">
        <v>5314</v>
      </c>
      <c r="E1051" s="12" t="s">
        <v>3176</v>
      </c>
      <c r="F1051" s="12" t="s">
        <v>79</v>
      </c>
      <c r="G1051" s="12" t="s">
        <v>5419</v>
      </c>
      <c r="H1051" s="12" t="s">
        <v>2146</v>
      </c>
      <c r="I1051" s="84">
        <v>27002101</v>
      </c>
      <c r="J1051" s="12" t="s">
        <v>5102</v>
      </c>
      <c r="L1051" s="12" t="str">
        <f>IF(OR(ISBLANK(tblSites[[#This Row],[Implementing Partner]]), tblSites[[#This Row],[Implementing Partner]]="-"), tblSites[[#This Row],[Site Agency]], tblSites[[#This Row],[Implementing Partner]])</f>
        <v>No SMA</v>
      </c>
      <c r="M1051" s="12" t="s">
        <v>55</v>
      </c>
      <c r="N1051" s="12" t="str">
        <f>tblSites[[#This Row],[FinalImplementingPartner]]</f>
        <v>No SMA</v>
      </c>
    </row>
    <row r="1052" spans="1:14" x14ac:dyDescent="0.25">
      <c r="A1052" s="12" t="s">
        <v>1984</v>
      </c>
      <c r="B1052" s="12" t="s">
        <v>1985</v>
      </c>
      <c r="C1052" s="12" t="s">
        <v>1986</v>
      </c>
      <c r="D1052" t="s">
        <v>5314</v>
      </c>
      <c r="E1052" s="12" t="s">
        <v>3176</v>
      </c>
      <c r="F1052" s="12" t="s">
        <v>79</v>
      </c>
      <c r="G1052" s="12" t="s">
        <v>5419</v>
      </c>
      <c r="H1052" s="12" t="s">
        <v>1985</v>
      </c>
      <c r="I1052" s="84">
        <v>27002101</v>
      </c>
      <c r="J1052" s="12" t="s">
        <v>5102</v>
      </c>
      <c r="L1052" s="12" t="str">
        <f>IF(OR(ISBLANK(tblSites[[#This Row],[Implementing Partner]]), tblSites[[#This Row],[Implementing Partner]]="-"), tblSites[[#This Row],[Site Agency]], tblSites[[#This Row],[Implementing Partner]])</f>
        <v>No SMA</v>
      </c>
      <c r="M1052" s="12" t="s">
        <v>55</v>
      </c>
      <c r="N1052" s="12" t="str">
        <f>tblSites[[#This Row],[FinalImplementingPartner]]</f>
        <v>No SMA</v>
      </c>
    </row>
    <row r="1053" spans="1:14" x14ac:dyDescent="0.25">
      <c r="A1053" s="12" t="s">
        <v>2953</v>
      </c>
      <c r="B1053" s="12" t="s">
        <v>2954</v>
      </c>
      <c r="D1053" t="s">
        <v>5314</v>
      </c>
      <c r="E1053" s="12" t="s">
        <v>3176</v>
      </c>
      <c r="F1053" s="12" t="s">
        <v>79</v>
      </c>
      <c r="G1053" s="12" t="s">
        <v>5419</v>
      </c>
      <c r="H1053" s="12" t="s">
        <v>2954</v>
      </c>
      <c r="I1053" s="84">
        <v>27002101</v>
      </c>
      <c r="J1053" s="12" t="s">
        <v>5102</v>
      </c>
      <c r="L1053" s="12" t="str">
        <f>IF(OR(ISBLANK(tblSites[[#This Row],[Implementing Partner]]), tblSites[[#This Row],[Implementing Partner]]="-"), tblSites[[#This Row],[Site Agency]], tblSites[[#This Row],[Implementing Partner]])</f>
        <v>No SMA</v>
      </c>
      <c r="M1053" s="12" t="s">
        <v>55</v>
      </c>
      <c r="N1053" s="12" t="str">
        <f>tblSites[[#This Row],[FinalImplementingPartner]]</f>
        <v>No SMA</v>
      </c>
    </row>
    <row r="1054" spans="1:14" x14ac:dyDescent="0.25">
      <c r="A1054" s="12" t="s">
        <v>76</v>
      </c>
      <c r="B1054" s="12" t="s">
        <v>77</v>
      </c>
      <c r="C1054" s="12" t="s">
        <v>78</v>
      </c>
      <c r="D1054" t="s">
        <v>5314</v>
      </c>
      <c r="E1054" s="12" t="s">
        <v>3176</v>
      </c>
      <c r="F1054" s="12" t="s">
        <v>79</v>
      </c>
      <c r="G1054" s="12" t="s">
        <v>5419</v>
      </c>
      <c r="H1054" s="12" t="s">
        <v>77</v>
      </c>
      <c r="I1054" s="84">
        <v>27002101</v>
      </c>
      <c r="J1054" s="12" t="s">
        <v>5102</v>
      </c>
      <c r="L1054" s="12" t="str">
        <f>IF(OR(ISBLANK(tblSites[[#This Row],[Implementing Partner]]), tblSites[[#This Row],[Implementing Partner]]="-"), tblSites[[#This Row],[Site Agency]], tblSites[[#This Row],[Implementing Partner]])</f>
        <v>No SMA</v>
      </c>
      <c r="M1054" s="12" t="s">
        <v>55</v>
      </c>
      <c r="N1054" s="12" t="str">
        <f>tblSites[[#This Row],[FinalImplementingPartner]]</f>
        <v>No SMA</v>
      </c>
    </row>
    <row r="1055" spans="1:14" x14ac:dyDescent="0.25">
      <c r="A1055" s="12" t="s">
        <v>1477</v>
      </c>
      <c r="B1055" s="12" t="s">
        <v>1478</v>
      </c>
      <c r="C1055" s="12" t="s">
        <v>1479</v>
      </c>
      <c r="D1055" t="s">
        <v>5314</v>
      </c>
      <c r="E1055" s="12" t="s">
        <v>3176</v>
      </c>
      <c r="F1055" s="12" t="s">
        <v>135</v>
      </c>
      <c r="G1055" s="12" t="s">
        <v>5408</v>
      </c>
      <c r="H1055" s="12" t="s">
        <v>1478</v>
      </c>
      <c r="I1055" s="84">
        <v>27002100</v>
      </c>
      <c r="J1055" s="12" t="s">
        <v>5102</v>
      </c>
      <c r="L1055" s="12" t="str">
        <f>IF(OR(ISBLANK(tblSites[[#This Row],[Implementing Partner]]), tblSites[[#This Row],[Implementing Partner]]="-"), tblSites[[#This Row],[Site Agency]], tblSites[[#This Row],[Implementing Partner]])</f>
        <v>No SMA</v>
      </c>
      <c r="M1055" s="12" t="s">
        <v>55</v>
      </c>
      <c r="N1055" s="12" t="str">
        <f>tblSites[[#This Row],[FinalImplementingPartner]]</f>
        <v>No SMA</v>
      </c>
    </row>
    <row r="1056" spans="1:14" x14ac:dyDescent="0.25">
      <c r="A1056" s="12" t="s">
        <v>1377</v>
      </c>
      <c r="B1056" s="12" t="s">
        <v>1378</v>
      </c>
      <c r="C1056" s="12" t="s">
        <v>1379</v>
      </c>
      <c r="D1056" t="s">
        <v>5314</v>
      </c>
      <c r="E1056" s="12" t="s">
        <v>3176</v>
      </c>
      <c r="F1056" s="12" t="s">
        <v>53</v>
      </c>
      <c r="G1056" s="12" t="s">
        <v>5406</v>
      </c>
      <c r="H1056" s="12" t="s">
        <v>1378</v>
      </c>
      <c r="I1056" s="84">
        <v>27002154</v>
      </c>
      <c r="J1056" s="12" t="s">
        <v>5102</v>
      </c>
      <c r="L1056" s="12" t="str">
        <f>IF(OR(ISBLANK(tblSites[[#This Row],[Implementing Partner]]), tblSites[[#This Row],[Implementing Partner]]="-"), tblSites[[#This Row],[Site Agency]], tblSites[[#This Row],[Implementing Partner]])</f>
        <v>No SMA</v>
      </c>
      <c r="M1056" s="12" t="s">
        <v>55</v>
      </c>
      <c r="N1056" s="12" t="str">
        <f>tblSites[[#This Row],[FinalImplementingPartner]]</f>
        <v>No SMA</v>
      </c>
    </row>
    <row r="1057" spans="1:14" x14ac:dyDescent="0.25">
      <c r="A1057" s="12" t="s">
        <v>859</v>
      </c>
      <c r="B1057" s="12" t="s">
        <v>860</v>
      </c>
      <c r="C1057" s="12" t="s">
        <v>861</v>
      </c>
      <c r="D1057" t="s">
        <v>5314</v>
      </c>
      <c r="E1057" s="12" t="s">
        <v>3176</v>
      </c>
      <c r="F1057" s="12" t="s">
        <v>53</v>
      </c>
      <c r="G1057" s="12" t="s">
        <v>5413</v>
      </c>
      <c r="H1057" s="12" t="s">
        <v>860</v>
      </c>
      <c r="I1057" s="84">
        <v>27002154</v>
      </c>
      <c r="J1057" s="12" t="s">
        <v>5</v>
      </c>
      <c r="K1057" s="12" t="s">
        <v>54</v>
      </c>
      <c r="L1057" s="12" t="str">
        <f>IF(OR(ISBLANK(tblSites[[#This Row],[Implementing Partner]]), tblSites[[#This Row],[Implementing Partner]]="-"), tblSites[[#This Row],[Site Agency]], tblSites[[#This Row],[Implementing Partner]])</f>
        <v>PHC</v>
      </c>
      <c r="M1057" s="12" t="s">
        <v>55</v>
      </c>
      <c r="N1057" s="12" t="str">
        <f>tblSites[[#This Row],[FinalImplementingPartner]]</f>
        <v>PHC</v>
      </c>
    </row>
    <row r="1058" spans="1:14" x14ac:dyDescent="0.25">
      <c r="A1058" s="12" t="s">
        <v>1400</v>
      </c>
      <c r="B1058" s="12" t="s">
        <v>1401</v>
      </c>
      <c r="C1058" s="12" t="s">
        <v>433</v>
      </c>
      <c r="D1058" t="s">
        <v>5314</v>
      </c>
      <c r="E1058" s="12" t="s">
        <v>3176</v>
      </c>
      <c r="F1058" s="12" t="s">
        <v>53</v>
      </c>
      <c r="G1058" s="12" t="s">
        <v>5406</v>
      </c>
      <c r="H1058" s="12" t="s">
        <v>1401</v>
      </c>
      <c r="I1058" s="84">
        <v>27002154</v>
      </c>
      <c r="J1058" s="12" t="s">
        <v>5102</v>
      </c>
      <c r="L1058" s="12" t="str">
        <f>IF(OR(ISBLANK(tblSites[[#This Row],[Implementing Partner]]), tblSites[[#This Row],[Implementing Partner]]="-"), tblSites[[#This Row],[Site Agency]], tblSites[[#This Row],[Implementing Partner]])</f>
        <v>No SMA</v>
      </c>
      <c r="M1058" s="12" t="s">
        <v>55</v>
      </c>
      <c r="N1058" s="12" t="str">
        <f>tblSites[[#This Row],[FinalImplementingPartner]]</f>
        <v>No SMA</v>
      </c>
    </row>
    <row r="1059" spans="1:14" x14ac:dyDescent="0.25">
      <c r="A1059" s="12" t="s">
        <v>1361</v>
      </c>
      <c r="B1059" s="12" t="s">
        <v>1362</v>
      </c>
      <c r="C1059" s="12" t="s">
        <v>1363</v>
      </c>
      <c r="D1059" t="s">
        <v>5314</v>
      </c>
      <c r="E1059" s="12" t="s">
        <v>3176</v>
      </c>
      <c r="F1059" s="12" t="s">
        <v>53</v>
      </c>
      <c r="G1059" s="12" t="s">
        <v>5406</v>
      </c>
      <c r="H1059" s="12" t="s">
        <v>1362</v>
      </c>
      <c r="I1059" s="84">
        <v>27002154</v>
      </c>
      <c r="J1059" s="12" t="s">
        <v>5102</v>
      </c>
      <c r="L1059" s="12" t="str">
        <f>IF(OR(ISBLANK(tblSites[[#This Row],[Implementing Partner]]), tblSites[[#This Row],[Implementing Partner]]="-"), tblSites[[#This Row],[Site Agency]], tblSites[[#This Row],[Implementing Partner]])</f>
        <v>No SMA</v>
      </c>
      <c r="M1059" s="12" t="s">
        <v>55</v>
      </c>
      <c r="N1059" s="12" t="str">
        <f>tblSites[[#This Row],[FinalImplementingPartner]]</f>
        <v>No SMA</v>
      </c>
    </row>
    <row r="1060" spans="1:14" x14ac:dyDescent="0.25">
      <c r="A1060" s="12" t="s">
        <v>771</v>
      </c>
      <c r="B1060" s="12" t="s">
        <v>772</v>
      </c>
      <c r="C1060" s="12" t="s">
        <v>773</v>
      </c>
      <c r="D1060" t="s">
        <v>5314</v>
      </c>
      <c r="E1060" s="12" t="s">
        <v>3176</v>
      </c>
      <c r="F1060" s="12" t="s">
        <v>53</v>
      </c>
      <c r="G1060" s="12" t="s">
        <v>5413</v>
      </c>
      <c r="H1060" s="12" t="s">
        <v>772</v>
      </c>
      <c r="I1060" s="84">
        <v>27002154</v>
      </c>
      <c r="J1060" s="12" t="s">
        <v>5</v>
      </c>
      <c r="K1060" s="12" t="s">
        <v>54</v>
      </c>
      <c r="L1060" s="12" t="str">
        <f>IF(OR(ISBLANK(tblSites[[#This Row],[Implementing Partner]]), tblSites[[#This Row],[Implementing Partner]]="-"), tblSites[[#This Row],[Site Agency]], tblSites[[#This Row],[Implementing Partner]])</f>
        <v>PHC</v>
      </c>
      <c r="M1060" s="12" t="s">
        <v>55</v>
      </c>
      <c r="N1060" s="12" t="str">
        <f>tblSites[[#This Row],[FinalImplementingPartner]]</f>
        <v>PHC</v>
      </c>
    </row>
    <row r="1061" spans="1:14" x14ac:dyDescent="0.25">
      <c r="A1061" s="12" t="s">
        <v>913</v>
      </c>
      <c r="B1061" s="12" t="s">
        <v>914</v>
      </c>
      <c r="C1061" s="12" t="s">
        <v>5297</v>
      </c>
      <c r="D1061" t="s">
        <v>5314</v>
      </c>
      <c r="E1061" s="12" t="s">
        <v>3176</v>
      </c>
      <c r="F1061" s="12" t="s">
        <v>53</v>
      </c>
      <c r="G1061" s="12" t="s">
        <v>5413</v>
      </c>
      <c r="H1061" s="12" t="s">
        <v>914</v>
      </c>
      <c r="I1061" s="84">
        <v>27002154</v>
      </c>
      <c r="J1061" s="12" t="s">
        <v>54</v>
      </c>
      <c r="L1061" s="12" t="str">
        <f>IF(OR(ISBLANK(tblSites[[#This Row],[Implementing Partner]]), tblSites[[#This Row],[Implementing Partner]]="-"), tblSites[[#This Row],[Site Agency]], tblSites[[#This Row],[Implementing Partner]])</f>
        <v>PHC</v>
      </c>
      <c r="M1061" s="12" t="s">
        <v>55</v>
      </c>
      <c r="N1061" s="12" t="str">
        <f>tblSites[[#This Row],[FinalImplementingPartner]]</f>
        <v>PHC</v>
      </c>
    </row>
    <row r="1062" spans="1:14" x14ac:dyDescent="0.25">
      <c r="A1062" s="12" t="s">
        <v>830</v>
      </c>
      <c r="B1062" s="12" t="s">
        <v>831</v>
      </c>
      <c r="C1062" s="12" t="s">
        <v>832</v>
      </c>
      <c r="D1062" t="s">
        <v>5314</v>
      </c>
      <c r="E1062" s="12" t="s">
        <v>3176</v>
      </c>
      <c r="F1062" s="12" t="s">
        <v>53</v>
      </c>
      <c r="G1062" s="12" t="s">
        <v>5413</v>
      </c>
      <c r="H1062" s="12" t="s">
        <v>831</v>
      </c>
      <c r="I1062" s="84">
        <v>27002154</v>
      </c>
      <c r="J1062" s="12" t="s">
        <v>34</v>
      </c>
      <c r="K1062" s="12" t="s">
        <v>54</v>
      </c>
      <c r="L1062" s="12" t="str">
        <f>IF(OR(ISBLANK(tblSites[[#This Row],[Implementing Partner]]), tblSites[[#This Row],[Implementing Partner]]="-"), tblSites[[#This Row],[Site Agency]], tblSites[[#This Row],[Implementing Partner]])</f>
        <v>PHC</v>
      </c>
      <c r="M1062" s="12" t="s">
        <v>55</v>
      </c>
      <c r="N1062" s="12" t="str">
        <f>tblSites[[#This Row],[FinalImplementingPartner]]</f>
        <v>PHC</v>
      </c>
    </row>
    <row r="1063" spans="1:14" x14ac:dyDescent="0.25">
      <c r="A1063" s="12" t="s">
        <v>802</v>
      </c>
      <c r="B1063" s="12" t="s">
        <v>803</v>
      </c>
      <c r="C1063" s="12" t="s">
        <v>804</v>
      </c>
      <c r="D1063" t="s">
        <v>5314</v>
      </c>
      <c r="E1063" s="12" t="s">
        <v>3176</v>
      </c>
      <c r="F1063" s="12" t="s">
        <v>53</v>
      </c>
      <c r="G1063" s="12" t="s">
        <v>5413</v>
      </c>
      <c r="H1063" s="12" t="s">
        <v>803</v>
      </c>
      <c r="I1063" s="84">
        <v>27002154</v>
      </c>
      <c r="J1063" s="12" t="s">
        <v>54</v>
      </c>
      <c r="L1063" s="12" t="str">
        <f>IF(OR(ISBLANK(tblSites[[#This Row],[Implementing Partner]]), tblSites[[#This Row],[Implementing Partner]]="-"), tblSites[[#This Row],[Site Agency]], tblSites[[#This Row],[Implementing Partner]])</f>
        <v>PHC</v>
      </c>
      <c r="M1063" s="12" t="s">
        <v>55</v>
      </c>
      <c r="N1063" s="12" t="str">
        <f>tblSites[[#This Row],[FinalImplementingPartner]]</f>
        <v>PHC</v>
      </c>
    </row>
    <row r="1064" spans="1:14" x14ac:dyDescent="0.25">
      <c r="A1064" s="12" t="s">
        <v>1062</v>
      </c>
      <c r="B1064" s="12" t="s">
        <v>1063</v>
      </c>
      <c r="C1064" s="12" t="s">
        <v>1064</v>
      </c>
      <c r="D1064" t="s">
        <v>5314</v>
      </c>
      <c r="E1064" s="12" t="s">
        <v>3176</v>
      </c>
      <c r="F1064" s="12" t="s">
        <v>53</v>
      </c>
      <c r="G1064" s="12" t="s">
        <v>5413</v>
      </c>
      <c r="H1064" s="12" t="s">
        <v>1063</v>
      </c>
      <c r="I1064" s="84">
        <v>27002154</v>
      </c>
      <c r="J1064" s="12" t="s">
        <v>54</v>
      </c>
      <c r="L1064" s="12" t="str">
        <f>IF(OR(ISBLANK(tblSites[[#This Row],[Implementing Partner]]), tblSites[[#This Row],[Implementing Partner]]="-"), tblSites[[#This Row],[Site Agency]], tblSites[[#This Row],[Implementing Partner]])</f>
        <v>PHC</v>
      </c>
      <c r="M1064" s="12" t="s">
        <v>55</v>
      </c>
      <c r="N1064" s="12" t="str">
        <f>tblSites[[#This Row],[FinalImplementingPartner]]</f>
        <v>PHC</v>
      </c>
    </row>
    <row r="1065" spans="1:14" x14ac:dyDescent="0.25">
      <c r="A1065" s="12" t="s">
        <v>931</v>
      </c>
      <c r="B1065" s="12" t="s">
        <v>932</v>
      </c>
      <c r="C1065" s="12" t="s">
        <v>933</v>
      </c>
      <c r="D1065" t="s">
        <v>5314</v>
      </c>
      <c r="E1065" s="12" t="s">
        <v>3176</v>
      </c>
      <c r="F1065" s="12" t="s">
        <v>53</v>
      </c>
      <c r="G1065" s="12" t="s">
        <v>5413</v>
      </c>
      <c r="H1065" s="12" t="s">
        <v>932</v>
      </c>
      <c r="I1065" s="84">
        <v>27002154</v>
      </c>
      <c r="J1065" s="12" t="s">
        <v>5</v>
      </c>
      <c r="K1065" s="12" t="s">
        <v>54</v>
      </c>
      <c r="L1065" s="12" t="str">
        <f>IF(OR(ISBLANK(tblSites[[#This Row],[Implementing Partner]]), tblSites[[#This Row],[Implementing Partner]]="-"), tblSites[[#This Row],[Site Agency]], tblSites[[#This Row],[Implementing Partner]])</f>
        <v>PHC</v>
      </c>
      <c r="M1065" s="12" t="s">
        <v>55</v>
      </c>
      <c r="N1065" s="12" t="str">
        <f>tblSites[[#This Row],[FinalImplementingPartner]]</f>
        <v>PHC</v>
      </c>
    </row>
    <row r="1066" spans="1:14" x14ac:dyDescent="0.25">
      <c r="A1066" s="12" t="s">
        <v>1037</v>
      </c>
      <c r="B1066" s="12" t="s">
        <v>1038</v>
      </c>
      <c r="C1066" s="12" t="s">
        <v>1039</v>
      </c>
      <c r="D1066" t="s">
        <v>5314</v>
      </c>
      <c r="E1066" s="12" t="s">
        <v>3176</v>
      </c>
      <c r="F1066" s="12" t="s">
        <v>53</v>
      </c>
      <c r="G1066" s="12" t="s">
        <v>5413</v>
      </c>
      <c r="H1066" s="12" t="s">
        <v>1038</v>
      </c>
      <c r="I1066" s="84">
        <v>27002154</v>
      </c>
      <c r="J1066" s="12" t="s">
        <v>5</v>
      </c>
      <c r="K1066" s="12" t="s">
        <v>54</v>
      </c>
      <c r="L1066" s="12" t="str">
        <f>IF(OR(ISBLANK(tblSites[[#This Row],[Implementing Partner]]), tblSites[[#This Row],[Implementing Partner]]="-"), tblSites[[#This Row],[Site Agency]], tblSites[[#This Row],[Implementing Partner]])</f>
        <v>PHC</v>
      </c>
      <c r="M1066" s="12" t="s">
        <v>55</v>
      </c>
      <c r="N1066" s="12" t="str">
        <f>tblSites[[#This Row],[FinalImplementingPartner]]</f>
        <v>PHC</v>
      </c>
    </row>
    <row r="1067" spans="1:14" x14ac:dyDescent="0.25">
      <c r="A1067" s="12" t="s">
        <v>1013</v>
      </c>
      <c r="B1067" s="12" t="s">
        <v>1014</v>
      </c>
      <c r="C1067" s="12" t="s">
        <v>1015</v>
      </c>
      <c r="D1067" t="s">
        <v>5314</v>
      </c>
      <c r="E1067" s="12" t="s">
        <v>3176</v>
      </c>
      <c r="F1067" s="12" t="s">
        <v>53</v>
      </c>
      <c r="G1067" s="12" t="s">
        <v>5413</v>
      </c>
      <c r="H1067" s="12" t="s">
        <v>1014</v>
      </c>
      <c r="I1067" s="84">
        <v>27002154</v>
      </c>
      <c r="J1067" s="12" t="s">
        <v>54</v>
      </c>
      <c r="L1067" s="12" t="str">
        <f>IF(OR(ISBLANK(tblSites[[#This Row],[Implementing Partner]]), tblSites[[#This Row],[Implementing Partner]]="-"), tblSites[[#This Row],[Site Agency]], tblSites[[#This Row],[Implementing Partner]])</f>
        <v>PHC</v>
      </c>
      <c r="M1067" s="12" t="s">
        <v>55</v>
      </c>
      <c r="N1067" s="12" t="str">
        <f>tblSites[[#This Row],[FinalImplementingPartner]]</f>
        <v>PHC</v>
      </c>
    </row>
    <row r="1068" spans="1:14" x14ac:dyDescent="0.25">
      <c r="A1068" s="12" t="s">
        <v>783</v>
      </c>
      <c r="B1068" s="12" t="s">
        <v>51</v>
      </c>
      <c r="C1068" s="12" t="s">
        <v>784</v>
      </c>
      <c r="D1068" t="s">
        <v>5314</v>
      </c>
      <c r="E1068" s="12" t="s">
        <v>3176</v>
      </c>
      <c r="F1068" s="12" t="s">
        <v>53</v>
      </c>
      <c r="G1068" s="12" t="s">
        <v>5413</v>
      </c>
      <c r="H1068" s="12" t="s">
        <v>51</v>
      </c>
      <c r="I1068" s="84">
        <v>27002154</v>
      </c>
      <c r="J1068" s="12" t="s">
        <v>5</v>
      </c>
      <c r="K1068" s="12" t="s">
        <v>54</v>
      </c>
      <c r="L1068" s="12" t="str">
        <f>IF(OR(ISBLANK(tblSites[[#This Row],[Implementing Partner]]), tblSites[[#This Row],[Implementing Partner]]="-"), tblSites[[#This Row],[Site Agency]], tblSites[[#This Row],[Implementing Partner]])</f>
        <v>PHC</v>
      </c>
      <c r="M1068" s="12" t="s">
        <v>55</v>
      </c>
      <c r="N1068" s="12" t="str">
        <f>tblSites[[#This Row],[FinalImplementingPartner]]</f>
        <v>PHC</v>
      </c>
    </row>
    <row r="1069" spans="1:14" x14ac:dyDescent="0.25">
      <c r="A1069" s="12" t="s">
        <v>774</v>
      </c>
      <c r="B1069" s="12" t="s">
        <v>775</v>
      </c>
      <c r="C1069" s="12" t="s">
        <v>776</v>
      </c>
      <c r="D1069" t="s">
        <v>5314</v>
      </c>
      <c r="E1069" s="12" t="s">
        <v>3176</v>
      </c>
      <c r="F1069" s="12" t="s">
        <v>53</v>
      </c>
      <c r="G1069" s="12" t="s">
        <v>5413</v>
      </c>
      <c r="H1069" s="12" t="s">
        <v>775</v>
      </c>
      <c r="I1069" s="84">
        <v>27002154</v>
      </c>
      <c r="J1069" s="12" t="s">
        <v>54</v>
      </c>
      <c r="L1069" s="12" t="str">
        <f>IF(OR(ISBLANK(tblSites[[#This Row],[Implementing Partner]]), tblSites[[#This Row],[Implementing Partner]]="-"), tblSites[[#This Row],[Site Agency]], tblSites[[#This Row],[Implementing Partner]])</f>
        <v>PHC</v>
      </c>
      <c r="M1069" s="12" t="s">
        <v>55</v>
      </c>
      <c r="N1069" s="12" t="str">
        <f>tblSites[[#This Row],[FinalImplementingPartner]]</f>
        <v>PHC</v>
      </c>
    </row>
    <row r="1070" spans="1:14" x14ac:dyDescent="0.25">
      <c r="A1070" s="12" t="s">
        <v>790</v>
      </c>
      <c r="B1070" s="12" t="s">
        <v>791</v>
      </c>
      <c r="C1070" s="12" t="s">
        <v>792</v>
      </c>
      <c r="D1070" t="s">
        <v>5314</v>
      </c>
      <c r="E1070" s="12" t="s">
        <v>3176</v>
      </c>
      <c r="F1070" s="12" t="s">
        <v>53</v>
      </c>
      <c r="G1070" s="12" t="s">
        <v>5413</v>
      </c>
      <c r="H1070" s="12" t="s">
        <v>791</v>
      </c>
      <c r="I1070" s="84">
        <v>27002154</v>
      </c>
      <c r="J1070" s="12" t="s">
        <v>5</v>
      </c>
      <c r="K1070" s="12" t="s">
        <v>54</v>
      </c>
      <c r="L1070" s="12" t="str">
        <f>IF(OR(ISBLANK(tblSites[[#This Row],[Implementing Partner]]), tblSites[[#This Row],[Implementing Partner]]="-"), tblSites[[#This Row],[Site Agency]], tblSites[[#This Row],[Implementing Partner]])</f>
        <v>PHC</v>
      </c>
      <c r="M1070" s="12" t="s">
        <v>55</v>
      </c>
      <c r="N1070" s="12" t="str">
        <f>tblSites[[#This Row],[FinalImplementingPartner]]</f>
        <v>PHC</v>
      </c>
    </row>
    <row r="1071" spans="1:14" x14ac:dyDescent="0.25">
      <c r="A1071" s="12" t="s">
        <v>929</v>
      </c>
      <c r="B1071" s="12" t="s">
        <v>930</v>
      </c>
      <c r="C1071" s="12" t="s">
        <v>685</v>
      </c>
      <c r="D1071" t="s">
        <v>5314</v>
      </c>
      <c r="E1071" s="12" t="s">
        <v>3176</v>
      </c>
      <c r="F1071" s="12" t="s">
        <v>53</v>
      </c>
      <c r="G1071" s="12" t="s">
        <v>5413</v>
      </c>
      <c r="H1071" s="12" t="s">
        <v>930</v>
      </c>
      <c r="I1071" s="84">
        <v>27002154</v>
      </c>
      <c r="J1071" s="12" t="s">
        <v>54</v>
      </c>
      <c r="L1071" s="12" t="str">
        <f>IF(OR(ISBLANK(tblSites[[#This Row],[Implementing Partner]]), tblSites[[#This Row],[Implementing Partner]]="-"), tblSites[[#This Row],[Site Agency]], tblSites[[#This Row],[Implementing Partner]])</f>
        <v>PHC</v>
      </c>
      <c r="M1071" s="12" t="s">
        <v>55</v>
      </c>
      <c r="N1071" s="12" t="str">
        <f>tblSites[[#This Row],[FinalImplementingPartner]]</f>
        <v>PHC</v>
      </c>
    </row>
    <row r="1072" spans="1:14" x14ac:dyDescent="0.25">
      <c r="A1072" s="12" t="s">
        <v>856</v>
      </c>
      <c r="B1072" s="12" t="s">
        <v>857</v>
      </c>
      <c r="C1072" s="12" t="s">
        <v>858</v>
      </c>
      <c r="D1072" t="s">
        <v>5314</v>
      </c>
      <c r="E1072" s="12" t="s">
        <v>3176</v>
      </c>
      <c r="F1072" s="12" t="s">
        <v>53</v>
      </c>
      <c r="G1072" s="12" t="s">
        <v>5413</v>
      </c>
      <c r="H1072" s="12" t="s">
        <v>857</v>
      </c>
      <c r="I1072" s="84">
        <v>27002154</v>
      </c>
      <c r="J1072" s="12" t="s">
        <v>5</v>
      </c>
      <c r="K1072" s="12" t="s">
        <v>54</v>
      </c>
      <c r="L1072" s="12" t="str">
        <f>IF(OR(ISBLANK(tblSites[[#This Row],[Implementing Partner]]), tblSites[[#This Row],[Implementing Partner]]="-"), tblSites[[#This Row],[Site Agency]], tblSites[[#This Row],[Implementing Partner]])</f>
        <v>PHC</v>
      </c>
      <c r="M1072" s="12" t="s">
        <v>55</v>
      </c>
      <c r="N1072" s="12" t="str">
        <f>tblSites[[#This Row],[FinalImplementingPartner]]</f>
        <v>PHC</v>
      </c>
    </row>
    <row r="1073" spans="1:14" x14ac:dyDescent="0.25">
      <c r="A1073" s="12" t="s">
        <v>1019</v>
      </c>
      <c r="B1073" s="12" t="s">
        <v>1020</v>
      </c>
      <c r="C1073" s="12" t="s">
        <v>1021</v>
      </c>
      <c r="D1073" t="s">
        <v>5314</v>
      </c>
      <c r="E1073" s="12" t="s">
        <v>3176</v>
      </c>
      <c r="F1073" s="12" t="s">
        <v>53</v>
      </c>
      <c r="G1073" s="12" t="s">
        <v>5413</v>
      </c>
      <c r="H1073" s="12" t="s">
        <v>1020</v>
      </c>
      <c r="I1073" s="84">
        <v>27002154</v>
      </c>
      <c r="J1073" s="12" t="s">
        <v>34</v>
      </c>
      <c r="K1073" s="12" t="s">
        <v>54</v>
      </c>
      <c r="L1073" s="12" t="str">
        <f>IF(OR(ISBLANK(tblSites[[#This Row],[Implementing Partner]]), tblSites[[#This Row],[Implementing Partner]]="-"), tblSites[[#This Row],[Site Agency]], tblSites[[#This Row],[Implementing Partner]])</f>
        <v>PHC</v>
      </c>
      <c r="M1073" s="12" t="s">
        <v>55</v>
      </c>
      <c r="N1073" s="12" t="str">
        <f>tblSites[[#This Row],[FinalImplementingPartner]]</f>
        <v>PHC</v>
      </c>
    </row>
    <row r="1074" spans="1:14" x14ac:dyDescent="0.25">
      <c r="A1074" s="12" t="s">
        <v>1076</v>
      </c>
      <c r="B1074" s="12" t="s">
        <v>1077</v>
      </c>
      <c r="C1074" s="12" t="s">
        <v>1078</v>
      </c>
      <c r="D1074" t="s">
        <v>5314</v>
      </c>
      <c r="E1074" s="12" t="s">
        <v>3176</v>
      </c>
      <c r="F1074" s="12" t="s">
        <v>53</v>
      </c>
      <c r="G1074" s="12" t="s">
        <v>5413</v>
      </c>
      <c r="H1074" s="12" t="s">
        <v>1077</v>
      </c>
      <c r="I1074" s="84">
        <v>27002154</v>
      </c>
      <c r="J1074" s="12" t="s">
        <v>54</v>
      </c>
      <c r="K1074" s="12" t="s">
        <v>389</v>
      </c>
      <c r="L1074" s="12" t="str">
        <f>IF(OR(ISBLANK(tblSites[[#This Row],[Implementing Partner]]), tblSites[[#This Row],[Implementing Partner]]="-"), tblSites[[#This Row],[Site Agency]], tblSites[[#This Row],[Implementing Partner]])</f>
        <v>PHC</v>
      </c>
      <c r="M1074" s="12" t="s">
        <v>55</v>
      </c>
      <c r="N1074" s="12" t="str">
        <f>tblSites[[#This Row],[FinalImplementingPartner]]</f>
        <v>PHC</v>
      </c>
    </row>
    <row r="1075" spans="1:14" x14ac:dyDescent="0.25">
      <c r="A1075" s="12" t="s">
        <v>833</v>
      </c>
      <c r="B1075" s="12" t="s">
        <v>834</v>
      </c>
      <c r="C1075" s="12" t="s">
        <v>835</v>
      </c>
      <c r="D1075" t="s">
        <v>5314</v>
      </c>
      <c r="E1075" s="12" t="s">
        <v>3176</v>
      </c>
      <c r="F1075" s="12" t="s">
        <v>53</v>
      </c>
      <c r="G1075" s="12" t="s">
        <v>5413</v>
      </c>
      <c r="H1075" s="12" t="s">
        <v>834</v>
      </c>
      <c r="I1075" s="84">
        <v>27002154</v>
      </c>
      <c r="J1075" s="12" t="s">
        <v>34</v>
      </c>
      <c r="K1075" s="12" t="s">
        <v>54</v>
      </c>
      <c r="L1075" s="12" t="str">
        <f>IF(OR(ISBLANK(tblSites[[#This Row],[Implementing Partner]]), tblSites[[#This Row],[Implementing Partner]]="-"), tblSites[[#This Row],[Site Agency]], tblSites[[#This Row],[Implementing Partner]])</f>
        <v>PHC</v>
      </c>
      <c r="M1075" s="12" t="s">
        <v>55</v>
      </c>
      <c r="N1075" s="12" t="str">
        <f>tblSites[[#This Row],[FinalImplementingPartner]]</f>
        <v>PHC</v>
      </c>
    </row>
    <row r="1076" spans="1:14" x14ac:dyDescent="0.25">
      <c r="A1076" s="12" t="s">
        <v>799</v>
      </c>
      <c r="B1076" s="12" t="s">
        <v>800</v>
      </c>
      <c r="C1076" s="12" t="s">
        <v>801</v>
      </c>
      <c r="D1076" t="s">
        <v>5314</v>
      </c>
      <c r="E1076" s="12" t="s">
        <v>3176</v>
      </c>
      <c r="F1076" s="12" t="s">
        <v>53</v>
      </c>
      <c r="G1076" s="12" t="s">
        <v>5413</v>
      </c>
      <c r="H1076" s="12" t="s">
        <v>800</v>
      </c>
      <c r="I1076" s="84">
        <v>27002154</v>
      </c>
      <c r="J1076" s="12" t="s">
        <v>34</v>
      </c>
      <c r="K1076" s="12" t="s">
        <v>54</v>
      </c>
      <c r="L1076" s="12" t="str">
        <f>IF(OR(ISBLANK(tblSites[[#This Row],[Implementing Partner]]), tblSites[[#This Row],[Implementing Partner]]="-"), tblSites[[#This Row],[Site Agency]], tblSites[[#This Row],[Implementing Partner]])</f>
        <v>PHC</v>
      </c>
      <c r="M1076" s="12" t="s">
        <v>55</v>
      </c>
      <c r="N1076" s="12" t="str">
        <f>tblSites[[#This Row],[FinalImplementingPartner]]</f>
        <v>PHC</v>
      </c>
    </row>
    <row r="1077" spans="1:14" x14ac:dyDescent="0.25">
      <c r="A1077" s="12" t="s">
        <v>826</v>
      </c>
      <c r="B1077" s="12" t="s">
        <v>4347</v>
      </c>
      <c r="C1077" s="12" t="s">
        <v>4886</v>
      </c>
      <c r="D1077" t="s">
        <v>5314</v>
      </c>
      <c r="E1077" s="12" t="s">
        <v>3176</v>
      </c>
      <c r="F1077" s="12" t="s">
        <v>53</v>
      </c>
      <c r="G1077" s="12" t="s">
        <v>5413</v>
      </c>
      <c r="H1077" s="12" t="s">
        <v>4347</v>
      </c>
      <c r="I1077" s="84">
        <v>27002154</v>
      </c>
      <c r="J1077" s="12" t="s">
        <v>34</v>
      </c>
      <c r="K1077" s="12" t="s">
        <v>54</v>
      </c>
      <c r="L1077" s="12" t="str">
        <f>IF(OR(ISBLANK(tblSites[[#This Row],[Implementing Partner]]), tblSites[[#This Row],[Implementing Partner]]="-"), tblSites[[#This Row],[Site Agency]], tblSites[[#This Row],[Implementing Partner]])</f>
        <v>PHC</v>
      </c>
      <c r="M1077" s="12" t="s">
        <v>55</v>
      </c>
      <c r="N1077" s="12" t="str">
        <f>tblSites[[#This Row],[FinalImplementingPartner]]</f>
        <v>PHC</v>
      </c>
    </row>
    <row r="1078" spans="1:14" x14ac:dyDescent="0.25">
      <c r="A1078" s="12" t="s">
        <v>839</v>
      </c>
      <c r="B1078" s="12" t="s">
        <v>840</v>
      </c>
      <c r="C1078" s="12" t="s">
        <v>841</v>
      </c>
      <c r="D1078" t="s">
        <v>5314</v>
      </c>
      <c r="E1078" s="12" t="s">
        <v>3176</v>
      </c>
      <c r="F1078" s="12" t="s">
        <v>53</v>
      </c>
      <c r="G1078" s="12" t="s">
        <v>5413</v>
      </c>
      <c r="H1078" s="12" t="s">
        <v>840</v>
      </c>
      <c r="I1078" s="84">
        <v>27002154</v>
      </c>
      <c r="J1078" s="12" t="s">
        <v>34</v>
      </c>
      <c r="K1078" s="12" t="s">
        <v>54</v>
      </c>
      <c r="L1078" s="12" t="str">
        <f>IF(OR(ISBLANK(tblSites[[#This Row],[Implementing Partner]]), tblSites[[#This Row],[Implementing Partner]]="-"), tblSites[[#This Row],[Site Agency]], tblSites[[#This Row],[Implementing Partner]])</f>
        <v>PHC</v>
      </c>
      <c r="M1078" s="12" t="s">
        <v>55</v>
      </c>
      <c r="N1078" s="12" t="str">
        <f>tblSites[[#This Row],[FinalImplementingPartner]]</f>
        <v>PHC</v>
      </c>
    </row>
    <row r="1079" spans="1:14" x14ac:dyDescent="0.25">
      <c r="A1079" s="12" t="s">
        <v>995</v>
      </c>
      <c r="B1079" s="12" t="s">
        <v>996</v>
      </c>
      <c r="C1079" s="12" t="s">
        <v>997</v>
      </c>
      <c r="D1079" t="s">
        <v>5314</v>
      </c>
      <c r="E1079" s="12" t="s">
        <v>3176</v>
      </c>
      <c r="F1079" s="12" t="s">
        <v>53</v>
      </c>
      <c r="G1079" s="12" t="s">
        <v>5413</v>
      </c>
      <c r="H1079" s="12" t="s">
        <v>996</v>
      </c>
      <c r="I1079" s="84">
        <v>27002154</v>
      </c>
      <c r="J1079" s="12" t="s">
        <v>34</v>
      </c>
      <c r="K1079" s="12" t="s">
        <v>54</v>
      </c>
      <c r="L1079" s="12" t="str">
        <f>IF(OR(ISBLANK(tblSites[[#This Row],[Implementing Partner]]), tblSites[[#This Row],[Implementing Partner]]="-"), tblSites[[#This Row],[Site Agency]], tblSites[[#This Row],[Implementing Partner]])</f>
        <v>PHC</v>
      </c>
      <c r="M1079" s="12" t="s">
        <v>55</v>
      </c>
      <c r="N1079" s="12" t="str">
        <f>tblSites[[#This Row],[FinalImplementingPartner]]</f>
        <v>PHC</v>
      </c>
    </row>
    <row r="1080" spans="1:14" x14ac:dyDescent="0.25">
      <c r="A1080" s="12" t="s">
        <v>847</v>
      </c>
      <c r="B1080" s="12" t="s">
        <v>848</v>
      </c>
      <c r="C1080" s="12" t="s">
        <v>849</v>
      </c>
      <c r="D1080" t="s">
        <v>5314</v>
      </c>
      <c r="E1080" s="12" t="s">
        <v>3176</v>
      </c>
      <c r="F1080" s="12" t="s">
        <v>53</v>
      </c>
      <c r="G1080" s="12" t="s">
        <v>5413</v>
      </c>
      <c r="H1080" s="12" t="s">
        <v>848</v>
      </c>
      <c r="I1080" s="84">
        <v>27002154</v>
      </c>
      <c r="J1080" s="12" t="s">
        <v>54</v>
      </c>
      <c r="K1080" s="12" t="s">
        <v>389</v>
      </c>
      <c r="L1080" s="12" t="str">
        <f>IF(OR(ISBLANK(tblSites[[#This Row],[Implementing Partner]]), tblSites[[#This Row],[Implementing Partner]]="-"), tblSites[[#This Row],[Site Agency]], tblSites[[#This Row],[Implementing Partner]])</f>
        <v>PHC</v>
      </c>
      <c r="M1080" s="12" t="s">
        <v>55</v>
      </c>
      <c r="N1080" s="12" t="str">
        <f>tblSites[[#This Row],[FinalImplementingPartner]]</f>
        <v>PHC</v>
      </c>
    </row>
    <row r="1081" spans="1:14" x14ac:dyDescent="0.25">
      <c r="A1081" s="12" t="s">
        <v>1085</v>
      </c>
      <c r="B1081" s="12" t="s">
        <v>1086</v>
      </c>
      <c r="C1081" s="12" t="s">
        <v>1087</v>
      </c>
      <c r="D1081" t="s">
        <v>5314</v>
      </c>
      <c r="E1081" s="12" t="s">
        <v>3176</v>
      </c>
      <c r="F1081" s="12" t="s">
        <v>53</v>
      </c>
      <c r="G1081" s="12" t="s">
        <v>5413</v>
      </c>
      <c r="H1081" s="12" t="s">
        <v>1086</v>
      </c>
      <c r="I1081" s="84">
        <v>27002154</v>
      </c>
      <c r="J1081" s="12" t="s">
        <v>54</v>
      </c>
      <c r="L1081" s="12" t="str">
        <f>IF(OR(ISBLANK(tblSites[[#This Row],[Implementing Partner]]), tblSites[[#This Row],[Implementing Partner]]="-"), tblSites[[#This Row],[Site Agency]], tblSites[[#This Row],[Implementing Partner]])</f>
        <v>PHC</v>
      </c>
      <c r="M1081" s="12" t="s">
        <v>55</v>
      </c>
      <c r="N1081" s="12" t="str">
        <f>tblSites[[#This Row],[FinalImplementingPartner]]</f>
        <v>PHC</v>
      </c>
    </row>
    <row r="1082" spans="1:14" x14ac:dyDescent="0.25">
      <c r="A1082" s="12" t="s">
        <v>793</v>
      </c>
      <c r="B1082" s="12" t="s">
        <v>794</v>
      </c>
      <c r="C1082" s="12" t="s">
        <v>795</v>
      </c>
      <c r="D1082" t="s">
        <v>5314</v>
      </c>
      <c r="E1082" s="12" t="s">
        <v>3176</v>
      </c>
      <c r="F1082" s="32" t="s">
        <v>53</v>
      </c>
      <c r="G1082" s="12" t="s">
        <v>5413</v>
      </c>
      <c r="H1082" s="12" t="s">
        <v>794</v>
      </c>
      <c r="I1082" s="84">
        <v>27002154</v>
      </c>
      <c r="J1082" s="12" t="s">
        <v>5</v>
      </c>
      <c r="K1082" s="12" t="s">
        <v>54</v>
      </c>
      <c r="L1082" s="12" t="str">
        <f>IF(OR(ISBLANK(tblSites[[#This Row],[Implementing Partner]]), tblSites[[#This Row],[Implementing Partner]]="-"), tblSites[[#This Row],[Site Agency]], tblSites[[#This Row],[Implementing Partner]])</f>
        <v>PHC</v>
      </c>
      <c r="M1082" s="12" t="s">
        <v>55</v>
      </c>
      <c r="N1082" s="12" t="str">
        <f>tblSites[[#This Row],[FinalImplementingPartner]]</f>
        <v>PHC</v>
      </c>
    </row>
    <row r="1083" spans="1:14" x14ac:dyDescent="0.25">
      <c r="A1083" s="12" t="s">
        <v>907</v>
      </c>
      <c r="B1083" s="12" t="s">
        <v>908</v>
      </c>
      <c r="C1083" s="12" t="s">
        <v>909</v>
      </c>
      <c r="D1083" t="s">
        <v>5314</v>
      </c>
      <c r="E1083" s="12" t="s">
        <v>3176</v>
      </c>
      <c r="F1083" s="12" t="s">
        <v>53</v>
      </c>
      <c r="G1083" s="12" t="s">
        <v>5413</v>
      </c>
      <c r="H1083" s="12" t="s">
        <v>908</v>
      </c>
      <c r="I1083" s="84">
        <v>27002154</v>
      </c>
      <c r="J1083" s="12" t="s">
        <v>5</v>
      </c>
      <c r="K1083" s="12" t="s">
        <v>54</v>
      </c>
      <c r="L1083" s="12" t="str">
        <f>IF(OR(ISBLANK(tblSites[[#This Row],[Implementing Partner]]), tblSites[[#This Row],[Implementing Partner]]="-"), tblSites[[#This Row],[Site Agency]], tblSites[[#This Row],[Implementing Partner]])</f>
        <v>PHC</v>
      </c>
      <c r="M1083" s="12" t="s">
        <v>55</v>
      </c>
      <c r="N1083" s="12" t="str">
        <f>tblSites[[#This Row],[FinalImplementingPartner]]</f>
        <v>PHC</v>
      </c>
    </row>
    <row r="1084" spans="1:14" x14ac:dyDescent="0.25">
      <c r="A1084" s="12" t="s">
        <v>1494</v>
      </c>
      <c r="B1084" s="12" t="s">
        <v>1495</v>
      </c>
      <c r="C1084" s="12" t="s">
        <v>1496</v>
      </c>
      <c r="D1084" t="s">
        <v>5314</v>
      </c>
      <c r="E1084" s="12" t="s">
        <v>3176</v>
      </c>
      <c r="F1084" s="12" t="s">
        <v>53</v>
      </c>
      <c r="G1084" s="12" t="s">
        <v>5406</v>
      </c>
      <c r="H1084" s="12" t="s">
        <v>1495</v>
      </c>
      <c r="I1084" s="84">
        <v>27002154</v>
      </c>
      <c r="J1084" s="12" t="s">
        <v>5102</v>
      </c>
      <c r="L1084" s="12" t="str">
        <f>IF(OR(ISBLANK(tblSites[[#This Row],[Implementing Partner]]), tblSites[[#This Row],[Implementing Partner]]="-"), tblSites[[#This Row],[Site Agency]], tblSites[[#This Row],[Implementing Partner]])</f>
        <v>No SMA</v>
      </c>
      <c r="M1084" s="12" t="s">
        <v>55</v>
      </c>
      <c r="N1084" s="12" t="str">
        <f>tblSites[[#This Row],[FinalImplementingPartner]]</f>
        <v>No SMA</v>
      </c>
    </row>
    <row r="1085" spans="1:14" x14ac:dyDescent="0.25">
      <c r="A1085" s="12" t="s">
        <v>1462</v>
      </c>
      <c r="B1085" s="12" t="s">
        <v>1463</v>
      </c>
      <c r="C1085" s="12" t="s">
        <v>1464</v>
      </c>
      <c r="D1085" t="s">
        <v>5314</v>
      </c>
      <c r="E1085" s="12" t="s">
        <v>3176</v>
      </c>
      <c r="F1085" s="12" t="s">
        <v>53</v>
      </c>
      <c r="G1085" s="12" t="s">
        <v>5406</v>
      </c>
      <c r="H1085" s="12" t="s">
        <v>1463</v>
      </c>
      <c r="I1085" s="84">
        <v>27002154</v>
      </c>
      <c r="J1085" s="12" t="s">
        <v>5102</v>
      </c>
      <c r="L1085" s="12" t="str">
        <f>IF(OR(ISBLANK(tblSites[[#This Row],[Implementing Partner]]), tblSites[[#This Row],[Implementing Partner]]="-"), tblSites[[#This Row],[Site Agency]], tblSites[[#This Row],[Implementing Partner]])</f>
        <v>No SMA</v>
      </c>
      <c r="M1085" s="12" t="s">
        <v>55</v>
      </c>
      <c r="N1085" s="12" t="str">
        <f>tblSites[[#This Row],[FinalImplementingPartner]]</f>
        <v>No SMA</v>
      </c>
    </row>
    <row r="1086" spans="1:14" x14ac:dyDescent="0.25">
      <c r="A1086" s="12" t="s">
        <v>2195</v>
      </c>
      <c r="B1086" s="12" t="s">
        <v>2196</v>
      </c>
      <c r="C1086" s="12" t="s">
        <v>2197</v>
      </c>
      <c r="D1086" t="s">
        <v>5314</v>
      </c>
      <c r="E1086" s="12" t="s">
        <v>3176</v>
      </c>
      <c r="F1086" s="12" t="s">
        <v>325</v>
      </c>
      <c r="G1086" s="12" t="s">
        <v>5411</v>
      </c>
      <c r="H1086" s="12" t="s">
        <v>2196</v>
      </c>
      <c r="I1086" s="84">
        <v>27002104</v>
      </c>
      <c r="J1086" s="12" t="s">
        <v>5102</v>
      </c>
      <c r="L1086" s="12" t="str">
        <f>IF(OR(ISBLANK(tblSites[[#This Row],[Implementing Partner]]), tblSites[[#This Row],[Implementing Partner]]="-"), tblSites[[#This Row],[Site Agency]], tblSites[[#This Row],[Implementing Partner]])</f>
        <v>No SMA</v>
      </c>
      <c r="M1086" s="12" t="s">
        <v>55</v>
      </c>
      <c r="N1086" s="12" t="str">
        <f>tblSites[[#This Row],[FinalImplementingPartner]]</f>
        <v>No SMA</v>
      </c>
    </row>
    <row r="1087" spans="1:14" x14ac:dyDescent="0.25">
      <c r="A1087" s="12" t="s">
        <v>2088</v>
      </c>
      <c r="B1087" s="12" t="s">
        <v>2089</v>
      </c>
      <c r="C1087" s="12" t="s">
        <v>2090</v>
      </c>
      <c r="D1087" t="s">
        <v>5314</v>
      </c>
      <c r="E1087" s="12" t="s">
        <v>3176</v>
      </c>
      <c r="F1087" s="12" t="s">
        <v>79</v>
      </c>
      <c r="G1087" s="12" t="s">
        <v>5419</v>
      </c>
      <c r="H1087" s="12" t="s">
        <v>2089</v>
      </c>
      <c r="I1087" s="84">
        <v>27002101</v>
      </c>
      <c r="J1087" s="12" t="s">
        <v>5102</v>
      </c>
      <c r="L1087" s="12" t="str">
        <f>IF(OR(ISBLANK(tblSites[[#This Row],[Implementing Partner]]), tblSites[[#This Row],[Implementing Partner]]="-"), tblSites[[#This Row],[Site Agency]], tblSites[[#This Row],[Implementing Partner]])</f>
        <v>No SMA</v>
      </c>
      <c r="M1087" s="12" t="s">
        <v>55</v>
      </c>
      <c r="N1087" s="12" t="str">
        <f>tblSites[[#This Row],[FinalImplementingPartner]]</f>
        <v>No SMA</v>
      </c>
    </row>
    <row r="1088" spans="1:14" x14ac:dyDescent="0.25">
      <c r="A1088" s="12" t="s">
        <v>823</v>
      </c>
      <c r="B1088" s="12" t="s">
        <v>824</v>
      </c>
      <c r="C1088" s="12" t="s">
        <v>825</v>
      </c>
      <c r="D1088" t="s">
        <v>5314</v>
      </c>
      <c r="E1088" s="12" t="s">
        <v>3176</v>
      </c>
      <c r="F1088" s="12" t="s">
        <v>79</v>
      </c>
      <c r="G1088" s="12" t="s">
        <v>5419</v>
      </c>
      <c r="H1088" s="12" t="s">
        <v>824</v>
      </c>
      <c r="I1088" s="84">
        <v>27002101</v>
      </c>
      <c r="J1088" s="12" t="s">
        <v>5102</v>
      </c>
      <c r="L1088" s="12" t="str">
        <f>IF(OR(ISBLANK(tblSites[[#This Row],[Implementing Partner]]), tblSites[[#This Row],[Implementing Partner]]="-"), tblSites[[#This Row],[Site Agency]], tblSites[[#This Row],[Implementing Partner]])</f>
        <v>No SMA</v>
      </c>
      <c r="M1088" s="12" t="s">
        <v>55</v>
      </c>
      <c r="N1088" s="12" t="str">
        <f>tblSites[[#This Row],[FinalImplementingPartner]]</f>
        <v>No SMA</v>
      </c>
    </row>
    <row r="1089" spans="1:14" x14ac:dyDescent="0.25">
      <c r="A1089" s="12" t="s">
        <v>1367</v>
      </c>
      <c r="B1089" s="12" t="s">
        <v>1368</v>
      </c>
      <c r="C1089" s="12" t="s">
        <v>1369</v>
      </c>
      <c r="D1089" t="s">
        <v>5314</v>
      </c>
      <c r="E1089" s="12" t="s">
        <v>3176</v>
      </c>
      <c r="F1089" s="12" t="s">
        <v>53</v>
      </c>
      <c r="G1089" s="12" t="s">
        <v>5406</v>
      </c>
      <c r="H1089" s="12" t="s">
        <v>1368</v>
      </c>
      <c r="I1089" s="84">
        <v>27002154</v>
      </c>
      <c r="J1089" s="12" t="s">
        <v>5102</v>
      </c>
      <c r="L1089" s="12" t="str">
        <f>IF(OR(ISBLANK(tblSites[[#This Row],[Implementing Partner]]), tblSites[[#This Row],[Implementing Partner]]="-"), tblSites[[#This Row],[Site Agency]], tblSites[[#This Row],[Implementing Partner]])</f>
        <v>No SMA</v>
      </c>
      <c r="M1089" s="12" t="s">
        <v>55</v>
      </c>
      <c r="N1089" s="12" t="str">
        <f>tblSites[[#This Row],[FinalImplementingPartner]]</f>
        <v>No SMA</v>
      </c>
    </row>
    <row r="1090" spans="1:14" x14ac:dyDescent="0.25">
      <c r="A1090" s="12" t="s">
        <v>1488</v>
      </c>
      <c r="B1090" s="12" t="s">
        <v>1489</v>
      </c>
      <c r="C1090" s="12" t="s">
        <v>1490</v>
      </c>
      <c r="D1090" t="s">
        <v>5314</v>
      </c>
      <c r="E1090" s="12" t="s">
        <v>3176</v>
      </c>
      <c r="F1090" s="12" t="s">
        <v>53</v>
      </c>
      <c r="G1090" s="12" t="s">
        <v>5406</v>
      </c>
      <c r="H1090" s="12" t="s">
        <v>1489</v>
      </c>
      <c r="I1090" s="84">
        <v>27002154</v>
      </c>
      <c r="J1090" s="12" t="s">
        <v>5102</v>
      </c>
      <c r="L1090" s="12" t="str">
        <f>IF(OR(ISBLANK(tblSites[[#This Row],[Implementing Partner]]), tblSites[[#This Row],[Implementing Partner]]="-"), tblSites[[#This Row],[Site Agency]], tblSites[[#This Row],[Implementing Partner]])</f>
        <v>No SMA</v>
      </c>
      <c r="M1090" s="12" t="s">
        <v>55</v>
      </c>
      <c r="N1090" s="12" t="str">
        <f>tblSites[[#This Row],[FinalImplementingPartner]]</f>
        <v>No SMA</v>
      </c>
    </row>
    <row r="1091" spans="1:14" x14ac:dyDescent="0.25">
      <c r="A1091" s="12" t="s">
        <v>1364</v>
      </c>
      <c r="B1091" s="12" t="s">
        <v>1365</v>
      </c>
      <c r="C1091" s="12" t="s">
        <v>1366</v>
      </c>
      <c r="D1091" t="s">
        <v>5314</v>
      </c>
      <c r="E1091" s="12" t="s">
        <v>3176</v>
      </c>
      <c r="F1091" s="12" t="s">
        <v>53</v>
      </c>
      <c r="G1091" s="12" t="s">
        <v>5406</v>
      </c>
      <c r="H1091" s="12" t="s">
        <v>1365</v>
      </c>
      <c r="I1091" s="84">
        <v>27002154</v>
      </c>
      <c r="J1091" s="12" t="s">
        <v>5102</v>
      </c>
      <c r="L1091" s="12" t="str">
        <f>IF(OR(ISBLANK(tblSites[[#This Row],[Implementing Partner]]), tblSites[[#This Row],[Implementing Partner]]="-"), tblSites[[#This Row],[Site Agency]], tblSites[[#This Row],[Implementing Partner]])</f>
        <v>No SMA</v>
      </c>
      <c r="M1091" s="12" t="s">
        <v>55</v>
      </c>
      <c r="N1091" s="12" t="str">
        <f>tblSites[[#This Row],[FinalImplementingPartner]]</f>
        <v>No SMA</v>
      </c>
    </row>
    <row r="1092" spans="1:14" x14ac:dyDescent="0.25">
      <c r="A1092" s="12" t="s">
        <v>313</v>
      </c>
      <c r="B1092" s="12" t="s">
        <v>314</v>
      </c>
      <c r="C1092" s="12" t="s">
        <v>315</v>
      </c>
      <c r="D1092" t="s">
        <v>5314</v>
      </c>
      <c r="E1092" s="12" t="s">
        <v>3176</v>
      </c>
      <c r="F1092" s="12" t="s">
        <v>53</v>
      </c>
      <c r="G1092" s="12" t="s">
        <v>5405</v>
      </c>
      <c r="H1092" s="12" t="s">
        <v>314</v>
      </c>
      <c r="I1092" s="84">
        <v>27002154</v>
      </c>
      <c r="J1092" s="12" t="s">
        <v>7</v>
      </c>
      <c r="L1092" s="12" t="str">
        <f>IF(OR(ISBLANK(tblSites[[#This Row],[Implementing Partner]]), tblSites[[#This Row],[Implementing Partner]]="-"), tblSites[[#This Row],[Site Agency]], tblSites[[#This Row],[Implementing Partner]])</f>
        <v>ACTED</v>
      </c>
      <c r="M1092" s="12" t="s">
        <v>55</v>
      </c>
      <c r="N1092" s="12" t="str">
        <f>tblSites[[#This Row],[FinalImplementingPartner]]</f>
        <v>ACTED</v>
      </c>
    </row>
    <row r="1093" spans="1:14" x14ac:dyDescent="0.25">
      <c r="A1093" s="12" t="s">
        <v>219</v>
      </c>
      <c r="B1093" s="12" t="s">
        <v>220</v>
      </c>
      <c r="C1093" s="12" t="s">
        <v>221</v>
      </c>
      <c r="D1093" t="s">
        <v>5314</v>
      </c>
      <c r="E1093" s="12" t="s">
        <v>3176</v>
      </c>
      <c r="F1093" s="12" t="s">
        <v>53</v>
      </c>
      <c r="G1093" s="12" t="s">
        <v>5405</v>
      </c>
      <c r="H1093" s="12" t="s">
        <v>220</v>
      </c>
      <c r="I1093" s="84">
        <v>27002154</v>
      </c>
      <c r="J1093" s="12" t="s">
        <v>7</v>
      </c>
      <c r="L1093" s="12" t="str">
        <f>IF(OR(ISBLANK(tblSites[[#This Row],[Implementing Partner]]), tblSites[[#This Row],[Implementing Partner]]="-"), tblSites[[#This Row],[Site Agency]], tblSites[[#This Row],[Implementing Partner]])</f>
        <v>ACTED</v>
      </c>
      <c r="M1093" s="12" t="s">
        <v>55</v>
      </c>
      <c r="N1093" s="12" t="str">
        <f>tblSites[[#This Row],[FinalImplementingPartner]]</f>
        <v>ACTED</v>
      </c>
    </row>
    <row r="1094" spans="1:14" x14ac:dyDescent="0.25">
      <c r="A1094" s="12" t="s">
        <v>275</v>
      </c>
      <c r="B1094" s="12" t="s">
        <v>276</v>
      </c>
      <c r="C1094" s="12" t="s">
        <v>277</v>
      </c>
      <c r="D1094" t="s">
        <v>5314</v>
      </c>
      <c r="E1094" s="12" t="s">
        <v>3176</v>
      </c>
      <c r="F1094" s="12" t="s">
        <v>53</v>
      </c>
      <c r="G1094" s="12" t="s">
        <v>5405</v>
      </c>
      <c r="H1094" s="12" t="s">
        <v>276</v>
      </c>
      <c r="I1094" s="84">
        <v>27002154</v>
      </c>
      <c r="J1094" s="12" t="s">
        <v>7</v>
      </c>
      <c r="L1094" s="12" t="str">
        <f>IF(OR(ISBLANK(tblSites[[#This Row],[Implementing Partner]]), tblSites[[#This Row],[Implementing Partner]]="-"), tblSites[[#This Row],[Site Agency]], tblSites[[#This Row],[Implementing Partner]])</f>
        <v>ACTED</v>
      </c>
      <c r="M1094" s="12" t="s">
        <v>55</v>
      </c>
      <c r="N1094" s="12" t="str">
        <f>tblSites[[#This Row],[FinalImplementingPartner]]</f>
        <v>ACTED</v>
      </c>
    </row>
    <row r="1095" spans="1:14" x14ac:dyDescent="0.25">
      <c r="A1095" s="12" t="s">
        <v>654</v>
      </c>
      <c r="B1095" s="12" t="s">
        <v>655</v>
      </c>
      <c r="C1095" s="12" t="s">
        <v>271</v>
      </c>
      <c r="D1095" t="s">
        <v>5314</v>
      </c>
      <c r="E1095" s="12" t="s">
        <v>3176</v>
      </c>
      <c r="F1095" s="12" t="s">
        <v>53</v>
      </c>
      <c r="G1095" s="12" t="s">
        <v>5405</v>
      </c>
      <c r="H1095" s="12" t="s">
        <v>655</v>
      </c>
      <c r="I1095" s="84">
        <v>27002154</v>
      </c>
      <c r="J1095" s="12" t="s">
        <v>7</v>
      </c>
      <c r="L1095" s="12" t="str">
        <f>IF(OR(ISBLANK(tblSites[[#This Row],[Implementing Partner]]), tblSites[[#This Row],[Implementing Partner]]="-"), tblSites[[#This Row],[Site Agency]], tblSites[[#This Row],[Implementing Partner]])</f>
        <v>ACTED</v>
      </c>
      <c r="M1095" s="12" t="s">
        <v>55</v>
      </c>
      <c r="N1095" s="12" t="str">
        <f>tblSites[[#This Row],[FinalImplementingPartner]]</f>
        <v>ACTED</v>
      </c>
    </row>
    <row r="1096" spans="1:14" x14ac:dyDescent="0.25">
      <c r="A1096" s="12" t="s">
        <v>1709</v>
      </c>
      <c r="B1096" s="12" t="s">
        <v>1710</v>
      </c>
      <c r="C1096" s="12" t="s">
        <v>1711</v>
      </c>
      <c r="D1096" t="s">
        <v>5314</v>
      </c>
      <c r="E1096" s="12" t="s">
        <v>3176</v>
      </c>
      <c r="F1096" s="12" t="s">
        <v>53</v>
      </c>
      <c r="G1096" s="12" t="s">
        <v>5406</v>
      </c>
      <c r="H1096" s="12" t="s">
        <v>1710</v>
      </c>
      <c r="I1096" s="84">
        <v>27002154</v>
      </c>
      <c r="J1096" s="12" t="s">
        <v>5102</v>
      </c>
      <c r="L1096" s="12" t="str">
        <f>IF(OR(ISBLANK(tblSites[[#This Row],[Implementing Partner]]), tblSites[[#This Row],[Implementing Partner]]="-"), tblSites[[#This Row],[Site Agency]], tblSites[[#This Row],[Implementing Partner]])</f>
        <v>No SMA</v>
      </c>
      <c r="M1096" s="12" t="s">
        <v>55</v>
      </c>
      <c r="N1096" s="12" t="str">
        <f>tblSites[[#This Row],[FinalImplementingPartner]]</f>
        <v>No SMA</v>
      </c>
    </row>
    <row r="1097" spans="1:14" x14ac:dyDescent="0.25">
      <c r="A1097" s="12" t="s">
        <v>1609</v>
      </c>
      <c r="B1097" s="12" t="s">
        <v>1610</v>
      </c>
      <c r="C1097" s="12" t="s">
        <v>1611</v>
      </c>
      <c r="D1097" t="s">
        <v>5314</v>
      </c>
      <c r="E1097" s="12" t="s">
        <v>3176</v>
      </c>
      <c r="F1097" s="12" t="s">
        <v>53</v>
      </c>
      <c r="G1097" s="12" t="s">
        <v>5406</v>
      </c>
      <c r="H1097" s="12" t="s">
        <v>1610</v>
      </c>
      <c r="I1097" s="84">
        <v>27002154</v>
      </c>
      <c r="J1097" s="12" t="s">
        <v>5102</v>
      </c>
      <c r="L1097" s="12" t="str">
        <f>IF(OR(ISBLANK(tblSites[[#This Row],[Implementing Partner]]), tblSites[[#This Row],[Implementing Partner]]="-"), tblSites[[#This Row],[Site Agency]], tblSites[[#This Row],[Implementing Partner]])</f>
        <v>No SMA</v>
      </c>
      <c r="M1097" s="12" t="s">
        <v>55</v>
      </c>
      <c r="N1097" s="12" t="str">
        <f>tblSites[[#This Row],[FinalImplementingPartner]]</f>
        <v>No SMA</v>
      </c>
    </row>
    <row r="1098" spans="1:14" x14ac:dyDescent="0.25">
      <c r="A1098" s="12" t="s">
        <v>310</v>
      </c>
      <c r="B1098" s="12" t="s">
        <v>311</v>
      </c>
      <c r="C1098" s="12" t="s">
        <v>312</v>
      </c>
      <c r="D1098" t="s">
        <v>5314</v>
      </c>
      <c r="E1098" s="12" t="s">
        <v>3176</v>
      </c>
      <c r="F1098" s="12" t="s">
        <v>53</v>
      </c>
      <c r="G1098" s="12" t="s">
        <v>5405</v>
      </c>
      <c r="H1098" s="12" t="s">
        <v>311</v>
      </c>
      <c r="I1098" s="84">
        <v>27002154</v>
      </c>
      <c r="J1098" s="12" t="s">
        <v>7</v>
      </c>
      <c r="L1098" s="12" t="str">
        <f>IF(OR(ISBLANK(tblSites[[#This Row],[Implementing Partner]]), tblSites[[#This Row],[Implementing Partner]]="-"), tblSites[[#This Row],[Site Agency]], tblSites[[#This Row],[Implementing Partner]])</f>
        <v>ACTED</v>
      </c>
      <c r="M1098" s="12" t="s">
        <v>55</v>
      </c>
      <c r="N1098" s="12" t="str">
        <f>tblSites[[#This Row],[FinalImplementingPartner]]</f>
        <v>ACTED</v>
      </c>
    </row>
    <row r="1099" spans="1:14" x14ac:dyDescent="0.25">
      <c r="A1099" s="12" t="s">
        <v>242</v>
      </c>
      <c r="B1099" s="12" t="s">
        <v>243</v>
      </c>
      <c r="C1099" s="12" t="s">
        <v>244</v>
      </c>
      <c r="D1099" t="s">
        <v>5314</v>
      </c>
      <c r="E1099" s="12" t="s">
        <v>3176</v>
      </c>
      <c r="F1099" s="12" t="s">
        <v>53</v>
      </c>
      <c r="G1099" s="12" t="s">
        <v>5405</v>
      </c>
      <c r="H1099" s="12" t="s">
        <v>243</v>
      </c>
      <c r="I1099" s="84">
        <v>27002154</v>
      </c>
      <c r="J1099" s="12" t="s">
        <v>7</v>
      </c>
      <c r="L1099" s="12" t="str">
        <f>IF(OR(ISBLANK(tblSites[[#This Row],[Implementing Partner]]), tblSites[[#This Row],[Implementing Partner]]="-"), tblSites[[#This Row],[Site Agency]], tblSites[[#This Row],[Implementing Partner]])</f>
        <v>ACTED</v>
      </c>
      <c r="M1099" s="12" t="s">
        <v>55</v>
      </c>
      <c r="N1099" s="12" t="str">
        <f>tblSites[[#This Row],[FinalImplementingPartner]]</f>
        <v>ACTED</v>
      </c>
    </row>
    <row r="1100" spans="1:14" x14ac:dyDescent="0.25">
      <c r="A1100" s="12" t="s">
        <v>627</v>
      </c>
      <c r="B1100" s="12" t="s">
        <v>628</v>
      </c>
      <c r="C1100" s="12" t="s">
        <v>629</v>
      </c>
      <c r="D1100" t="s">
        <v>5314</v>
      </c>
      <c r="E1100" s="12" t="s">
        <v>3176</v>
      </c>
      <c r="F1100" s="12" t="s">
        <v>53</v>
      </c>
      <c r="G1100" s="12" t="s">
        <v>5405</v>
      </c>
      <c r="H1100" s="12" t="s">
        <v>628</v>
      </c>
      <c r="I1100" s="84">
        <v>27002154</v>
      </c>
      <c r="J1100" s="12" t="s">
        <v>5</v>
      </c>
      <c r="K1100" s="12" t="s">
        <v>7</v>
      </c>
      <c r="L1100" s="12" t="str">
        <f>IF(OR(ISBLANK(tblSites[[#This Row],[Implementing Partner]]), tblSites[[#This Row],[Implementing Partner]]="-"), tblSites[[#This Row],[Site Agency]], tblSites[[#This Row],[Implementing Partner]])</f>
        <v>ACTED</v>
      </c>
      <c r="M1100" s="12" t="s">
        <v>55</v>
      </c>
      <c r="N1100" s="12" t="str">
        <f>tblSites[[#This Row],[FinalImplementingPartner]]</f>
        <v>ACTED</v>
      </c>
    </row>
    <row r="1101" spans="1:14" x14ac:dyDescent="0.25">
      <c r="A1101" s="12" t="s">
        <v>648</v>
      </c>
      <c r="B1101" s="12" t="s">
        <v>649</v>
      </c>
      <c r="C1101" s="12" t="s">
        <v>650</v>
      </c>
      <c r="D1101" t="s">
        <v>5314</v>
      </c>
      <c r="E1101" s="12" t="s">
        <v>3176</v>
      </c>
      <c r="F1101" s="12" t="s">
        <v>53</v>
      </c>
      <c r="G1101" s="12" t="s">
        <v>5405</v>
      </c>
      <c r="H1101" s="12" t="s">
        <v>649</v>
      </c>
      <c r="I1101" s="84">
        <v>27002154</v>
      </c>
      <c r="J1101" s="12" t="s">
        <v>5</v>
      </c>
      <c r="K1101" s="12" t="s">
        <v>7</v>
      </c>
      <c r="L1101" s="12" t="str">
        <f>IF(OR(ISBLANK(tblSites[[#This Row],[Implementing Partner]]), tblSites[[#This Row],[Implementing Partner]]="-"), tblSites[[#This Row],[Site Agency]], tblSites[[#This Row],[Implementing Partner]])</f>
        <v>ACTED</v>
      </c>
      <c r="M1101" s="12" t="s">
        <v>55</v>
      </c>
      <c r="N1101" s="12" t="str">
        <f>tblSites[[#This Row],[FinalImplementingPartner]]</f>
        <v>ACTED</v>
      </c>
    </row>
    <row r="1102" spans="1:14" x14ac:dyDescent="0.25">
      <c r="A1102" s="12" t="s">
        <v>1106</v>
      </c>
      <c r="B1102" s="12" t="s">
        <v>1107</v>
      </c>
      <c r="C1102" s="12" t="s">
        <v>1108</v>
      </c>
      <c r="D1102" t="s">
        <v>5314</v>
      </c>
      <c r="E1102" s="12" t="s">
        <v>3176</v>
      </c>
      <c r="F1102" s="12" t="s">
        <v>53</v>
      </c>
      <c r="G1102" s="12" t="s">
        <v>5406</v>
      </c>
      <c r="H1102" s="12" t="s">
        <v>1107</v>
      </c>
      <c r="I1102" s="84">
        <v>27002154</v>
      </c>
      <c r="J1102" s="12" t="s">
        <v>5102</v>
      </c>
      <c r="L1102" s="12" t="str">
        <f>IF(OR(ISBLANK(tblSites[[#This Row],[Implementing Partner]]), tblSites[[#This Row],[Implementing Partner]]="-"), tblSites[[#This Row],[Site Agency]], tblSites[[#This Row],[Implementing Partner]])</f>
        <v>No SMA</v>
      </c>
      <c r="M1102" s="12" t="s">
        <v>55</v>
      </c>
      <c r="N1102" s="12" t="str">
        <f>tblSites[[#This Row],[FinalImplementingPartner]]</f>
        <v>No SMA</v>
      </c>
    </row>
    <row r="1103" spans="1:14" x14ac:dyDescent="0.25">
      <c r="A1103" s="12" t="s">
        <v>683</v>
      </c>
      <c r="B1103" s="12" t="s">
        <v>684</v>
      </c>
      <c r="C1103" s="12" t="s">
        <v>685</v>
      </c>
      <c r="D1103" t="s">
        <v>5314</v>
      </c>
      <c r="E1103" s="12" t="s">
        <v>3176</v>
      </c>
      <c r="F1103" s="12" t="s">
        <v>53</v>
      </c>
      <c r="G1103" s="12" t="s">
        <v>5405</v>
      </c>
      <c r="H1103" s="12" t="s">
        <v>684</v>
      </c>
      <c r="I1103" s="84">
        <v>27002154</v>
      </c>
      <c r="J1103" s="12" t="s">
        <v>5</v>
      </c>
      <c r="K1103" s="12" t="s">
        <v>7</v>
      </c>
      <c r="L1103" s="12" t="str">
        <f>IF(OR(ISBLANK(tblSites[[#This Row],[Implementing Partner]]), tblSites[[#This Row],[Implementing Partner]]="-"), tblSites[[#This Row],[Site Agency]], tblSites[[#This Row],[Implementing Partner]])</f>
        <v>ACTED</v>
      </c>
      <c r="M1103" s="12" t="s">
        <v>55</v>
      </c>
      <c r="N1103" s="12" t="str">
        <f>tblSites[[#This Row],[FinalImplementingPartner]]</f>
        <v>ACTED</v>
      </c>
    </row>
    <row r="1104" spans="1:14" x14ac:dyDescent="0.25">
      <c r="A1104" s="12" t="s">
        <v>1180</v>
      </c>
      <c r="B1104" s="12" t="s">
        <v>1181</v>
      </c>
      <c r="C1104" s="12" t="s">
        <v>1182</v>
      </c>
      <c r="D1104" t="s">
        <v>5314</v>
      </c>
      <c r="E1104" s="12" t="s">
        <v>3176</v>
      </c>
      <c r="F1104" s="12" t="s">
        <v>53</v>
      </c>
      <c r="G1104" s="12" t="s">
        <v>5406</v>
      </c>
      <c r="H1104" s="12" t="s">
        <v>1181</v>
      </c>
      <c r="I1104" s="84">
        <v>27002154</v>
      </c>
      <c r="J1104" s="12" t="s">
        <v>5102</v>
      </c>
      <c r="L1104" s="12" t="str">
        <f>IF(OR(ISBLANK(tblSites[[#This Row],[Implementing Partner]]), tblSites[[#This Row],[Implementing Partner]]="-"), tblSites[[#This Row],[Site Agency]], tblSites[[#This Row],[Implementing Partner]])</f>
        <v>No SMA</v>
      </c>
      <c r="M1104" s="12" t="s">
        <v>55</v>
      </c>
      <c r="N1104" s="12" t="str">
        <f>tblSites[[#This Row],[FinalImplementingPartner]]</f>
        <v>No SMA</v>
      </c>
    </row>
    <row r="1105" spans="1:14" x14ac:dyDescent="0.25">
      <c r="A1105" s="12" t="s">
        <v>1543</v>
      </c>
      <c r="B1105" s="12" t="s">
        <v>1544</v>
      </c>
      <c r="C1105" s="12" t="s">
        <v>1545</v>
      </c>
      <c r="D1105" t="s">
        <v>5314</v>
      </c>
      <c r="E1105" s="12" t="s">
        <v>3176</v>
      </c>
      <c r="F1105" s="12" t="s">
        <v>53</v>
      </c>
      <c r="G1105" s="12" t="s">
        <v>5406</v>
      </c>
      <c r="H1105" s="12" t="s">
        <v>1544</v>
      </c>
      <c r="I1105" s="84">
        <v>27002154</v>
      </c>
      <c r="J1105" s="12" t="s">
        <v>5102</v>
      </c>
      <c r="L1105" s="12" t="str">
        <f>IF(OR(ISBLANK(tblSites[[#This Row],[Implementing Partner]]), tblSites[[#This Row],[Implementing Partner]]="-"), tblSites[[#This Row],[Site Agency]], tblSites[[#This Row],[Implementing Partner]])</f>
        <v>No SMA</v>
      </c>
      <c r="M1105" s="12" t="s">
        <v>55</v>
      </c>
      <c r="N1105" s="12" t="str">
        <f>tblSites[[#This Row],[FinalImplementingPartner]]</f>
        <v>No SMA</v>
      </c>
    </row>
    <row r="1106" spans="1:14" x14ac:dyDescent="0.25">
      <c r="A1106" s="12" t="s">
        <v>222</v>
      </c>
      <c r="B1106" s="12" t="s">
        <v>223</v>
      </c>
      <c r="C1106" s="12" t="s">
        <v>224</v>
      </c>
      <c r="D1106" t="s">
        <v>5314</v>
      </c>
      <c r="E1106" s="12" t="s">
        <v>3176</v>
      </c>
      <c r="F1106" s="12" t="s">
        <v>53</v>
      </c>
      <c r="G1106" s="12" t="s">
        <v>5405</v>
      </c>
      <c r="H1106" s="12" t="s">
        <v>223</v>
      </c>
      <c r="I1106" s="84">
        <v>27002154</v>
      </c>
      <c r="J1106" s="12" t="s">
        <v>7</v>
      </c>
      <c r="L1106" s="12" t="str">
        <f>IF(OR(ISBLANK(tblSites[[#This Row],[Implementing Partner]]), tblSites[[#This Row],[Implementing Partner]]="-"), tblSites[[#This Row],[Site Agency]], tblSites[[#This Row],[Implementing Partner]])</f>
        <v>ACTED</v>
      </c>
      <c r="M1106" s="12" t="s">
        <v>55</v>
      </c>
      <c r="N1106" s="12" t="str">
        <f>tblSites[[#This Row],[FinalImplementingPartner]]</f>
        <v>ACTED</v>
      </c>
    </row>
    <row r="1107" spans="1:14" x14ac:dyDescent="0.25">
      <c r="A1107" s="12" t="s">
        <v>1585</v>
      </c>
      <c r="B1107" s="12" t="s">
        <v>1586</v>
      </c>
      <c r="C1107" s="12" t="s">
        <v>1587</v>
      </c>
      <c r="D1107" t="s">
        <v>5314</v>
      </c>
      <c r="E1107" s="12" t="s">
        <v>3176</v>
      </c>
      <c r="F1107" s="12" t="s">
        <v>53</v>
      </c>
      <c r="G1107" s="12" t="s">
        <v>5406</v>
      </c>
      <c r="H1107" s="12" t="s">
        <v>1586</v>
      </c>
      <c r="I1107" s="84">
        <v>27002154</v>
      </c>
      <c r="J1107" s="12" t="s">
        <v>5102</v>
      </c>
      <c r="L1107" s="12" t="str">
        <f>IF(OR(ISBLANK(tblSites[[#This Row],[Implementing Partner]]), tblSites[[#This Row],[Implementing Partner]]="-"), tblSites[[#This Row],[Site Agency]], tblSites[[#This Row],[Implementing Partner]])</f>
        <v>No SMA</v>
      </c>
      <c r="M1107" s="12" t="s">
        <v>55</v>
      </c>
      <c r="N1107" s="12" t="str">
        <f>tblSites[[#This Row],[FinalImplementingPartner]]</f>
        <v>No SMA</v>
      </c>
    </row>
    <row r="1108" spans="1:14" x14ac:dyDescent="0.25">
      <c r="A1108" s="12" t="s">
        <v>2107</v>
      </c>
      <c r="B1108" s="12" t="s">
        <v>2108</v>
      </c>
      <c r="C1108" s="12" t="s">
        <v>2109</v>
      </c>
      <c r="D1108" t="s">
        <v>5314</v>
      </c>
      <c r="E1108" s="12" t="s">
        <v>3176</v>
      </c>
      <c r="F1108" s="12" t="s">
        <v>53</v>
      </c>
      <c r="G1108" s="12" t="s">
        <v>5406</v>
      </c>
      <c r="H1108" s="12" t="s">
        <v>2108</v>
      </c>
      <c r="I1108" s="84">
        <v>27002154</v>
      </c>
      <c r="J1108" s="12" t="s">
        <v>5102</v>
      </c>
      <c r="L1108" s="12" t="str">
        <f>IF(OR(ISBLANK(tblSites[[#This Row],[Implementing Partner]]), tblSites[[#This Row],[Implementing Partner]]="-"), tblSites[[#This Row],[Site Agency]], tblSites[[#This Row],[Implementing Partner]])</f>
        <v>No SMA</v>
      </c>
      <c r="M1108" s="12" t="s">
        <v>55</v>
      </c>
      <c r="N1108" s="12" t="str">
        <f>tblSites[[#This Row],[FinalImplementingPartner]]</f>
        <v>No SMA</v>
      </c>
    </row>
    <row r="1109" spans="1:14" x14ac:dyDescent="0.25">
      <c r="A1109" s="12" t="s">
        <v>1129</v>
      </c>
      <c r="B1109" s="12" t="s">
        <v>1130</v>
      </c>
      <c r="C1109" s="12" t="s">
        <v>1131</v>
      </c>
      <c r="D1109" t="s">
        <v>5314</v>
      </c>
      <c r="E1109" s="12" t="s">
        <v>3176</v>
      </c>
      <c r="F1109" s="12" t="s">
        <v>53</v>
      </c>
      <c r="G1109" s="12" t="s">
        <v>5406</v>
      </c>
      <c r="H1109" s="12" t="s">
        <v>1130</v>
      </c>
      <c r="I1109" s="84">
        <v>27002154</v>
      </c>
      <c r="J1109" s="12" t="s">
        <v>5102</v>
      </c>
      <c r="L1109" s="12" t="str">
        <f>IF(OR(ISBLANK(tblSites[[#This Row],[Implementing Partner]]), tblSites[[#This Row],[Implementing Partner]]="-"), tblSites[[#This Row],[Site Agency]], tblSites[[#This Row],[Implementing Partner]])</f>
        <v>No SMA</v>
      </c>
      <c r="M1109" s="12" t="s">
        <v>55</v>
      </c>
      <c r="N1109" s="12" t="str">
        <f>tblSites[[#This Row],[FinalImplementingPartner]]</f>
        <v>No SMA</v>
      </c>
    </row>
    <row r="1110" spans="1:14" x14ac:dyDescent="0.25">
      <c r="A1110" s="12" t="s">
        <v>303</v>
      </c>
      <c r="B1110" s="12" t="s">
        <v>304</v>
      </c>
      <c r="C1110" s="12" t="s">
        <v>305</v>
      </c>
      <c r="D1110" t="s">
        <v>5314</v>
      </c>
      <c r="E1110" s="12" t="s">
        <v>3176</v>
      </c>
      <c r="F1110" s="12" t="s">
        <v>53</v>
      </c>
      <c r="G1110" s="12" t="s">
        <v>5405</v>
      </c>
      <c r="H1110" s="12" t="s">
        <v>304</v>
      </c>
      <c r="I1110" s="84">
        <v>27002154</v>
      </c>
      <c r="J1110" s="12" t="s">
        <v>7</v>
      </c>
      <c r="L1110" s="12" t="str">
        <f>IF(OR(ISBLANK(tblSites[[#This Row],[Implementing Partner]]), tblSites[[#This Row],[Implementing Partner]]="-"), tblSites[[#This Row],[Site Agency]], tblSites[[#This Row],[Implementing Partner]])</f>
        <v>ACTED</v>
      </c>
      <c r="M1110" s="12" t="s">
        <v>55</v>
      </c>
      <c r="N1110" s="12" t="str">
        <f>tblSites[[#This Row],[FinalImplementingPartner]]</f>
        <v>ACTED</v>
      </c>
    </row>
    <row r="1111" spans="1:14" x14ac:dyDescent="0.25">
      <c r="A1111" s="12" t="s">
        <v>278</v>
      </c>
      <c r="B1111" s="12" t="s">
        <v>279</v>
      </c>
      <c r="C1111" s="12" t="s">
        <v>280</v>
      </c>
      <c r="D1111" t="s">
        <v>5314</v>
      </c>
      <c r="E1111" s="12" t="s">
        <v>3176</v>
      </c>
      <c r="F1111" s="12" t="s">
        <v>53</v>
      </c>
      <c r="G1111" s="12" t="s">
        <v>5405</v>
      </c>
      <c r="H1111" s="12" t="s">
        <v>279</v>
      </c>
      <c r="I1111" s="84">
        <v>27002154</v>
      </c>
      <c r="J1111" s="12" t="s">
        <v>7</v>
      </c>
      <c r="K1111" s="12" t="s">
        <v>389</v>
      </c>
      <c r="L1111" s="12" t="str">
        <f>IF(OR(ISBLANK(tblSites[[#This Row],[Implementing Partner]]), tblSites[[#This Row],[Implementing Partner]]="-"), tblSites[[#This Row],[Site Agency]], tblSites[[#This Row],[Implementing Partner]])</f>
        <v>ACTED</v>
      </c>
      <c r="M1111" s="12" t="s">
        <v>55</v>
      </c>
      <c r="N1111" s="12" t="str">
        <f>tblSites[[#This Row],[FinalImplementingPartner]]</f>
        <v>ACTED</v>
      </c>
    </row>
    <row r="1112" spans="1:14" x14ac:dyDescent="0.25">
      <c r="A1112" s="12" t="s">
        <v>1668</v>
      </c>
      <c r="B1112" s="12" t="s">
        <v>1669</v>
      </c>
      <c r="C1112" s="12" t="s">
        <v>1670</v>
      </c>
      <c r="D1112" t="s">
        <v>5314</v>
      </c>
      <c r="E1112" s="12" t="s">
        <v>3176</v>
      </c>
      <c r="F1112" s="12" t="s">
        <v>53</v>
      </c>
      <c r="G1112" s="12" t="s">
        <v>5406</v>
      </c>
      <c r="H1112" s="12" t="s">
        <v>1669</v>
      </c>
      <c r="I1112" s="84">
        <v>27002154</v>
      </c>
      <c r="J1112" s="12" t="s">
        <v>5102</v>
      </c>
      <c r="L1112" s="12" t="str">
        <f>IF(OR(ISBLANK(tblSites[[#This Row],[Implementing Partner]]), tblSites[[#This Row],[Implementing Partner]]="-"), tblSites[[#This Row],[Site Agency]], tblSites[[#This Row],[Implementing Partner]])</f>
        <v>No SMA</v>
      </c>
      <c r="M1112" s="12" t="s">
        <v>55</v>
      </c>
      <c r="N1112" s="12" t="str">
        <f>tblSites[[#This Row],[FinalImplementingPartner]]</f>
        <v>No SMA</v>
      </c>
    </row>
    <row r="1113" spans="1:14" x14ac:dyDescent="0.25">
      <c r="A1113" s="12" t="s">
        <v>269</v>
      </c>
      <c r="B1113" s="12" t="s">
        <v>270</v>
      </c>
      <c r="C1113" s="12" t="s">
        <v>271</v>
      </c>
      <c r="D1113" t="s">
        <v>5314</v>
      </c>
      <c r="E1113" s="12" t="s">
        <v>3176</v>
      </c>
      <c r="F1113" s="12" t="s">
        <v>53</v>
      </c>
      <c r="G1113" s="12" t="s">
        <v>5405</v>
      </c>
      <c r="H1113" s="12" t="s">
        <v>270</v>
      </c>
      <c r="I1113" s="84">
        <v>27002154</v>
      </c>
      <c r="J1113" s="12" t="s">
        <v>7</v>
      </c>
      <c r="L1113" s="12" t="str">
        <f>IF(OR(ISBLANK(tblSites[[#This Row],[Implementing Partner]]), tblSites[[#This Row],[Implementing Partner]]="-"), tblSites[[#This Row],[Site Agency]], tblSites[[#This Row],[Implementing Partner]])</f>
        <v>ACTED</v>
      </c>
      <c r="M1113" s="12" t="s">
        <v>55</v>
      </c>
      <c r="N1113" s="12" t="str">
        <f>tblSites[[#This Row],[FinalImplementingPartner]]</f>
        <v>ACTED</v>
      </c>
    </row>
    <row r="1114" spans="1:14" x14ac:dyDescent="0.25">
      <c r="A1114" s="12" t="s">
        <v>696</v>
      </c>
      <c r="B1114" s="12" t="s">
        <v>697</v>
      </c>
      <c r="C1114" s="12" t="s">
        <v>698</v>
      </c>
      <c r="D1114" t="s">
        <v>5314</v>
      </c>
      <c r="E1114" s="12" t="s">
        <v>3176</v>
      </c>
      <c r="F1114" s="12" t="s">
        <v>53</v>
      </c>
      <c r="G1114" s="12" t="s">
        <v>5406</v>
      </c>
      <c r="H1114" s="12" t="s">
        <v>697</v>
      </c>
      <c r="I1114" s="84">
        <v>27002154</v>
      </c>
      <c r="J1114" s="12" t="s">
        <v>5102</v>
      </c>
      <c r="L1114" s="12" t="str">
        <f>IF(OR(ISBLANK(tblSites[[#This Row],[Implementing Partner]]), tblSites[[#This Row],[Implementing Partner]]="-"), tblSites[[#This Row],[Site Agency]], tblSites[[#This Row],[Implementing Partner]])</f>
        <v>No SMA</v>
      </c>
      <c r="M1114" s="12" t="s">
        <v>55</v>
      </c>
      <c r="N1114" s="12" t="str">
        <f>tblSites[[#This Row],[FinalImplementingPartner]]</f>
        <v>No SMA</v>
      </c>
    </row>
    <row r="1115" spans="1:14" x14ac:dyDescent="0.25">
      <c r="A1115" s="12" t="s">
        <v>225</v>
      </c>
      <c r="B1115" s="12" t="s">
        <v>226</v>
      </c>
      <c r="C1115" s="12" t="s">
        <v>150</v>
      </c>
      <c r="D1115" t="s">
        <v>5314</v>
      </c>
      <c r="E1115" s="12" t="s">
        <v>3176</v>
      </c>
      <c r="F1115" s="12" t="s">
        <v>53</v>
      </c>
      <c r="G1115" s="12" t="s">
        <v>5405</v>
      </c>
      <c r="H1115" s="12" t="s">
        <v>226</v>
      </c>
      <c r="I1115" s="84">
        <v>27002154</v>
      </c>
      <c r="J1115" s="12" t="s">
        <v>7</v>
      </c>
      <c r="L1115" s="12" t="str">
        <f>IF(OR(ISBLANK(tblSites[[#This Row],[Implementing Partner]]), tblSites[[#This Row],[Implementing Partner]]="-"), tblSites[[#This Row],[Site Agency]], tblSites[[#This Row],[Implementing Partner]])</f>
        <v>ACTED</v>
      </c>
      <c r="M1115" s="12" t="s">
        <v>55</v>
      </c>
      <c r="N1115" s="12" t="str">
        <f>tblSites[[#This Row],[FinalImplementingPartner]]</f>
        <v>ACTED</v>
      </c>
    </row>
    <row r="1116" spans="1:14" x14ac:dyDescent="0.25">
      <c r="A1116" s="12" t="s">
        <v>2253</v>
      </c>
      <c r="B1116" s="12" t="s">
        <v>2254</v>
      </c>
      <c r="C1116" s="12" t="s">
        <v>2255</v>
      </c>
      <c r="D1116" t="s">
        <v>5314</v>
      </c>
      <c r="E1116" s="12" t="s">
        <v>3176</v>
      </c>
      <c r="F1116" s="12" t="s">
        <v>53</v>
      </c>
      <c r="G1116" s="12" t="s">
        <v>5406</v>
      </c>
      <c r="H1116" s="12" t="s">
        <v>2254</v>
      </c>
      <c r="I1116" s="84">
        <v>27002154</v>
      </c>
      <c r="J1116" s="12" t="s">
        <v>5102</v>
      </c>
      <c r="L1116" s="12" t="str">
        <f>IF(OR(ISBLANK(tblSites[[#This Row],[Implementing Partner]]), tblSites[[#This Row],[Implementing Partner]]="-"), tblSites[[#This Row],[Site Agency]], tblSites[[#This Row],[Implementing Partner]])</f>
        <v>No SMA</v>
      </c>
      <c r="M1116" s="12" t="s">
        <v>55</v>
      </c>
      <c r="N1116" s="12" t="str">
        <f>tblSites[[#This Row],[FinalImplementingPartner]]</f>
        <v>No SMA</v>
      </c>
    </row>
    <row r="1117" spans="1:14" x14ac:dyDescent="0.25">
      <c r="A1117" s="12" t="s">
        <v>129</v>
      </c>
      <c r="B1117" s="12" t="s">
        <v>130</v>
      </c>
      <c r="C1117" s="12" t="s">
        <v>131</v>
      </c>
      <c r="D1117" t="s">
        <v>5314</v>
      </c>
      <c r="E1117" s="12" t="s">
        <v>3176</v>
      </c>
      <c r="F1117" s="12" t="s">
        <v>53</v>
      </c>
      <c r="G1117" s="12" t="s">
        <v>5405</v>
      </c>
      <c r="H1117" s="12" t="s">
        <v>130</v>
      </c>
      <c r="I1117" s="84">
        <v>27002154</v>
      </c>
      <c r="J1117" s="12" t="s">
        <v>7</v>
      </c>
      <c r="L1117" s="12" t="str">
        <f>IF(OR(ISBLANK(tblSites[[#This Row],[Implementing Partner]]), tblSites[[#This Row],[Implementing Partner]]="-"), tblSites[[#This Row],[Site Agency]], tblSites[[#This Row],[Implementing Partner]])</f>
        <v>ACTED</v>
      </c>
      <c r="M1117" s="12" t="s">
        <v>55</v>
      </c>
      <c r="N1117" s="12" t="str">
        <f>tblSites[[#This Row],[FinalImplementingPartner]]</f>
        <v>ACTED</v>
      </c>
    </row>
    <row r="1118" spans="1:14" x14ac:dyDescent="0.25">
      <c r="A1118" s="12" t="s">
        <v>174</v>
      </c>
      <c r="B1118" s="12" t="s">
        <v>175</v>
      </c>
      <c r="C1118" s="12" t="s">
        <v>176</v>
      </c>
      <c r="D1118" t="s">
        <v>5314</v>
      </c>
      <c r="E1118" s="12" t="s">
        <v>3176</v>
      </c>
      <c r="F1118" s="12" t="s">
        <v>53</v>
      </c>
      <c r="G1118" s="12" t="s">
        <v>5405</v>
      </c>
      <c r="H1118" s="12" t="s">
        <v>175</v>
      </c>
      <c r="I1118" s="84">
        <v>27002154</v>
      </c>
      <c r="J1118" s="12" t="s">
        <v>7</v>
      </c>
      <c r="L1118" s="12" t="str">
        <f>IF(OR(ISBLANK(tblSites[[#This Row],[Implementing Partner]]), tblSites[[#This Row],[Implementing Partner]]="-"), tblSites[[#This Row],[Site Agency]], tblSites[[#This Row],[Implementing Partner]])</f>
        <v>ACTED</v>
      </c>
      <c r="M1118" s="12" t="s">
        <v>55</v>
      </c>
      <c r="N1118" s="12" t="str">
        <f>tblSites[[#This Row],[FinalImplementingPartner]]</f>
        <v>ACTED</v>
      </c>
    </row>
    <row r="1119" spans="1:14" x14ac:dyDescent="0.25">
      <c r="A1119" s="12" t="s">
        <v>618</v>
      </c>
      <c r="B1119" s="12" t="s">
        <v>226</v>
      </c>
      <c r="C1119" s="12" t="s">
        <v>389</v>
      </c>
      <c r="D1119" t="s">
        <v>5314</v>
      </c>
      <c r="E1119" s="12" t="s">
        <v>3176</v>
      </c>
      <c r="F1119" s="12" t="s">
        <v>53</v>
      </c>
      <c r="G1119" s="12" t="s">
        <v>5406</v>
      </c>
      <c r="H1119" s="12" t="s">
        <v>226</v>
      </c>
      <c r="I1119" s="84">
        <v>27002154</v>
      </c>
      <c r="J1119" s="12" t="s">
        <v>5102</v>
      </c>
      <c r="L1119" s="12" t="str">
        <f>IF(OR(ISBLANK(tblSites[[#This Row],[Implementing Partner]]), tblSites[[#This Row],[Implementing Partner]]="-"), tblSites[[#This Row],[Site Agency]], tblSites[[#This Row],[Implementing Partner]])</f>
        <v>No SMA</v>
      </c>
      <c r="M1119" s="12" t="s">
        <v>55</v>
      </c>
      <c r="N1119" s="12" t="str">
        <f>tblSites[[#This Row],[FinalImplementingPartner]]</f>
        <v>No SMA</v>
      </c>
    </row>
    <row r="1120" spans="1:14" x14ac:dyDescent="0.25">
      <c r="A1120" s="12" t="s">
        <v>1435</v>
      </c>
      <c r="B1120" s="12" t="s">
        <v>1436</v>
      </c>
      <c r="C1120" s="12" t="s">
        <v>1437</v>
      </c>
      <c r="D1120" t="s">
        <v>5314</v>
      </c>
      <c r="E1120" s="12" t="s">
        <v>3176</v>
      </c>
      <c r="F1120" s="12" t="s">
        <v>173</v>
      </c>
      <c r="G1120" s="12" t="s">
        <v>5404</v>
      </c>
      <c r="H1120" s="12" t="s">
        <v>1436</v>
      </c>
      <c r="I1120" s="84">
        <v>27002105</v>
      </c>
      <c r="J1120" s="12" t="s">
        <v>5102</v>
      </c>
      <c r="L1120" s="12" t="str">
        <f>IF(OR(ISBLANK(tblSites[[#This Row],[Implementing Partner]]), tblSites[[#This Row],[Implementing Partner]]="-"), tblSites[[#This Row],[Site Agency]], tblSites[[#This Row],[Implementing Partner]])</f>
        <v>No SMA</v>
      </c>
      <c r="M1120" s="12" t="s">
        <v>55</v>
      </c>
      <c r="N1120" s="12" t="str">
        <f>tblSites[[#This Row],[FinalImplementingPartner]]</f>
        <v>No SMA</v>
      </c>
    </row>
    <row r="1121" spans="1:14" x14ac:dyDescent="0.25">
      <c r="A1121" s="12" t="s">
        <v>260</v>
      </c>
      <c r="B1121" s="12" t="s">
        <v>261</v>
      </c>
      <c r="C1121" s="12" t="s">
        <v>262</v>
      </c>
      <c r="D1121" t="s">
        <v>5314</v>
      </c>
      <c r="E1121" s="12" t="s">
        <v>3176</v>
      </c>
      <c r="F1121" s="12" t="s">
        <v>53</v>
      </c>
      <c r="G1121" s="12" t="s">
        <v>5405</v>
      </c>
      <c r="H1121" s="12" t="s">
        <v>261</v>
      </c>
      <c r="I1121" s="84">
        <v>27002154</v>
      </c>
      <c r="J1121" s="12" t="s">
        <v>7</v>
      </c>
      <c r="L1121" s="12" t="str">
        <f>IF(OR(ISBLANK(tblSites[[#This Row],[Implementing Partner]]), tblSites[[#This Row],[Implementing Partner]]="-"), tblSites[[#This Row],[Site Agency]], tblSites[[#This Row],[Implementing Partner]])</f>
        <v>ACTED</v>
      </c>
      <c r="M1121" s="12" t="s">
        <v>55</v>
      </c>
      <c r="N1121" s="12" t="str">
        <f>tblSites[[#This Row],[FinalImplementingPartner]]</f>
        <v>ACTED</v>
      </c>
    </row>
    <row r="1122" spans="1:14" x14ac:dyDescent="0.25">
      <c r="A1122" s="12" t="s">
        <v>2955</v>
      </c>
      <c r="B1122" s="12" t="s">
        <v>2956</v>
      </c>
      <c r="C1122" s="12" t="s">
        <v>2957</v>
      </c>
      <c r="D1122" t="s">
        <v>5314</v>
      </c>
      <c r="E1122" s="12" t="s">
        <v>3176</v>
      </c>
      <c r="F1122" s="12" t="s">
        <v>79</v>
      </c>
      <c r="G1122" s="12" t="s">
        <v>5419</v>
      </c>
      <c r="H1122" s="12" t="s">
        <v>2956</v>
      </c>
      <c r="I1122" s="84">
        <v>27002101</v>
      </c>
      <c r="J1122" s="12" t="s">
        <v>5102</v>
      </c>
      <c r="L1122" s="12" t="str">
        <f>IF(OR(ISBLANK(tblSites[[#This Row],[Implementing Partner]]), tblSites[[#This Row],[Implementing Partner]]="-"), tblSites[[#This Row],[Site Agency]], tblSites[[#This Row],[Implementing Partner]])</f>
        <v>No SMA</v>
      </c>
      <c r="M1122" s="12" t="s">
        <v>55</v>
      </c>
      <c r="N1122" s="12" t="str">
        <f>tblSites[[#This Row],[FinalImplementingPartner]]</f>
        <v>No SMA</v>
      </c>
    </row>
    <row r="1123" spans="1:14" x14ac:dyDescent="0.25">
      <c r="A1123" s="12" t="s">
        <v>2958</v>
      </c>
      <c r="B1123" s="12" t="s">
        <v>2959</v>
      </c>
      <c r="D1123" t="s">
        <v>5314</v>
      </c>
      <c r="E1123" s="12" t="s">
        <v>3176</v>
      </c>
      <c r="F1123" s="12" t="s">
        <v>173</v>
      </c>
      <c r="G1123" s="12" t="s">
        <v>5404</v>
      </c>
      <c r="H1123" s="12" t="s">
        <v>2959</v>
      </c>
      <c r="I1123" s="84">
        <v>27002105</v>
      </c>
      <c r="J1123" s="12" t="s">
        <v>5102</v>
      </c>
      <c r="L1123" s="12" t="str">
        <f>IF(OR(ISBLANK(tblSites[[#This Row],[Implementing Partner]]), tblSites[[#This Row],[Implementing Partner]]="-"), tblSites[[#This Row],[Site Agency]], tblSites[[#This Row],[Implementing Partner]])</f>
        <v>No SMA</v>
      </c>
      <c r="M1123" s="12" t="s">
        <v>55</v>
      </c>
      <c r="N1123" s="12" t="str">
        <f>tblSites[[#This Row],[FinalImplementingPartner]]</f>
        <v>No SMA</v>
      </c>
    </row>
    <row r="1124" spans="1:14" x14ac:dyDescent="0.25">
      <c r="A1124" s="12" t="s">
        <v>1407</v>
      </c>
      <c r="B1124" s="12" t="s">
        <v>1408</v>
      </c>
      <c r="C1124" s="12" t="s">
        <v>1409</v>
      </c>
      <c r="D1124" t="s">
        <v>5314</v>
      </c>
      <c r="E1124" s="12" t="s">
        <v>3176</v>
      </c>
      <c r="F1124" s="12" t="s">
        <v>173</v>
      </c>
      <c r="G1124" s="12" t="s">
        <v>5404</v>
      </c>
      <c r="H1124" s="12" t="s">
        <v>1408</v>
      </c>
      <c r="I1124" s="84">
        <v>27002105</v>
      </c>
      <c r="J1124" s="12" t="s">
        <v>5102</v>
      </c>
      <c r="L1124" s="12" t="str">
        <f>IF(OR(ISBLANK(tblSites[[#This Row],[Implementing Partner]]), tblSites[[#This Row],[Implementing Partner]]="-"), tblSites[[#This Row],[Site Agency]], tblSites[[#This Row],[Implementing Partner]])</f>
        <v>No SMA</v>
      </c>
      <c r="M1124" s="12" t="s">
        <v>55</v>
      </c>
      <c r="N1124" s="12" t="str">
        <f>tblSites[[#This Row],[FinalImplementingPartner]]</f>
        <v>No SMA</v>
      </c>
    </row>
    <row r="1125" spans="1:14" x14ac:dyDescent="0.25">
      <c r="A1125" s="12" t="s">
        <v>1604</v>
      </c>
      <c r="B1125" s="12" t="s">
        <v>1605</v>
      </c>
      <c r="D1125" t="s">
        <v>5314</v>
      </c>
      <c r="E1125" s="12" t="s">
        <v>3176</v>
      </c>
      <c r="F1125" s="12" t="s">
        <v>173</v>
      </c>
      <c r="G1125" s="12" t="s">
        <v>5404</v>
      </c>
      <c r="H1125" s="12" t="s">
        <v>1605</v>
      </c>
      <c r="I1125" s="84">
        <v>27002105</v>
      </c>
      <c r="J1125" s="12" t="s">
        <v>5102</v>
      </c>
      <c r="L1125" s="12" t="str">
        <f>IF(OR(ISBLANK(tblSites[[#This Row],[Implementing Partner]]), tblSites[[#This Row],[Implementing Partner]]="-"), tblSites[[#This Row],[Site Agency]], tblSites[[#This Row],[Implementing Partner]])</f>
        <v>No SMA</v>
      </c>
      <c r="M1125" s="12" t="s">
        <v>55</v>
      </c>
      <c r="N1125" s="12" t="str">
        <f>tblSites[[#This Row],[FinalImplementingPartner]]</f>
        <v>No SMA</v>
      </c>
    </row>
    <row r="1126" spans="1:14" x14ac:dyDescent="0.25">
      <c r="A1126" s="12" t="s">
        <v>1040</v>
      </c>
      <c r="B1126" s="12" t="s">
        <v>1041</v>
      </c>
      <c r="C1126" s="12" t="s">
        <v>1042</v>
      </c>
      <c r="D1126" t="s">
        <v>5314</v>
      </c>
      <c r="E1126" s="12" t="s">
        <v>3176</v>
      </c>
      <c r="F1126" s="12" t="s">
        <v>53</v>
      </c>
      <c r="G1126" s="12" t="s">
        <v>5413</v>
      </c>
      <c r="H1126" s="12" t="s">
        <v>1041</v>
      </c>
      <c r="I1126" s="84">
        <v>27002154</v>
      </c>
      <c r="J1126" s="12" t="s">
        <v>54</v>
      </c>
      <c r="L1126" s="12" t="str">
        <f>IF(OR(ISBLANK(tblSites[[#This Row],[Implementing Partner]]), tblSites[[#This Row],[Implementing Partner]]="-"), tblSites[[#This Row],[Site Agency]], tblSites[[#This Row],[Implementing Partner]])</f>
        <v>PHC</v>
      </c>
      <c r="M1126" s="12" t="s">
        <v>55</v>
      </c>
      <c r="N1126" s="12" t="str">
        <f>tblSites[[#This Row],[FinalImplementingPartner]]</f>
        <v>PHC</v>
      </c>
    </row>
    <row r="1127" spans="1:14" x14ac:dyDescent="0.25">
      <c r="A1127" s="12" t="s">
        <v>898</v>
      </c>
      <c r="B1127" s="12" t="s">
        <v>899</v>
      </c>
      <c r="C1127" s="12" t="s">
        <v>900</v>
      </c>
      <c r="D1127" t="s">
        <v>5314</v>
      </c>
      <c r="E1127" s="12" t="s">
        <v>3176</v>
      </c>
      <c r="F1127" s="12" t="s">
        <v>53</v>
      </c>
      <c r="G1127" s="12" t="s">
        <v>5413</v>
      </c>
      <c r="H1127" s="12" t="s">
        <v>899</v>
      </c>
      <c r="I1127" s="84">
        <v>27002154</v>
      </c>
      <c r="J1127" s="12" t="s">
        <v>54</v>
      </c>
      <c r="L1127" s="12" t="str">
        <f>IF(OR(ISBLANK(tblSites[[#This Row],[Implementing Partner]]), tblSites[[#This Row],[Implementing Partner]]="-"), tblSites[[#This Row],[Site Agency]], tblSites[[#This Row],[Implementing Partner]])</f>
        <v>PHC</v>
      </c>
      <c r="M1127" s="12" t="s">
        <v>55</v>
      </c>
      <c r="N1127" s="12" t="str">
        <f>tblSites[[#This Row],[FinalImplementingPartner]]</f>
        <v>PHC</v>
      </c>
    </row>
    <row r="1128" spans="1:14" x14ac:dyDescent="0.25">
      <c r="A1128" s="12" t="s">
        <v>762</v>
      </c>
      <c r="B1128" s="12" t="s">
        <v>763</v>
      </c>
      <c r="C1128" s="12" t="s">
        <v>764</v>
      </c>
      <c r="D1128" t="s">
        <v>5314</v>
      </c>
      <c r="E1128" s="12" t="s">
        <v>3176</v>
      </c>
      <c r="F1128" s="12" t="s">
        <v>53</v>
      </c>
      <c r="G1128" s="12" t="s">
        <v>5413</v>
      </c>
      <c r="H1128" s="12" t="s">
        <v>763</v>
      </c>
      <c r="I1128" s="84">
        <v>27002154</v>
      </c>
      <c r="J1128" s="12" t="s">
        <v>54</v>
      </c>
      <c r="K1128" s="12" t="s">
        <v>389</v>
      </c>
      <c r="L1128" s="12" t="str">
        <f>IF(OR(ISBLANK(tblSites[[#This Row],[Implementing Partner]]), tblSites[[#This Row],[Implementing Partner]]="-"), tblSites[[#This Row],[Site Agency]], tblSites[[#This Row],[Implementing Partner]])</f>
        <v>PHC</v>
      </c>
      <c r="M1128" s="12" t="s">
        <v>55</v>
      </c>
      <c r="N1128" s="12" t="str">
        <f>tblSites[[#This Row],[FinalImplementingPartner]]</f>
        <v>PHC</v>
      </c>
    </row>
    <row r="1129" spans="1:14" x14ac:dyDescent="0.25">
      <c r="A1129" s="12" t="s">
        <v>813</v>
      </c>
      <c r="B1129" s="12" t="s">
        <v>814</v>
      </c>
      <c r="C1129" s="12" t="s">
        <v>815</v>
      </c>
      <c r="D1129" t="s">
        <v>5314</v>
      </c>
      <c r="E1129" s="12" t="s">
        <v>3176</v>
      </c>
      <c r="F1129" s="12" t="s">
        <v>53</v>
      </c>
      <c r="G1129" s="12" t="s">
        <v>5413</v>
      </c>
      <c r="H1129" s="12" t="s">
        <v>814</v>
      </c>
      <c r="I1129" s="84">
        <v>27002154</v>
      </c>
      <c r="J1129" s="12" t="s">
        <v>54</v>
      </c>
      <c r="L1129" s="12" t="str">
        <f>IF(OR(ISBLANK(tblSites[[#This Row],[Implementing Partner]]), tblSites[[#This Row],[Implementing Partner]]="-"), tblSites[[#This Row],[Site Agency]], tblSites[[#This Row],[Implementing Partner]])</f>
        <v>PHC</v>
      </c>
      <c r="M1129" s="12" t="s">
        <v>55</v>
      </c>
      <c r="N1129" s="12" t="str">
        <f>tblSites[[#This Row],[FinalImplementingPartner]]</f>
        <v>PHC</v>
      </c>
    </row>
    <row r="1130" spans="1:14" x14ac:dyDescent="0.25">
      <c r="A1130" s="12" t="s">
        <v>1066</v>
      </c>
      <c r="B1130" s="12" t="s">
        <v>1067</v>
      </c>
      <c r="C1130" s="12" t="s">
        <v>1068</v>
      </c>
      <c r="D1130" t="s">
        <v>5314</v>
      </c>
      <c r="E1130" s="12" t="s">
        <v>3176</v>
      </c>
      <c r="F1130" s="12" t="s">
        <v>53</v>
      </c>
      <c r="G1130" s="12" t="s">
        <v>5413</v>
      </c>
      <c r="H1130" s="12" t="s">
        <v>1067</v>
      </c>
      <c r="I1130" s="84">
        <v>27002154</v>
      </c>
      <c r="J1130" s="12" t="s">
        <v>54</v>
      </c>
      <c r="L1130" s="12" t="str">
        <f>IF(OR(ISBLANK(tblSites[[#This Row],[Implementing Partner]]), tblSites[[#This Row],[Implementing Partner]]="-"), tblSites[[#This Row],[Site Agency]], tblSites[[#This Row],[Implementing Partner]])</f>
        <v>PHC</v>
      </c>
      <c r="M1130" s="12" t="s">
        <v>55</v>
      </c>
      <c r="N1130" s="12" t="str">
        <f>tblSites[[#This Row],[FinalImplementingPartner]]</f>
        <v>PHC</v>
      </c>
    </row>
    <row r="1131" spans="1:14" x14ac:dyDescent="0.25">
      <c r="A1131" s="12" t="s">
        <v>850</v>
      </c>
      <c r="B1131" s="12" t="s">
        <v>851</v>
      </c>
      <c r="C1131" s="12" t="s">
        <v>852</v>
      </c>
      <c r="D1131" t="s">
        <v>5314</v>
      </c>
      <c r="E1131" s="12" t="s">
        <v>3176</v>
      </c>
      <c r="F1131" s="12" t="s">
        <v>53</v>
      </c>
      <c r="G1131" s="12" t="s">
        <v>5413</v>
      </c>
      <c r="H1131" s="12" t="s">
        <v>851</v>
      </c>
      <c r="I1131" s="84">
        <v>27002154</v>
      </c>
      <c r="J1131" s="12" t="s">
        <v>34</v>
      </c>
      <c r="K1131" s="12" t="s">
        <v>54</v>
      </c>
      <c r="L1131" s="12" t="str">
        <f>IF(OR(ISBLANK(tblSites[[#This Row],[Implementing Partner]]), tblSites[[#This Row],[Implementing Partner]]="-"), tblSites[[#This Row],[Site Agency]], tblSites[[#This Row],[Implementing Partner]])</f>
        <v>PHC</v>
      </c>
      <c r="M1131" s="12" t="s">
        <v>55</v>
      </c>
      <c r="N1131" s="12" t="str">
        <f>tblSites[[#This Row],[FinalImplementingPartner]]</f>
        <v>PHC</v>
      </c>
    </row>
    <row r="1132" spans="1:14" x14ac:dyDescent="0.25">
      <c r="A1132" s="12" t="s">
        <v>765</v>
      </c>
      <c r="B1132" s="12" t="s">
        <v>766</v>
      </c>
      <c r="C1132" s="12" t="s">
        <v>767</v>
      </c>
      <c r="D1132" t="s">
        <v>5314</v>
      </c>
      <c r="E1132" s="12" t="s">
        <v>3176</v>
      </c>
      <c r="F1132" s="12" t="s">
        <v>53</v>
      </c>
      <c r="G1132" s="12" t="s">
        <v>5413</v>
      </c>
      <c r="H1132" s="12" t="s">
        <v>766</v>
      </c>
      <c r="I1132" s="84">
        <v>27002154</v>
      </c>
      <c r="J1132" s="12" t="s">
        <v>34</v>
      </c>
      <c r="K1132" s="12" t="s">
        <v>54</v>
      </c>
      <c r="L1132" s="12" t="str">
        <f>IF(OR(ISBLANK(tblSites[[#This Row],[Implementing Partner]]), tblSites[[#This Row],[Implementing Partner]]="-"), tblSites[[#This Row],[Site Agency]], tblSites[[#This Row],[Implementing Partner]])</f>
        <v>PHC</v>
      </c>
      <c r="M1132" s="12" t="s">
        <v>55</v>
      </c>
      <c r="N1132" s="12" t="str">
        <f>tblSites[[#This Row],[FinalImplementingPartner]]</f>
        <v>PHC</v>
      </c>
    </row>
    <row r="1133" spans="1:14" x14ac:dyDescent="0.25">
      <c r="A1133" s="12" t="s">
        <v>1001</v>
      </c>
      <c r="B1133" s="12" t="s">
        <v>1002</v>
      </c>
      <c r="C1133" s="12" t="s">
        <v>1003</v>
      </c>
      <c r="D1133" t="s">
        <v>5314</v>
      </c>
      <c r="E1133" s="12" t="s">
        <v>3176</v>
      </c>
      <c r="F1133" s="12" t="s">
        <v>53</v>
      </c>
      <c r="G1133" s="12" t="s">
        <v>5413</v>
      </c>
      <c r="H1133" s="12" t="s">
        <v>1002</v>
      </c>
      <c r="I1133" s="84">
        <v>27002154</v>
      </c>
      <c r="J1133" s="12" t="s">
        <v>54</v>
      </c>
      <c r="L1133" s="12" t="str">
        <f>IF(OR(ISBLANK(tblSites[[#This Row],[Implementing Partner]]), tblSites[[#This Row],[Implementing Partner]]="-"), tblSites[[#This Row],[Site Agency]], tblSites[[#This Row],[Implementing Partner]])</f>
        <v>PHC</v>
      </c>
      <c r="M1133" s="12" t="s">
        <v>55</v>
      </c>
      <c r="N1133" s="12" t="str">
        <f>tblSites[[#This Row],[FinalImplementingPartner]]</f>
        <v>PHC</v>
      </c>
    </row>
    <row r="1134" spans="1:14" x14ac:dyDescent="0.25">
      <c r="A1134" s="12" t="s">
        <v>738</v>
      </c>
      <c r="B1134" s="12" t="s">
        <v>739</v>
      </c>
      <c r="C1134" s="12" t="s">
        <v>740</v>
      </c>
      <c r="D1134" t="s">
        <v>5314</v>
      </c>
      <c r="E1134" s="12" t="s">
        <v>3176</v>
      </c>
      <c r="F1134" s="12" t="s">
        <v>53</v>
      </c>
      <c r="G1134" s="12" t="s">
        <v>5413</v>
      </c>
      <c r="H1134" s="12" t="s">
        <v>739</v>
      </c>
      <c r="I1134" s="84">
        <v>27002154</v>
      </c>
      <c r="J1134" s="12" t="s">
        <v>54</v>
      </c>
      <c r="L1134" s="12" t="str">
        <f>IF(OR(ISBLANK(tblSites[[#This Row],[Implementing Partner]]), tblSites[[#This Row],[Implementing Partner]]="-"), tblSites[[#This Row],[Site Agency]], tblSites[[#This Row],[Implementing Partner]])</f>
        <v>PHC</v>
      </c>
      <c r="M1134" s="12" t="s">
        <v>55</v>
      </c>
      <c r="N1134" s="12" t="str">
        <f>tblSites[[#This Row],[FinalImplementingPartner]]</f>
        <v>PHC</v>
      </c>
    </row>
    <row r="1135" spans="1:14" x14ac:dyDescent="0.25">
      <c r="A1135" s="12" t="s">
        <v>2117</v>
      </c>
      <c r="B1135" s="12" t="s">
        <v>2118</v>
      </c>
      <c r="C1135" s="12" t="s">
        <v>2119</v>
      </c>
      <c r="D1135" t="s">
        <v>5314</v>
      </c>
      <c r="E1135" s="12" t="s">
        <v>3176</v>
      </c>
      <c r="F1135" s="12" t="s">
        <v>79</v>
      </c>
      <c r="G1135" s="12" t="s">
        <v>5419</v>
      </c>
      <c r="H1135" s="12" t="s">
        <v>2118</v>
      </c>
      <c r="I1135" s="84">
        <v>27002101</v>
      </c>
      <c r="J1135" s="12" t="s">
        <v>5102</v>
      </c>
      <c r="L1135" s="12" t="str">
        <f>IF(OR(ISBLANK(tblSites[[#This Row],[Implementing Partner]]), tblSites[[#This Row],[Implementing Partner]]="-"), tblSites[[#This Row],[Site Agency]], tblSites[[#This Row],[Implementing Partner]])</f>
        <v>No SMA</v>
      </c>
      <c r="M1135" s="12" t="s">
        <v>55</v>
      </c>
      <c r="N1135" s="12" t="str">
        <f>tblSites[[#This Row],[FinalImplementingPartner]]</f>
        <v>No SMA</v>
      </c>
    </row>
    <row r="1136" spans="1:14" x14ac:dyDescent="0.25">
      <c r="A1136" s="12" t="s">
        <v>1043</v>
      </c>
      <c r="B1136" s="12" t="s">
        <v>1044</v>
      </c>
      <c r="C1136" s="12" t="s">
        <v>876</v>
      </c>
      <c r="D1136" t="s">
        <v>5314</v>
      </c>
      <c r="E1136" s="12" t="s">
        <v>3176</v>
      </c>
      <c r="F1136" s="12" t="s">
        <v>53</v>
      </c>
      <c r="G1136" s="12" t="s">
        <v>5413</v>
      </c>
      <c r="H1136" s="12" t="s">
        <v>1044</v>
      </c>
      <c r="I1136" s="84">
        <v>27002154</v>
      </c>
      <c r="J1136" s="12" t="s">
        <v>34</v>
      </c>
      <c r="K1136" s="12" t="s">
        <v>54</v>
      </c>
      <c r="L1136" s="12" t="str">
        <f>IF(OR(ISBLANK(tblSites[[#This Row],[Implementing Partner]]), tblSites[[#This Row],[Implementing Partner]]="-"), tblSites[[#This Row],[Site Agency]], tblSites[[#This Row],[Implementing Partner]])</f>
        <v>PHC</v>
      </c>
      <c r="M1136" s="12" t="s">
        <v>55</v>
      </c>
      <c r="N1136" s="12" t="str">
        <f>tblSites[[#This Row],[FinalImplementingPartner]]</f>
        <v>PHC</v>
      </c>
    </row>
    <row r="1137" spans="1:14" x14ac:dyDescent="0.25">
      <c r="A1137" s="12" t="s">
        <v>984</v>
      </c>
      <c r="B1137" s="12" t="s">
        <v>985</v>
      </c>
      <c r="C1137" s="12" t="s">
        <v>986</v>
      </c>
      <c r="D1137" t="s">
        <v>5314</v>
      </c>
      <c r="E1137" s="12" t="s">
        <v>3176</v>
      </c>
      <c r="F1137" s="12" t="s">
        <v>53</v>
      </c>
      <c r="G1137" s="12" t="s">
        <v>5413</v>
      </c>
      <c r="H1137" s="12" t="s">
        <v>985</v>
      </c>
      <c r="I1137" s="84">
        <v>27002154</v>
      </c>
      <c r="J1137" s="12" t="s">
        <v>54</v>
      </c>
      <c r="L1137" s="12" t="str">
        <f>IF(OR(ISBLANK(tblSites[[#This Row],[Implementing Partner]]), tblSites[[#This Row],[Implementing Partner]]="-"), tblSites[[#This Row],[Site Agency]], tblSites[[#This Row],[Implementing Partner]])</f>
        <v>PHC</v>
      </c>
      <c r="M1137" s="12" t="s">
        <v>55</v>
      </c>
      <c r="N1137" s="12" t="str">
        <f>tblSites[[#This Row],[FinalImplementingPartner]]</f>
        <v>PHC</v>
      </c>
    </row>
    <row r="1138" spans="1:14" x14ac:dyDescent="0.25">
      <c r="A1138" s="12" t="s">
        <v>780</v>
      </c>
      <c r="B1138" s="12" t="s">
        <v>781</v>
      </c>
      <c r="C1138" s="12" t="s">
        <v>782</v>
      </c>
      <c r="D1138" t="s">
        <v>5314</v>
      </c>
      <c r="E1138" s="12" t="s">
        <v>3176</v>
      </c>
      <c r="F1138" s="12" t="s">
        <v>53</v>
      </c>
      <c r="G1138" s="12" t="s">
        <v>5413</v>
      </c>
      <c r="H1138" s="12" t="s">
        <v>781</v>
      </c>
      <c r="I1138" s="84">
        <v>27002154</v>
      </c>
      <c r="J1138" s="12" t="s">
        <v>54</v>
      </c>
      <c r="L1138" s="12" t="str">
        <f>IF(OR(ISBLANK(tblSites[[#This Row],[Implementing Partner]]), tblSites[[#This Row],[Implementing Partner]]="-"), tblSites[[#This Row],[Site Agency]], tblSites[[#This Row],[Implementing Partner]])</f>
        <v>PHC</v>
      </c>
      <c r="M1138" s="12" t="s">
        <v>55</v>
      </c>
      <c r="N1138" s="12" t="str">
        <f>tblSites[[#This Row],[FinalImplementingPartner]]</f>
        <v>PHC</v>
      </c>
    </row>
    <row r="1139" spans="1:14" x14ac:dyDescent="0.25">
      <c r="A1139" s="12" t="s">
        <v>2040</v>
      </c>
      <c r="B1139" s="12" t="s">
        <v>2041</v>
      </c>
      <c r="C1139" s="12" t="s">
        <v>2042</v>
      </c>
      <c r="D1139" t="s">
        <v>5314</v>
      </c>
      <c r="E1139" s="12" t="s">
        <v>3176</v>
      </c>
      <c r="F1139" s="12" t="s">
        <v>79</v>
      </c>
      <c r="G1139" s="12" t="s">
        <v>5419</v>
      </c>
      <c r="H1139" s="12" t="s">
        <v>2041</v>
      </c>
      <c r="I1139" s="84">
        <v>27002101</v>
      </c>
      <c r="J1139" s="12" t="s">
        <v>5102</v>
      </c>
      <c r="L1139" s="12" t="str">
        <f>IF(OR(ISBLANK(tblSites[[#This Row],[Implementing Partner]]), tblSites[[#This Row],[Implementing Partner]]="-"), tblSites[[#This Row],[Site Agency]], tblSites[[#This Row],[Implementing Partner]])</f>
        <v>No SMA</v>
      </c>
      <c r="M1139" s="12" t="s">
        <v>55</v>
      </c>
      <c r="N1139" s="12" t="str">
        <f>tblSites[[#This Row],[FinalImplementingPartner]]</f>
        <v>No SMA</v>
      </c>
    </row>
    <row r="1140" spans="1:14" x14ac:dyDescent="0.25">
      <c r="A1140" s="12" t="s">
        <v>2960</v>
      </c>
      <c r="B1140" s="12" t="s">
        <v>2961</v>
      </c>
      <c r="C1140" s="12" t="s">
        <v>1685</v>
      </c>
      <c r="D1140" t="s">
        <v>5314</v>
      </c>
      <c r="E1140" s="12" t="s">
        <v>3176</v>
      </c>
      <c r="F1140" s="12" t="s">
        <v>79</v>
      </c>
      <c r="G1140" s="12" t="s">
        <v>5419</v>
      </c>
      <c r="H1140" s="12" t="s">
        <v>2961</v>
      </c>
      <c r="I1140" s="84">
        <v>27002101</v>
      </c>
      <c r="J1140" s="12" t="s">
        <v>5102</v>
      </c>
      <c r="L1140" s="12" t="str">
        <f>IF(OR(ISBLANK(tblSites[[#This Row],[Implementing Partner]]), tblSites[[#This Row],[Implementing Partner]]="-"), tblSites[[#This Row],[Site Agency]], tblSites[[#This Row],[Implementing Partner]])</f>
        <v>No SMA</v>
      </c>
      <c r="M1140" s="12" t="s">
        <v>55</v>
      </c>
      <c r="N1140" s="12" t="str">
        <f>tblSites[[#This Row],[FinalImplementingPartner]]</f>
        <v>No SMA</v>
      </c>
    </row>
    <row r="1141" spans="1:14" x14ac:dyDescent="0.25">
      <c r="A1141" s="12" t="s">
        <v>2962</v>
      </c>
      <c r="B1141" s="12" t="s">
        <v>2963</v>
      </c>
      <c r="C1141" s="12" t="s">
        <v>2964</v>
      </c>
      <c r="D1141" t="s">
        <v>5314</v>
      </c>
      <c r="E1141" s="12" t="s">
        <v>3176</v>
      </c>
      <c r="F1141" s="12" t="s">
        <v>79</v>
      </c>
      <c r="G1141" s="12" t="s">
        <v>5419</v>
      </c>
      <c r="H1141" s="12" t="s">
        <v>2963</v>
      </c>
      <c r="I1141" s="84">
        <v>27002101</v>
      </c>
      <c r="J1141" s="12" t="s">
        <v>5102</v>
      </c>
      <c r="L1141" s="12" t="str">
        <f>IF(OR(ISBLANK(tblSites[[#This Row],[Implementing Partner]]), tblSites[[#This Row],[Implementing Partner]]="-"), tblSites[[#This Row],[Site Agency]], tblSites[[#This Row],[Implementing Partner]])</f>
        <v>No SMA</v>
      </c>
      <c r="M1141" s="12" t="s">
        <v>55</v>
      </c>
      <c r="N1141" s="12" t="str">
        <f>tblSites[[#This Row],[FinalImplementingPartner]]</f>
        <v>No SMA</v>
      </c>
    </row>
    <row r="1142" spans="1:14" x14ac:dyDescent="0.25">
      <c r="A1142" s="12" t="s">
        <v>2184</v>
      </c>
      <c r="B1142" s="12" t="s">
        <v>2185</v>
      </c>
      <c r="C1142" s="12" t="s">
        <v>2186</v>
      </c>
      <c r="D1142" t="s">
        <v>5314</v>
      </c>
      <c r="E1142" s="12" t="s">
        <v>3176</v>
      </c>
      <c r="F1142" s="12" t="s">
        <v>79</v>
      </c>
      <c r="G1142" s="12" t="s">
        <v>5419</v>
      </c>
      <c r="H1142" s="12" t="s">
        <v>2185</v>
      </c>
      <c r="I1142" s="84">
        <v>27002101</v>
      </c>
      <c r="J1142" s="12" t="s">
        <v>5102</v>
      </c>
      <c r="L1142" s="12" t="str">
        <f>IF(OR(ISBLANK(tblSites[[#This Row],[Implementing Partner]]), tblSites[[#This Row],[Implementing Partner]]="-"), tblSites[[#This Row],[Site Agency]], tblSites[[#This Row],[Implementing Partner]])</f>
        <v>No SMA</v>
      </c>
      <c r="M1142" s="12" t="s">
        <v>55</v>
      </c>
      <c r="N1142" s="12" t="str">
        <f>tblSites[[#This Row],[FinalImplementingPartner]]</f>
        <v>No SMA</v>
      </c>
    </row>
    <row r="1143" spans="1:14" x14ac:dyDescent="0.25">
      <c r="A1143" s="12" t="s">
        <v>447</v>
      </c>
      <c r="B1143" s="12" t="s">
        <v>448</v>
      </c>
      <c r="C1143" s="12" t="s">
        <v>449</v>
      </c>
      <c r="D1143" t="s">
        <v>5314</v>
      </c>
      <c r="E1143" s="12" t="s">
        <v>3176</v>
      </c>
      <c r="F1143" s="12" t="s">
        <v>79</v>
      </c>
      <c r="G1143" s="12" t="s">
        <v>5419</v>
      </c>
      <c r="H1143" s="12" t="s">
        <v>448</v>
      </c>
      <c r="I1143" s="84">
        <v>27002101</v>
      </c>
      <c r="J1143" s="12" t="s">
        <v>5102</v>
      </c>
      <c r="L1143" s="12" t="str">
        <f>IF(OR(ISBLANK(tblSites[[#This Row],[Implementing Partner]]), tblSites[[#This Row],[Implementing Partner]]="-"), tblSites[[#This Row],[Site Agency]], tblSites[[#This Row],[Implementing Partner]])</f>
        <v>No SMA</v>
      </c>
      <c r="M1143" s="12" t="s">
        <v>55</v>
      </c>
      <c r="N1143" s="12" t="str">
        <f>tblSites[[#This Row],[FinalImplementingPartner]]</f>
        <v>No SMA</v>
      </c>
    </row>
    <row r="1144" spans="1:14" x14ac:dyDescent="0.25">
      <c r="A1144" s="12" t="s">
        <v>2546</v>
      </c>
      <c r="B1144" s="12" t="s">
        <v>2547</v>
      </c>
      <c r="C1144" s="12" t="s">
        <v>497</v>
      </c>
      <c r="D1144" t="s">
        <v>5314</v>
      </c>
      <c r="E1144" s="12" t="s">
        <v>3176</v>
      </c>
      <c r="F1144" s="12" t="s">
        <v>53</v>
      </c>
      <c r="G1144" s="12" t="s">
        <v>5406</v>
      </c>
      <c r="H1144" s="12" t="s">
        <v>2547</v>
      </c>
      <c r="I1144" s="84">
        <v>27002154</v>
      </c>
      <c r="J1144" s="12" t="s">
        <v>5102</v>
      </c>
      <c r="L1144" s="12" t="str">
        <f>IF(OR(ISBLANK(tblSites[[#This Row],[Implementing Partner]]), tblSites[[#This Row],[Implementing Partner]]="-"), tblSites[[#This Row],[Site Agency]], tblSites[[#This Row],[Implementing Partner]])</f>
        <v>No SMA</v>
      </c>
      <c r="M1144" s="12" t="s">
        <v>55</v>
      </c>
      <c r="N1144" s="12" t="str">
        <f>tblSites[[#This Row],[FinalImplementingPartner]]</f>
        <v>No SMA</v>
      </c>
    </row>
    <row r="1145" spans="1:14" x14ac:dyDescent="0.25">
      <c r="A1145" s="12" t="s">
        <v>1438</v>
      </c>
      <c r="B1145" s="12" t="s">
        <v>1439</v>
      </c>
      <c r="C1145" s="12" t="s">
        <v>1440</v>
      </c>
      <c r="D1145" t="s">
        <v>5314</v>
      </c>
      <c r="E1145" s="12" t="s">
        <v>3176</v>
      </c>
      <c r="F1145" s="12" t="s">
        <v>53</v>
      </c>
      <c r="G1145" s="12" t="s">
        <v>5406</v>
      </c>
      <c r="H1145" s="12" t="s">
        <v>1439</v>
      </c>
      <c r="I1145" s="84">
        <v>27002154</v>
      </c>
      <c r="J1145" s="12" t="s">
        <v>5102</v>
      </c>
      <c r="L1145" s="12" t="str">
        <f>IF(OR(ISBLANK(tblSites[[#This Row],[Implementing Partner]]), tblSites[[#This Row],[Implementing Partner]]="-"), tblSites[[#This Row],[Site Agency]], tblSites[[#This Row],[Implementing Partner]])</f>
        <v>No SMA</v>
      </c>
      <c r="M1145" s="12" t="s">
        <v>55</v>
      </c>
      <c r="N1145" s="12" t="str">
        <f>tblSites[[#This Row],[FinalImplementingPartner]]</f>
        <v>No SMA</v>
      </c>
    </row>
    <row r="1146" spans="1:14" x14ac:dyDescent="0.25">
      <c r="A1146" s="12" t="s">
        <v>1198</v>
      </c>
      <c r="B1146" s="12" t="s">
        <v>1199</v>
      </c>
      <c r="C1146" s="12" t="s">
        <v>1200</v>
      </c>
      <c r="D1146" t="s">
        <v>5314</v>
      </c>
      <c r="E1146" s="12" t="s">
        <v>3176</v>
      </c>
      <c r="F1146" s="12" t="s">
        <v>53</v>
      </c>
      <c r="G1146" s="12" t="s">
        <v>5406</v>
      </c>
      <c r="H1146" s="12" t="s">
        <v>1199</v>
      </c>
      <c r="I1146" s="84">
        <v>27002154</v>
      </c>
      <c r="J1146" s="12" t="s">
        <v>5102</v>
      </c>
      <c r="L1146" s="12" t="str">
        <f>IF(OR(ISBLANK(tblSites[[#This Row],[Implementing Partner]]), tblSites[[#This Row],[Implementing Partner]]="-"), tblSites[[#This Row],[Site Agency]], tblSites[[#This Row],[Implementing Partner]])</f>
        <v>No SMA</v>
      </c>
      <c r="M1146" s="12" t="s">
        <v>55</v>
      </c>
      <c r="N1146" s="12" t="str">
        <f>tblSites[[#This Row],[FinalImplementingPartner]]</f>
        <v>No SMA</v>
      </c>
    </row>
    <row r="1147" spans="1:14" x14ac:dyDescent="0.25">
      <c r="A1147" s="12" t="s">
        <v>1397</v>
      </c>
      <c r="B1147" s="12" t="s">
        <v>1398</v>
      </c>
      <c r="C1147" s="12" t="s">
        <v>1399</v>
      </c>
      <c r="D1147" t="s">
        <v>5314</v>
      </c>
      <c r="E1147" s="12" t="s">
        <v>3176</v>
      </c>
      <c r="F1147" s="12" t="s">
        <v>53</v>
      </c>
      <c r="G1147" s="12" t="s">
        <v>5406</v>
      </c>
      <c r="H1147" s="12" t="s">
        <v>1398</v>
      </c>
      <c r="I1147" s="84">
        <v>27002154</v>
      </c>
      <c r="J1147" s="12" t="s">
        <v>5102</v>
      </c>
      <c r="L1147" s="12" t="str">
        <f>IF(OR(ISBLANK(tblSites[[#This Row],[Implementing Partner]]), tblSites[[#This Row],[Implementing Partner]]="-"), tblSites[[#This Row],[Site Agency]], tblSites[[#This Row],[Implementing Partner]])</f>
        <v>No SMA</v>
      </c>
      <c r="M1147" s="12" t="s">
        <v>55</v>
      </c>
      <c r="N1147" s="12" t="str">
        <f>tblSites[[#This Row],[FinalImplementingPartner]]</f>
        <v>No SMA</v>
      </c>
    </row>
    <row r="1148" spans="1:14" x14ac:dyDescent="0.25">
      <c r="A1148" s="12" t="s">
        <v>680</v>
      </c>
      <c r="B1148" s="12" t="s">
        <v>681</v>
      </c>
      <c r="C1148" s="12" t="s">
        <v>682</v>
      </c>
      <c r="D1148" t="s">
        <v>5314</v>
      </c>
      <c r="E1148" s="12" t="s">
        <v>3176</v>
      </c>
      <c r="F1148" s="12" t="s">
        <v>53</v>
      </c>
      <c r="G1148" s="12" t="s">
        <v>5405</v>
      </c>
      <c r="H1148" s="12" t="s">
        <v>681</v>
      </c>
      <c r="I1148" s="84">
        <v>27002154</v>
      </c>
      <c r="J1148" s="12" t="s">
        <v>7</v>
      </c>
      <c r="L1148" s="12" t="str">
        <f>IF(OR(ISBLANK(tblSites[[#This Row],[Implementing Partner]]), tblSites[[#This Row],[Implementing Partner]]="-"), tblSites[[#This Row],[Site Agency]], tblSites[[#This Row],[Implementing Partner]])</f>
        <v>ACTED</v>
      </c>
      <c r="M1148" s="12" t="s">
        <v>55</v>
      </c>
      <c r="N1148" s="12" t="str">
        <f>tblSites[[#This Row],[FinalImplementingPartner]]</f>
        <v>ACTED</v>
      </c>
    </row>
    <row r="1149" spans="1:14" x14ac:dyDescent="0.25">
      <c r="A1149" s="12" t="s">
        <v>2965</v>
      </c>
      <c r="B1149" s="12" t="s">
        <v>2966</v>
      </c>
      <c r="C1149" s="12" t="s">
        <v>2967</v>
      </c>
      <c r="D1149" t="s">
        <v>5314</v>
      </c>
      <c r="E1149" s="12" t="s">
        <v>3176</v>
      </c>
      <c r="F1149" s="12" t="s">
        <v>79</v>
      </c>
      <c r="G1149" s="12" t="s">
        <v>5419</v>
      </c>
      <c r="H1149" s="12" t="s">
        <v>2966</v>
      </c>
      <c r="I1149" s="84">
        <v>27002101</v>
      </c>
      <c r="J1149" s="12" t="s">
        <v>5102</v>
      </c>
      <c r="L1149" s="12" t="str">
        <f>IF(OR(ISBLANK(tblSites[[#This Row],[Implementing Partner]]), tblSites[[#This Row],[Implementing Partner]]="-"), tblSites[[#This Row],[Site Agency]], tblSites[[#This Row],[Implementing Partner]])</f>
        <v>No SMA</v>
      </c>
      <c r="M1149" s="12" t="s">
        <v>55</v>
      </c>
      <c r="N1149" s="12" t="str">
        <f>tblSites[[#This Row],[FinalImplementingPartner]]</f>
        <v>No SMA</v>
      </c>
    </row>
    <row r="1150" spans="1:14" x14ac:dyDescent="0.25">
      <c r="A1150" s="12" t="s">
        <v>2120</v>
      </c>
      <c r="B1150" s="12" t="s">
        <v>2121</v>
      </c>
      <c r="C1150" s="12" t="s">
        <v>2122</v>
      </c>
      <c r="D1150" t="s">
        <v>5314</v>
      </c>
      <c r="E1150" s="12" t="s">
        <v>3176</v>
      </c>
      <c r="F1150" s="12" t="s">
        <v>79</v>
      </c>
      <c r="G1150" s="12" t="s">
        <v>5419</v>
      </c>
      <c r="H1150" s="12" t="s">
        <v>2121</v>
      </c>
      <c r="I1150" s="84">
        <v>27002101</v>
      </c>
      <c r="J1150" s="12" t="s">
        <v>5102</v>
      </c>
      <c r="L1150" s="12" t="str">
        <f>IF(OR(ISBLANK(tblSites[[#This Row],[Implementing Partner]]), tblSites[[#This Row],[Implementing Partner]]="-"), tblSites[[#This Row],[Site Agency]], tblSites[[#This Row],[Implementing Partner]])</f>
        <v>No SMA</v>
      </c>
      <c r="M1150" s="12" t="s">
        <v>55</v>
      </c>
      <c r="N1150" s="12" t="str">
        <f>tblSites[[#This Row],[FinalImplementingPartner]]</f>
        <v>No SMA</v>
      </c>
    </row>
    <row r="1151" spans="1:14" x14ac:dyDescent="0.25">
      <c r="A1151" s="12" t="s">
        <v>651</v>
      </c>
      <c r="B1151" s="12" t="s">
        <v>652</v>
      </c>
      <c r="C1151" s="12" t="s">
        <v>653</v>
      </c>
      <c r="D1151" t="s">
        <v>5314</v>
      </c>
      <c r="E1151" s="12" t="s">
        <v>3176</v>
      </c>
      <c r="F1151" s="12" t="s">
        <v>53</v>
      </c>
      <c r="G1151" s="12" t="s">
        <v>5405</v>
      </c>
      <c r="H1151" s="12" t="s">
        <v>652</v>
      </c>
      <c r="I1151" s="84">
        <v>27002154</v>
      </c>
      <c r="J1151" s="12" t="s">
        <v>7</v>
      </c>
      <c r="L1151" s="12" t="str">
        <f>IF(OR(ISBLANK(tblSites[[#This Row],[Implementing Partner]]), tblSites[[#This Row],[Implementing Partner]]="-"), tblSites[[#This Row],[Site Agency]], tblSites[[#This Row],[Implementing Partner]])</f>
        <v>ACTED</v>
      </c>
      <c r="M1151" s="12" t="s">
        <v>55</v>
      </c>
      <c r="N1151" s="12" t="str">
        <f>tblSites[[#This Row],[FinalImplementingPartner]]</f>
        <v>ACTED</v>
      </c>
    </row>
    <row r="1152" spans="1:14" x14ac:dyDescent="0.25">
      <c r="A1152" s="12" t="s">
        <v>463</v>
      </c>
      <c r="B1152" s="12" t="s">
        <v>464</v>
      </c>
      <c r="C1152" s="12" t="s">
        <v>465</v>
      </c>
      <c r="D1152" t="s">
        <v>5314</v>
      </c>
      <c r="E1152" s="12" t="s">
        <v>3176</v>
      </c>
      <c r="F1152" s="12" t="s">
        <v>173</v>
      </c>
      <c r="G1152" s="12" t="s">
        <v>5414</v>
      </c>
      <c r="H1152" s="12" t="s">
        <v>464</v>
      </c>
      <c r="I1152" s="84">
        <v>27002105</v>
      </c>
      <c r="J1152" s="12" t="s">
        <v>35</v>
      </c>
      <c r="L1152" s="12" t="str">
        <f>IF(OR(ISBLANK(tblSites[[#This Row],[Implementing Partner]]), tblSites[[#This Row],[Implementing Partner]]="-"), tblSites[[#This Row],[Site Agency]], tblSites[[#This Row],[Implementing Partner]])</f>
        <v>NRC</v>
      </c>
      <c r="M1152" s="12" t="s">
        <v>55</v>
      </c>
      <c r="N1152" s="12" t="str">
        <f>tblSites[[#This Row],[FinalImplementingPartner]]</f>
        <v>NRC</v>
      </c>
    </row>
    <row r="1153" spans="1:14" x14ac:dyDescent="0.25">
      <c r="A1153" s="12" t="s">
        <v>1533</v>
      </c>
      <c r="B1153" s="12" t="s">
        <v>1427</v>
      </c>
      <c r="C1153" s="12" t="s">
        <v>1427</v>
      </c>
      <c r="D1153" t="s">
        <v>5314</v>
      </c>
      <c r="E1153" s="12" t="s">
        <v>3176</v>
      </c>
      <c r="F1153" s="12" t="s">
        <v>173</v>
      </c>
      <c r="G1153" s="12" t="s">
        <v>5404</v>
      </c>
      <c r="H1153" s="12" t="s">
        <v>1427</v>
      </c>
      <c r="I1153" s="84">
        <v>27002105</v>
      </c>
      <c r="J1153" s="12" t="s">
        <v>5102</v>
      </c>
      <c r="L1153" s="12" t="str">
        <f>IF(OR(ISBLANK(tblSites[[#This Row],[Implementing Partner]]), tblSites[[#This Row],[Implementing Partner]]="-"), tblSites[[#This Row],[Site Agency]], tblSites[[#This Row],[Implementing Partner]])</f>
        <v>No SMA</v>
      </c>
      <c r="M1153" s="12" t="s">
        <v>55</v>
      </c>
      <c r="N1153" s="12" t="str">
        <f>tblSites[[#This Row],[FinalImplementingPartner]]</f>
        <v>No SMA</v>
      </c>
    </row>
    <row r="1154" spans="1:14" x14ac:dyDescent="0.25">
      <c r="A1154" s="12" t="s">
        <v>1474</v>
      </c>
      <c r="B1154" s="12" t="s">
        <v>1475</v>
      </c>
      <c r="C1154" s="12" t="s">
        <v>1476</v>
      </c>
      <c r="D1154" t="s">
        <v>5314</v>
      </c>
      <c r="E1154" s="12" t="s">
        <v>3176</v>
      </c>
      <c r="F1154" s="12" t="s">
        <v>173</v>
      </c>
      <c r="G1154" s="12" t="s">
        <v>5404</v>
      </c>
      <c r="H1154" s="12" t="s">
        <v>1475</v>
      </c>
      <c r="I1154" s="84">
        <v>27002105</v>
      </c>
      <c r="J1154" s="12" t="s">
        <v>5102</v>
      </c>
      <c r="L1154" s="12" t="str">
        <f>IF(OR(ISBLANK(tblSites[[#This Row],[Implementing Partner]]), tblSites[[#This Row],[Implementing Partner]]="-"), tblSites[[#This Row],[Site Agency]], tblSites[[#This Row],[Implementing Partner]])</f>
        <v>No SMA</v>
      </c>
      <c r="M1154" s="12" t="s">
        <v>55</v>
      </c>
      <c r="N1154" s="12" t="str">
        <f>tblSites[[#This Row],[FinalImplementingPartner]]</f>
        <v>No SMA</v>
      </c>
    </row>
    <row r="1155" spans="1:14" x14ac:dyDescent="0.25">
      <c r="A1155" s="12" t="s">
        <v>2968</v>
      </c>
      <c r="B1155" s="12" t="s">
        <v>2969</v>
      </c>
      <c r="D1155" t="s">
        <v>5314</v>
      </c>
      <c r="E1155" s="12" t="s">
        <v>3176</v>
      </c>
      <c r="F1155" s="12" t="s">
        <v>173</v>
      </c>
      <c r="G1155" s="12" t="s">
        <v>5404</v>
      </c>
      <c r="H1155" s="12" t="s">
        <v>2969</v>
      </c>
      <c r="I1155" s="84">
        <v>27002105</v>
      </c>
      <c r="J1155" s="12" t="s">
        <v>5102</v>
      </c>
      <c r="L1155" s="12" t="str">
        <f>IF(OR(ISBLANK(tblSites[[#This Row],[Implementing Partner]]), tblSites[[#This Row],[Implementing Partner]]="-"), tblSites[[#This Row],[Site Agency]], tblSites[[#This Row],[Implementing Partner]])</f>
        <v>No SMA</v>
      </c>
      <c r="M1155" s="12" t="s">
        <v>55</v>
      </c>
      <c r="N1155" s="12" t="str">
        <f>tblSites[[#This Row],[FinalImplementingPartner]]</f>
        <v>No SMA</v>
      </c>
    </row>
    <row r="1156" spans="1:14" x14ac:dyDescent="0.25">
      <c r="A1156" s="12" t="s">
        <v>1648</v>
      </c>
      <c r="B1156" s="12" t="s">
        <v>1649</v>
      </c>
      <c r="C1156" s="12" t="s">
        <v>1650</v>
      </c>
      <c r="D1156" t="s">
        <v>5314</v>
      </c>
      <c r="E1156" s="12" t="s">
        <v>3176</v>
      </c>
      <c r="F1156" s="12" t="s">
        <v>53</v>
      </c>
      <c r="G1156" s="12" t="s">
        <v>5406</v>
      </c>
      <c r="H1156" s="12" t="s">
        <v>1649</v>
      </c>
      <c r="I1156" s="84">
        <v>27002154</v>
      </c>
      <c r="J1156" s="12" t="s">
        <v>5102</v>
      </c>
      <c r="L1156" s="12" t="str">
        <f>IF(OR(ISBLANK(tblSites[[#This Row],[Implementing Partner]]), tblSites[[#This Row],[Implementing Partner]]="-"), tblSites[[#This Row],[Site Agency]], tblSites[[#This Row],[Implementing Partner]])</f>
        <v>No SMA</v>
      </c>
      <c r="M1156" s="12" t="s">
        <v>55</v>
      </c>
      <c r="N1156" s="12" t="str">
        <f>tblSites[[#This Row],[FinalImplementingPartner]]</f>
        <v>No SMA</v>
      </c>
    </row>
    <row r="1157" spans="1:14" x14ac:dyDescent="0.25">
      <c r="A1157" s="12" t="s">
        <v>170</v>
      </c>
      <c r="B1157" s="12" t="s">
        <v>171</v>
      </c>
      <c r="C1157" s="12" t="s">
        <v>172</v>
      </c>
      <c r="D1157" t="s">
        <v>5314</v>
      </c>
      <c r="E1157" s="12" t="s">
        <v>3176</v>
      </c>
      <c r="F1157" s="12" t="s">
        <v>173</v>
      </c>
      <c r="G1157" s="12" t="s">
        <v>5407</v>
      </c>
      <c r="H1157" s="12" t="s">
        <v>171</v>
      </c>
      <c r="I1157" s="84">
        <v>27002105</v>
      </c>
      <c r="J1157" s="12" t="s">
        <v>7</v>
      </c>
      <c r="L1157" s="12" t="str">
        <f>IF(OR(ISBLANK(tblSites[[#This Row],[Implementing Partner]]), tblSites[[#This Row],[Implementing Partner]]="-"), tblSites[[#This Row],[Site Agency]], tblSites[[#This Row],[Implementing Partner]])</f>
        <v>ACTED</v>
      </c>
      <c r="M1157" s="12" t="s">
        <v>55</v>
      </c>
      <c r="N1157" s="12" t="str">
        <f>tblSites[[#This Row],[FinalImplementingPartner]]</f>
        <v>ACTED</v>
      </c>
    </row>
    <row r="1158" spans="1:14" x14ac:dyDescent="0.25">
      <c r="A1158" s="12" t="s">
        <v>183</v>
      </c>
      <c r="B1158" s="12" t="s">
        <v>184</v>
      </c>
      <c r="C1158" s="12" t="s">
        <v>185</v>
      </c>
      <c r="D1158" t="s">
        <v>5314</v>
      </c>
      <c r="E1158" s="12" t="s">
        <v>3176</v>
      </c>
      <c r="F1158" s="12" t="s">
        <v>53</v>
      </c>
      <c r="G1158" s="12" t="s">
        <v>5405</v>
      </c>
      <c r="H1158" s="12" t="s">
        <v>184</v>
      </c>
      <c r="I1158" s="84">
        <v>27002154</v>
      </c>
      <c r="J1158" s="12" t="s">
        <v>7</v>
      </c>
      <c r="L1158" s="12" t="str">
        <f>IF(OR(ISBLANK(tblSites[[#This Row],[Implementing Partner]]), tblSites[[#This Row],[Implementing Partner]]="-"), tblSites[[#This Row],[Site Agency]], tblSites[[#This Row],[Implementing Partner]])</f>
        <v>ACTED</v>
      </c>
      <c r="M1158" s="12" t="s">
        <v>55</v>
      </c>
      <c r="N1158" s="12" t="str">
        <f>tblSites[[#This Row],[FinalImplementingPartner]]</f>
        <v>ACTED</v>
      </c>
    </row>
    <row r="1159" spans="1:14" x14ac:dyDescent="0.25">
      <c r="A1159" s="12" t="s">
        <v>1558</v>
      </c>
      <c r="B1159" s="12" t="s">
        <v>1559</v>
      </c>
      <c r="C1159" s="12" t="s">
        <v>389</v>
      </c>
      <c r="D1159" t="s">
        <v>5314</v>
      </c>
      <c r="E1159" s="12" t="s">
        <v>3176</v>
      </c>
      <c r="F1159" s="12" t="s">
        <v>53</v>
      </c>
      <c r="G1159" s="12" t="s">
        <v>5406</v>
      </c>
      <c r="H1159" s="12" t="s">
        <v>1559</v>
      </c>
      <c r="I1159" s="84">
        <v>27002154</v>
      </c>
      <c r="J1159" s="12" t="s">
        <v>5102</v>
      </c>
      <c r="L1159" s="12" t="str">
        <f>IF(OR(ISBLANK(tblSites[[#This Row],[Implementing Partner]]), tblSites[[#This Row],[Implementing Partner]]="-"), tblSites[[#This Row],[Site Agency]], tblSites[[#This Row],[Implementing Partner]])</f>
        <v>No SMA</v>
      </c>
      <c r="M1159" s="12" t="s">
        <v>55</v>
      </c>
      <c r="N1159" s="12" t="str">
        <f>tblSites[[#This Row],[FinalImplementingPartner]]</f>
        <v>No SMA</v>
      </c>
    </row>
    <row r="1160" spans="1:14" x14ac:dyDescent="0.25">
      <c r="A1160" s="12" t="s">
        <v>281</v>
      </c>
      <c r="B1160" s="12" t="s">
        <v>282</v>
      </c>
      <c r="C1160" s="12" t="s">
        <v>283</v>
      </c>
      <c r="D1160" t="s">
        <v>5314</v>
      </c>
      <c r="E1160" s="12" t="s">
        <v>3176</v>
      </c>
      <c r="F1160" s="12" t="s">
        <v>53</v>
      </c>
      <c r="G1160" s="12" t="s">
        <v>5405</v>
      </c>
      <c r="H1160" s="12" t="s">
        <v>282</v>
      </c>
      <c r="I1160" s="84">
        <v>27002154</v>
      </c>
      <c r="J1160" s="12" t="s">
        <v>7</v>
      </c>
      <c r="L1160" s="12" t="str">
        <f>IF(OR(ISBLANK(tblSites[[#This Row],[Implementing Partner]]), tblSites[[#This Row],[Implementing Partner]]="-"), tblSites[[#This Row],[Site Agency]], tblSites[[#This Row],[Implementing Partner]])</f>
        <v>ACTED</v>
      </c>
      <c r="M1160" s="12" t="s">
        <v>55</v>
      </c>
      <c r="N1160" s="12" t="str">
        <f>tblSites[[#This Row],[FinalImplementingPartner]]</f>
        <v>ACTED</v>
      </c>
    </row>
    <row r="1161" spans="1:14" x14ac:dyDescent="0.25">
      <c r="A1161" s="12" t="s">
        <v>630</v>
      </c>
      <c r="B1161" s="12" t="s">
        <v>631</v>
      </c>
      <c r="C1161" s="12" t="s">
        <v>632</v>
      </c>
      <c r="D1161" t="s">
        <v>5314</v>
      </c>
      <c r="E1161" s="12" t="s">
        <v>3176</v>
      </c>
      <c r="F1161" s="12" t="s">
        <v>53</v>
      </c>
      <c r="G1161" s="12" t="s">
        <v>5405</v>
      </c>
      <c r="H1161" s="12" t="s">
        <v>631</v>
      </c>
      <c r="I1161" s="84">
        <v>27002154</v>
      </c>
      <c r="J1161" s="12" t="s">
        <v>7</v>
      </c>
      <c r="L1161" s="12" t="str">
        <f>IF(OR(ISBLANK(tblSites[[#This Row],[Implementing Partner]]), tblSites[[#This Row],[Implementing Partner]]="-"), tblSites[[#This Row],[Site Agency]], tblSites[[#This Row],[Implementing Partner]])</f>
        <v>ACTED</v>
      </c>
      <c r="M1161" s="12" t="s">
        <v>55</v>
      </c>
      <c r="N1161" s="12" t="str">
        <f>tblSites[[#This Row],[FinalImplementingPartner]]</f>
        <v>ACTED</v>
      </c>
    </row>
    <row r="1162" spans="1:14" x14ac:dyDescent="0.25">
      <c r="A1162" s="12" t="s">
        <v>1267</v>
      </c>
      <c r="B1162" s="12" t="s">
        <v>1268</v>
      </c>
      <c r="C1162" s="12" t="s">
        <v>1269</v>
      </c>
      <c r="D1162" t="s">
        <v>5314</v>
      </c>
      <c r="E1162" s="12" t="s">
        <v>3176</v>
      </c>
      <c r="F1162" s="12" t="s">
        <v>173</v>
      </c>
      <c r="G1162" s="12" t="s">
        <v>5404</v>
      </c>
      <c r="H1162" s="12" t="s">
        <v>1268</v>
      </c>
      <c r="I1162" s="84">
        <v>27002105</v>
      </c>
      <c r="J1162" s="12" t="s">
        <v>5102</v>
      </c>
      <c r="L1162" s="12" t="str">
        <f>IF(OR(ISBLANK(tblSites[[#This Row],[Implementing Partner]]), tblSites[[#This Row],[Implementing Partner]]="-"), tblSites[[#This Row],[Site Agency]], tblSites[[#This Row],[Implementing Partner]])</f>
        <v>No SMA</v>
      </c>
      <c r="M1162" s="12" t="s">
        <v>55</v>
      </c>
      <c r="N1162" s="12" t="str">
        <f>tblSites[[#This Row],[FinalImplementingPartner]]</f>
        <v>No SMA</v>
      </c>
    </row>
    <row r="1163" spans="1:14" x14ac:dyDescent="0.25">
      <c r="A1163" s="12" t="s">
        <v>1392</v>
      </c>
      <c r="B1163" s="12" t="s">
        <v>1393</v>
      </c>
      <c r="D1163" t="s">
        <v>5314</v>
      </c>
      <c r="E1163" s="12" t="s">
        <v>3176</v>
      </c>
      <c r="F1163" s="12" t="s">
        <v>173</v>
      </c>
      <c r="G1163" s="12" t="s">
        <v>5404</v>
      </c>
      <c r="H1163" s="12" t="s">
        <v>1393</v>
      </c>
      <c r="I1163" s="84">
        <v>27002105</v>
      </c>
      <c r="J1163" s="12" t="s">
        <v>5102</v>
      </c>
      <c r="L1163" s="12" t="str">
        <f>IF(OR(ISBLANK(tblSites[[#This Row],[Implementing Partner]]), tblSites[[#This Row],[Implementing Partner]]="-"), tblSites[[#This Row],[Site Agency]], tblSites[[#This Row],[Implementing Partner]])</f>
        <v>No SMA</v>
      </c>
      <c r="M1163" s="12" t="s">
        <v>55</v>
      </c>
      <c r="N1163" s="12" t="str">
        <f>tblSites[[#This Row],[FinalImplementingPartner]]</f>
        <v>No SMA</v>
      </c>
    </row>
    <row r="1164" spans="1:14" x14ac:dyDescent="0.25">
      <c r="A1164" s="12" t="s">
        <v>1349</v>
      </c>
      <c r="B1164" s="12" t="s">
        <v>1350</v>
      </c>
      <c r="C1164" s="12" t="s">
        <v>1351</v>
      </c>
      <c r="D1164" t="s">
        <v>5314</v>
      </c>
      <c r="E1164" s="12" t="s">
        <v>3176</v>
      </c>
      <c r="F1164" s="12" t="s">
        <v>173</v>
      </c>
      <c r="G1164" s="12" t="s">
        <v>5404</v>
      </c>
      <c r="H1164" s="12" t="s">
        <v>1350</v>
      </c>
      <c r="I1164" s="84">
        <v>27002105</v>
      </c>
      <c r="J1164" s="12" t="s">
        <v>5102</v>
      </c>
      <c r="L1164" s="12" t="str">
        <f>IF(OR(ISBLANK(tblSites[[#This Row],[Implementing Partner]]), tblSites[[#This Row],[Implementing Partner]]="-"), tblSites[[#This Row],[Site Agency]], tblSites[[#This Row],[Implementing Partner]])</f>
        <v>No SMA</v>
      </c>
      <c r="M1164" s="12" t="s">
        <v>55</v>
      </c>
      <c r="N1164" s="12" t="str">
        <f>tblSites[[#This Row],[FinalImplementingPartner]]</f>
        <v>No SMA</v>
      </c>
    </row>
    <row r="1165" spans="1:14" x14ac:dyDescent="0.25">
      <c r="A1165" s="12" t="s">
        <v>1482</v>
      </c>
      <c r="B1165" s="12" t="s">
        <v>1483</v>
      </c>
      <c r="C1165" s="12" t="s">
        <v>1484</v>
      </c>
      <c r="D1165" t="s">
        <v>5314</v>
      </c>
      <c r="E1165" s="12" t="s">
        <v>3176</v>
      </c>
      <c r="F1165" s="12" t="s">
        <v>173</v>
      </c>
      <c r="G1165" s="12" t="s">
        <v>5404</v>
      </c>
      <c r="H1165" s="12" t="s">
        <v>1483</v>
      </c>
      <c r="I1165" s="84">
        <v>27002105</v>
      </c>
      <c r="J1165" s="12" t="s">
        <v>5102</v>
      </c>
      <c r="L1165" s="12" t="str">
        <f>IF(OR(ISBLANK(tblSites[[#This Row],[Implementing Partner]]), tblSites[[#This Row],[Implementing Partner]]="-"), tblSites[[#This Row],[Site Agency]], tblSites[[#This Row],[Implementing Partner]])</f>
        <v>No SMA</v>
      </c>
      <c r="M1165" s="12" t="s">
        <v>55</v>
      </c>
      <c r="N1165" s="12" t="str">
        <f>tblSites[[#This Row],[FinalImplementingPartner]]</f>
        <v>No SMA</v>
      </c>
    </row>
    <row r="1166" spans="1:14" x14ac:dyDescent="0.25">
      <c r="A1166" s="12" t="s">
        <v>1591</v>
      </c>
      <c r="B1166" s="12" t="s">
        <v>1592</v>
      </c>
      <c r="C1166" s="12" t="s">
        <v>1593</v>
      </c>
      <c r="D1166" t="s">
        <v>5314</v>
      </c>
      <c r="E1166" s="12" t="s">
        <v>3176</v>
      </c>
      <c r="F1166" s="12" t="s">
        <v>53</v>
      </c>
      <c r="G1166" s="12" t="s">
        <v>5406</v>
      </c>
      <c r="H1166" s="12" t="s">
        <v>1592</v>
      </c>
      <c r="I1166" s="84">
        <v>27002154</v>
      </c>
      <c r="J1166" s="12" t="s">
        <v>5102</v>
      </c>
      <c r="L1166" s="12" t="str">
        <f>IF(OR(ISBLANK(tblSites[[#This Row],[Implementing Partner]]), tblSites[[#This Row],[Implementing Partner]]="-"), tblSites[[#This Row],[Site Agency]], tblSites[[#This Row],[Implementing Partner]])</f>
        <v>No SMA</v>
      </c>
      <c r="M1166" s="12" t="s">
        <v>55</v>
      </c>
      <c r="N1166" s="12" t="str">
        <f>tblSites[[#This Row],[FinalImplementingPartner]]</f>
        <v>No SMA</v>
      </c>
    </row>
    <row r="1167" spans="1:14" x14ac:dyDescent="0.25">
      <c r="A1167" s="12" t="s">
        <v>210</v>
      </c>
      <c r="B1167" s="12" t="s">
        <v>211</v>
      </c>
      <c r="C1167" s="12" t="s">
        <v>212</v>
      </c>
      <c r="D1167" t="s">
        <v>5314</v>
      </c>
      <c r="E1167" s="12" t="s">
        <v>3176</v>
      </c>
      <c r="F1167" s="12" t="s">
        <v>53</v>
      </c>
      <c r="G1167" s="12" t="s">
        <v>5405</v>
      </c>
      <c r="H1167" s="12" t="s">
        <v>211</v>
      </c>
      <c r="I1167" s="84">
        <v>27002154</v>
      </c>
      <c r="J1167" s="12" t="s">
        <v>7</v>
      </c>
      <c r="K1167" s="12" t="s">
        <v>389</v>
      </c>
      <c r="L1167" s="12" t="str">
        <f>IF(OR(ISBLANK(tblSites[[#This Row],[Implementing Partner]]), tblSites[[#This Row],[Implementing Partner]]="-"), tblSites[[#This Row],[Site Agency]], tblSites[[#This Row],[Implementing Partner]])</f>
        <v>ACTED</v>
      </c>
      <c r="M1167" s="12" t="s">
        <v>55</v>
      </c>
      <c r="N1167" s="12" t="str">
        <f>tblSites[[#This Row],[FinalImplementingPartner]]</f>
        <v>ACTED</v>
      </c>
    </row>
    <row r="1168" spans="1:14" x14ac:dyDescent="0.25">
      <c r="A1168" s="12" t="s">
        <v>1636</v>
      </c>
      <c r="B1168" s="12" t="s">
        <v>1637</v>
      </c>
      <c r="C1168" s="12" t="s">
        <v>1638</v>
      </c>
      <c r="D1168" t="s">
        <v>5314</v>
      </c>
      <c r="E1168" s="12" t="s">
        <v>3176</v>
      </c>
      <c r="F1168" s="12" t="s">
        <v>53</v>
      </c>
      <c r="G1168" s="12" t="s">
        <v>5406</v>
      </c>
      <c r="H1168" s="12" t="s">
        <v>1637</v>
      </c>
      <c r="I1168" s="84">
        <v>27002154</v>
      </c>
      <c r="J1168" s="12" t="s">
        <v>5102</v>
      </c>
      <c r="L1168" s="12" t="str">
        <f>IF(OR(ISBLANK(tblSites[[#This Row],[Implementing Partner]]), tblSites[[#This Row],[Implementing Partner]]="-"), tblSites[[#This Row],[Site Agency]], tblSites[[#This Row],[Implementing Partner]])</f>
        <v>No SMA</v>
      </c>
      <c r="M1168" s="12" t="s">
        <v>55</v>
      </c>
      <c r="N1168" s="12" t="str">
        <f>tblSites[[#This Row],[FinalImplementingPartner]]</f>
        <v>No SMA</v>
      </c>
    </row>
    <row r="1169" spans="1:14" x14ac:dyDescent="0.25">
      <c r="A1169" s="12" t="s">
        <v>1594</v>
      </c>
      <c r="B1169" s="12" t="s">
        <v>1595</v>
      </c>
      <c r="D1169" t="s">
        <v>5314</v>
      </c>
      <c r="E1169" s="12" t="s">
        <v>3176</v>
      </c>
      <c r="F1169" s="12" t="s">
        <v>53</v>
      </c>
      <c r="G1169" s="12" t="s">
        <v>5406</v>
      </c>
      <c r="H1169" s="12" t="s">
        <v>1595</v>
      </c>
      <c r="I1169" s="84">
        <v>27002154</v>
      </c>
      <c r="J1169" s="12" t="s">
        <v>5102</v>
      </c>
      <c r="L1169" s="12" t="str">
        <f>IF(OR(ISBLANK(tblSites[[#This Row],[Implementing Partner]]), tblSites[[#This Row],[Implementing Partner]]="-"), tblSites[[#This Row],[Site Agency]], tblSites[[#This Row],[Implementing Partner]])</f>
        <v>No SMA</v>
      </c>
      <c r="M1169" s="12" t="s">
        <v>55</v>
      </c>
      <c r="N1169" s="12" t="str">
        <f>tblSites[[#This Row],[FinalImplementingPartner]]</f>
        <v>No SMA</v>
      </c>
    </row>
    <row r="1170" spans="1:14" x14ac:dyDescent="0.25">
      <c r="A1170" s="12" t="s">
        <v>686</v>
      </c>
      <c r="B1170" s="12" t="s">
        <v>687</v>
      </c>
      <c r="C1170" s="12" t="s">
        <v>688</v>
      </c>
      <c r="D1170" t="s">
        <v>5314</v>
      </c>
      <c r="E1170" s="12" t="s">
        <v>3176</v>
      </c>
      <c r="F1170" s="12" t="s">
        <v>53</v>
      </c>
      <c r="G1170" s="12" t="s">
        <v>5405</v>
      </c>
      <c r="H1170" s="12" t="s">
        <v>687</v>
      </c>
      <c r="I1170" s="84">
        <v>27002154</v>
      </c>
      <c r="J1170" s="12" t="s">
        <v>5</v>
      </c>
      <c r="K1170" s="12" t="s">
        <v>7</v>
      </c>
      <c r="L1170" s="12" t="str">
        <f>IF(OR(ISBLANK(tblSites[[#This Row],[Implementing Partner]]), tblSites[[#This Row],[Implementing Partner]]="-"), tblSites[[#This Row],[Site Agency]], tblSites[[#This Row],[Implementing Partner]])</f>
        <v>ACTED</v>
      </c>
      <c r="M1170" s="12" t="s">
        <v>55</v>
      </c>
      <c r="N1170" s="12" t="str">
        <f>tblSites[[#This Row],[FinalImplementingPartner]]</f>
        <v>ACTED</v>
      </c>
    </row>
    <row r="1171" spans="1:14" x14ac:dyDescent="0.25">
      <c r="A1171" s="12" t="s">
        <v>290</v>
      </c>
      <c r="B1171" s="12" t="s">
        <v>291</v>
      </c>
      <c r="C1171" s="12" t="s">
        <v>292</v>
      </c>
      <c r="D1171" t="s">
        <v>5314</v>
      </c>
      <c r="E1171" s="12" t="s">
        <v>3176</v>
      </c>
      <c r="F1171" s="12" t="s">
        <v>53</v>
      </c>
      <c r="G1171" s="12" t="s">
        <v>5405</v>
      </c>
      <c r="H1171" s="12" t="s">
        <v>291</v>
      </c>
      <c r="I1171" s="84">
        <v>27002154</v>
      </c>
      <c r="J1171" s="12" t="s">
        <v>7</v>
      </c>
      <c r="L1171" s="12" t="str">
        <f>IF(OR(ISBLANK(tblSites[[#This Row],[Implementing Partner]]), tblSites[[#This Row],[Implementing Partner]]="-"), tblSites[[#This Row],[Site Agency]], tblSites[[#This Row],[Implementing Partner]])</f>
        <v>ACTED</v>
      </c>
      <c r="M1171" s="12" t="s">
        <v>55</v>
      </c>
      <c r="N1171" s="12" t="str">
        <f>tblSites[[#This Row],[FinalImplementingPartner]]</f>
        <v>ACTED</v>
      </c>
    </row>
    <row r="1172" spans="1:14" x14ac:dyDescent="0.25">
      <c r="A1172" s="12" t="s">
        <v>1629</v>
      </c>
      <c r="B1172" s="12" t="s">
        <v>1630</v>
      </c>
      <c r="D1172" t="s">
        <v>5314</v>
      </c>
      <c r="E1172" s="12" t="s">
        <v>3176</v>
      </c>
      <c r="F1172" s="12" t="s">
        <v>53</v>
      </c>
      <c r="G1172" s="12" t="s">
        <v>5406</v>
      </c>
      <c r="H1172" s="12" t="s">
        <v>1630</v>
      </c>
      <c r="I1172" s="84">
        <v>27002154</v>
      </c>
      <c r="J1172" s="12" t="s">
        <v>5102</v>
      </c>
      <c r="L1172" s="12" t="str">
        <f>IF(OR(ISBLANK(tblSites[[#This Row],[Implementing Partner]]), tblSites[[#This Row],[Implementing Partner]]="-"), tblSites[[#This Row],[Site Agency]], tblSites[[#This Row],[Implementing Partner]])</f>
        <v>No SMA</v>
      </c>
      <c r="M1172" s="12" t="s">
        <v>55</v>
      </c>
      <c r="N1172" s="12" t="str">
        <f>tblSites[[#This Row],[FinalImplementingPartner]]</f>
        <v>No SMA</v>
      </c>
    </row>
    <row r="1173" spans="1:14" x14ac:dyDescent="0.25">
      <c r="A1173" s="12" t="s">
        <v>195</v>
      </c>
      <c r="B1173" s="12" t="s">
        <v>196</v>
      </c>
      <c r="C1173" s="12" t="s">
        <v>197</v>
      </c>
      <c r="D1173" t="s">
        <v>5314</v>
      </c>
      <c r="E1173" s="12" t="s">
        <v>3176</v>
      </c>
      <c r="F1173" s="12" t="s">
        <v>53</v>
      </c>
      <c r="G1173" s="12" t="s">
        <v>5405</v>
      </c>
      <c r="H1173" s="12" t="s">
        <v>196</v>
      </c>
      <c r="I1173" s="84">
        <v>27002154</v>
      </c>
      <c r="J1173" s="12" t="s">
        <v>7</v>
      </c>
      <c r="L1173" s="12" t="str">
        <f>IF(OR(ISBLANK(tblSites[[#This Row],[Implementing Partner]]), tblSites[[#This Row],[Implementing Partner]]="-"), tblSites[[#This Row],[Site Agency]], tblSites[[#This Row],[Implementing Partner]])</f>
        <v>ACTED</v>
      </c>
      <c r="M1173" s="12" t="s">
        <v>55</v>
      </c>
      <c r="N1173" s="12" t="str">
        <f>tblSites[[#This Row],[FinalImplementingPartner]]</f>
        <v>ACTED</v>
      </c>
    </row>
    <row r="1174" spans="1:14" x14ac:dyDescent="0.25">
      <c r="A1174" s="12" t="s">
        <v>689</v>
      </c>
      <c r="B1174" s="12" t="s">
        <v>690</v>
      </c>
      <c r="C1174" s="12" t="s">
        <v>691</v>
      </c>
      <c r="D1174" t="s">
        <v>5314</v>
      </c>
      <c r="E1174" s="12" t="s">
        <v>3176</v>
      </c>
      <c r="F1174" s="12" t="s">
        <v>53</v>
      </c>
      <c r="G1174" s="12" t="s">
        <v>5405</v>
      </c>
      <c r="H1174" s="12" t="s">
        <v>690</v>
      </c>
      <c r="I1174" s="84">
        <v>27002154</v>
      </c>
      <c r="J1174" s="12" t="s">
        <v>5</v>
      </c>
      <c r="K1174" s="12" t="s">
        <v>7</v>
      </c>
      <c r="L1174" s="12" t="str">
        <f>IF(OR(ISBLANK(tblSites[[#This Row],[Implementing Partner]]), tblSites[[#This Row],[Implementing Partner]]="-"), tblSites[[#This Row],[Site Agency]], tblSites[[#This Row],[Implementing Partner]])</f>
        <v>ACTED</v>
      </c>
      <c r="M1174" s="12" t="s">
        <v>55</v>
      </c>
      <c r="N1174" s="12" t="str">
        <f>tblSites[[#This Row],[FinalImplementingPartner]]</f>
        <v>ACTED</v>
      </c>
    </row>
    <row r="1175" spans="1:14" x14ac:dyDescent="0.25">
      <c r="A1175" s="12" t="s">
        <v>227</v>
      </c>
      <c r="B1175" s="12" t="s">
        <v>228</v>
      </c>
      <c r="C1175" s="12" t="s">
        <v>229</v>
      </c>
      <c r="D1175" t="s">
        <v>5314</v>
      </c>
      <c r="E1175" s="12" t="s">
        <v>3176</v>
      </c>
      <c r="F1175" s="12" t="s">
        <v>53</v>
      </c>
      <c r="G1175" s="12" t="s">
        <v>5406</v>
      </c>
      <c r="H1175" s="12" t="s">
        <v>228</v>
      </c>
      <c r="I1175" s="84">
        <v>27002154</v>
      </c>
      <c r="J1175" s="12" t="s">
        <v>5102</v>
      </c>
      <c r="L1175" s="12" t="str">
        <f>IF(OR(ISBLANK(tblSites[[#This Row],[Implementing Partner]]), tblSites[[#This Row],[Implementing Partner]]="-"), tblSites[[#This Row],[Site Agency]], tblSites[[#This Row],[Implementing Partner]])</f>
        <v>No SMA</v>
      </c>
      <c r="M1175" s="12" t="s">
        <v>55</v>
      </c>
      <c r="N1175" s="12" t="str">
        <f>tblSites[[#This Row],[FinalImplementingPartner]]</f>
        <v>No SMA</v>
      </c>
    </row>
    <row r="1176" spans="1:14" x14ac:dyDescent="0.25">
      <c r="A1176" s="12" t="s">
        <v>2151</v>
      </c>
      <c r="B1176" s="12" t="s">
        <v>2152</v>
      </c>
      <c r="C1176" s="12" t="s">
        <v>2153</v>
      </c>
      <c r="D1176" t="s">
        <v>5314</v>
      </c>
      <c r="E1176" s="12" t="s">
        <v>3176</v>
      </c>
      <c r="F1176" s="12" t="s">
        <v>79</v>
      </c>
      <c r="G1176" s="12" t="s">
        <v>5419</v>
      </c>
      <c r="H1176" s="12" t="s">
        <v>2152</v>
      </c>
      <c r="I1176" s="84">
        <v>27002101</v>
      </c>
      <c r="J1176" s="12" t="s">
        <v>5102</v>
      </c>
      <c r="L1176" s="12" t="str">
        <f>IF(OR(ISBLANK(tblSites[[#This Row],[Implementing Partner]]), tblSites[[#This Row],[Implementing Partner]]="-"), tblSites[[#This Row],[Site Agency]], tblSites[[#This Row],[Implementing Partner]])</f>
        <v>No SMA</v>
      </c>
      <c r="M1176" s="12" t="s">
        <v>55</v>
      </c>
      <c r="N1176" s="12" t="str">
        <f>tblSites[[#This Row],[FinalImplementingPartner]]</f>
        <v>No SMA</v>
      </c>
    </row>
    <row r="1177" spans="1:14" x14ac:dyDescent="0.25">
      <c r="A1177" s="12" t="s">
        <v>1164</v>
      </c>
      <c r="B1177" s="12" t="s">
        <v>1165</v>
      </c>
      <c r="C1177" s="12" t="s">
        <v>1166</v>
      </c>
      <c r="D1177" t="s">
        <v>5314</v>
      </c>
      <c r="E1177" s="12" t="s">
        <v>3176</v>
      </c>
      <c r="F1177" s="12" t="s">
        <v>431</v>
      </c>
      <c r="G1177" s="12" t="s">
        <v>5421</v>
      </c>
      <c r="H1177" s="12" t="s">
        <v>1165</v>
      </c>
      <c r="I1177" s="84">
        <v>27004175</v>
      </c>
      <c r="J1177" s="12" t="s">
        <v>5102</v>
      </c>
      <c r="L1177" s="12" t="str">
        <f>IF(OR(ISBLANK(tblSites[[#This Row],[Implementing Partner]]), tblSites[[#This Row],[Implementing Partner]]="-"), tblSites[[#This Row],[Site Agency]], tblSites[[#This Row],[Implementing Partner]])</f>
        <v>No SMA</v>
      </c>
      <c r="M1177" s="12" t="s">
        <v>55</v>
      </c>
      <c r="N1177" s="12" t="str">
        <f>tblSites[[#This Row],[FinalImplementingPartner]]</f>
        <v>No SMA</v>
      </c>
    </row>
    <row r="1178" spans="1:14" x14ac:dyDescent="0.25">
      <c r="A1178" s="12" t="s">
        <v>1343</v>
      </c>
      <c r="B1178" s="12" t="s">
        <v>1344</v>
      </c>
      <c r="C1178" s="12" t="s">
        <v>1345</v>
      </c>
      <c r="D1178" t="s">
        <v>5314</v>
      </c>
      <c r="E1178" s="12" t="s">
        <v>3176</v>
      </c>
      <c r="F1178" s="12" t="s">
        <v>173</v>
      </c>
      <c r="G1178" s="12" t="s">
        <v>5404</v>
      </c>
      <c r="H1178" s="12" t="s">
        <v>1344</v>
      </c>
      <c r="I1178" s="84">
        <v>27002105</v>
      </c>
      <c r="J1178" s="12" t="s">
        <v>5102</v>
      </c>
      <c r="L1178" s="12" t="str">
        <f>IF(OR(ISBLANK(tblSites[[#This Row],[Implementing Partner]]), tblSites[[#This Row],[Implementing Partner]]="-"), tblSites[[#This Row],[Site Agency]], tblSites[[#This Row],[Implementing Partner]])</f>
        <v>No SMA</v>
      </c>
      <c r="M1178" s="12" t="s">
        <v>55</v>
      </c>
      <c r="N1178" s="12" t="str">
        <f>tblSites[[#This Row],[FinalImplementingPartner]]</f>
        <v>No SMA</v>
      </c>
    </row>
    <row r="1179" spans="1:14" x14ac:dyDescent="0.25">
      <c r="A1179" s="12" t="s">
        <v>207</v>
      </c>
      <c r="B1179" s="12" t="s">
        <v>208</v>
      </c>
      <c r="C1179" s="12" t="s">
        <v>209</v>
      </c>
      <c r="D1179" t="s">
        <v>5314</v>
      </c>
      <c r="E1179" s="12" t="s">
        <v>3176</v>
      </c>
      <c r="F1179" s="12" t="s">
        <v>53</v>
      </c>
      <c r="G1179" s="12" t="s">
        <v>5405</v>
      </c>
      <c r="H1179" s="12" t="s">
        <v>208</v>
      </c>
      <c r="I1179" s="84">
        <v>27002154</v>
      </c>
      <c r="J1179" s="12" t="s">
        <v>7</v>
      </c>
      <c r="L1179" s="12" t="str">
        <f>IF(OR(ISBLANK(tblSites[[#This Row],[Implementing Partner]]), tblSites[[#This Row],[Implementing Partner]]="-"), tblSites[[#This Row],[Site Agency]], tblSites[[#This Row],[Implementing Partner]])</f>
        <v>ACTED</v>
      </c>
      <c r="M1179" s="12" t="s">
        <v>55</v>
      </c>
      <c r="N1179" s="12" t="str">
        <f>tblSites[[#This Row],[FinalImplementingPartner]]</f>
        <v>ACTED</v>
      </c>
    </row>
    <row r="1180" spans="1:14" x14ac:dyDescent="0.25">
      <c r="A1180" s="12" t="s">
        <v>1671</v>
      </c>
      <c r="B1180" s="12" t="s">
        <v>1672</v>
      </c>
      <c r="C1180" s="12" t="s">
        <v>1673</v>
      </c>
      <c r="D1180" t="s">
        <v>5314</v>
      </c>
      <c r="E1180" s="12" t="s">
        <v>3176</v>
      </c>
      <c r="F1180" s="12" t="s">
        <v>53</v>
      </c>
      <c r="G1180" s="12" t="s">
        <v>5406</v>
      </c>
      <c r="H1180" s="12" t="s">
        <v>1672</v>
      </c>
      <c r="I1180" s="84">
        <v>27002154</v>
      </c>
      <c r="J1180" s="12" t="s">
        <v>5102</v>
      </c>
      <c r="L1180" s="12" t="str">
        <f>IF(OR(ISBLANK(tblSites[[#This Row],[Implementing Partner]]), tblSites[[#This Row],[Implementing Partner]]="-"), tblSites[[#This Row],[Site Agency]], tblSites[[#This Row],[Implementing Partner]])</f>
        <v>No SMA</v>
      </c>
      <c r="M1180" s="12" t="s">
        <v>55</v>
      </c>
      <c r="N1180" s="12" t="str">
        <f>tblSites[[#This Row],[FinalImplementingPartner]]</f>
        <v>No SMA</v>
      </c>
    </row>
    <row r="1181" spans="1:14" x14ac:dyDescent="0.25">
      <c r="A1181" s="12" t="s">
        <v>189</v>
      </c>
      <c r="B1181" s="12" t="s">
        <v>190</v>
      </c>
      <c r="C1181" s="12" t="s">
        <v>191</v>
      </c>
      <c r="D1181" t="s">
        <v>5314</v>
      </c>
      <c r="E1181" s="12" t="s">
        <v>3176</v>
      </c>
      <c r="F1181" s="12" t="s">
        <v>53</v>
      </c>
      <c r="G1181" s="12" t="s">
        <v>5405</v>
      </c>
      <c r="H1181" s="12" t="s">
        <v>190</v>
      </c>
      <c r="I1181" s="84">
        <v>27002154</v>
      </c>
      <c r="J1181" s="12" t="s">
        <v>7</v>
      </c>
      <c r="L1181" s="12" t="str">
        <f>IF(OR(ISBLANK(tblSites[[#This Row],[Implementing Partner]]), tblSites[[#This Row],[Implementing Partner]]="-"), tblSites[[#This Row],[Site Agency]], tblSites[[#This Row],[Implementing Partner]])</f>
        <v>ACTED</v>
      </c>
      <c r="M1181" s="12" t="s">
        <v>55</v>
      </c>
      <c r="N1181" s="12" t="str">
        <f>tblSites[[#This Row],[FinalImplementingPartner]]</f>
        <v>ACTED</v>
      </c>
    </row>
    <row r="1182" spans="1:14" x14ac:dyDescent="0.25">
      <c r="A1182" s="12" t="s">
        <v>263</v>
      </c>
      <c r="B1182" s="12" t="s">
        <v>264</v>
      </c>
      <c r="C1182" s="12" t="s">
        <v>265</v>
      </c>
      <c r="D1182" t="s">
        <v>5314</v>
      </c>
      <c r="E1182" s="12" t="s">
        <v>3176</v>
      </c>
      <c r="F1182" s="12" t="s">
        <v>53</v>
      </c>
      <c r="G1182" s="12" t="s">
        <v>5405</v>
      </c>
      <c r="H1182" s="12" t="s">
        <v>264</v>
      </c>
      <c r="I1182" s="84">
        <v>27002154</v>
      </c>
      <c r="J1182" s="12" t="s">
        <v>7</v>
      </c>
      <c r="L1182" s="12" t="str">
        <f>IF(OR(ISBLANK(tblSites[[#This Row],[Implementing Partner]]), tblSites[[#This Row],[Implementing Partner]]="-"), tblSites[[#This Row],[Site Agency]], tblSites[[#This Row],[Implementing Partner]])</f>
        <v>ACTED</v>
      </c>
      <c r="M1182" s="12" t="s">
        <v>55</v>
      </c>
      <c r="N1182" s="12" t="str">
        <f>tblSites[[#This Row],[FinalImplementingPartner]]</f>
        <v>ACTED</v>
      </c>
    </row>
    <row r="1183" spans="1:14" x14ac:dyDescent="0.25">
      <c r="A1183" s="12" t="s">
        <v>1404</v>
      </c>
      <c r="B1183" s="12" t="s">
        <v>1405</v>
      </c>
      <c r="C1183" s="12" t="s">
        <v>1406</v>
      </c>
      <c r="D1183" t="s">
        <v>5314</v>
      </c>
      <c r="E1183" s="12" t="s">
        <v>3176</v>
      </c>
      <c r="F1183" s="12" t="s">
        <v>173</v>
      </c>
      <c r="G1183" s="12" t="s">
        <v>5404</v>
      </c>
      <c r="H1183" s="12" t="s">
        <v>1405</v>
      </c>
      <c r="I1183" s="84">
        <v>27002105</v>
      </c>
      <c r="J1183" s="12" t="s">
        <v>5102</v>
      </c>
      <c r="L1183" s="12" t="str">
        <f>IF(OR(ISBLANK(tblSites[[#This Row],[Implementing Partner]]), tblSites[[#This Row],[Implementing Partner]]="-"), tblSites[[#This Row],[Site Agency]], tblSites[[#This Row],[Implementing Partner]])</f>
        <v>No SMA</v>
      </c>
      <c r="M1183" s="12" t="s">
        <v>55</v>
      </c>
      <c r="N1183" s="12" t="str">
        <f>tblSites[[#This Row],[FinalImplementingPartner]]</f>
        <v>No SMA</v>
      </c>
    </row>
    <row r="1184" spans="1:14" x14ac:dyDescent="0.25">
      <c r="A1184" s="12" t="s">
        <v>1713</v>
      </c>
      <c r="B1184" s="12" t="s">
        <v>1714</v>
      </c>
      <c r="C1184" s="12" t="s">
        <v>1715</v>
      </c>
      <c r="D1184" t="s">
        <v>5314</v>
      </c>
      <c r="E1184" s="12" t="s">
        <v>3176</v>
      </c>
      <c r="F1184" s="12" t="s">
        <v>173</v>
      </c>
      <c r="G1184" s="12" t="s">
        <v>5414</v>
      </c>
      <c r="H1184" s="12" t="s">
        <v>1714</v>
      </c>
      <c r="I1184" s="84">
        <v>27002105</v>
      </c>
      <c r="J1184" s="12" t="s">
        <v>35</v>
      </c>
      <c r="L1184" s="12" t="str">
        <f>IF(OR(ISBLANK(tblSites[[#This Row],[Implementing Partner]]), tblSites[[#This Row],[Implementing Partner]]="-"), tblSites[[#This Row],[Site Agency]], tblSites[[#This Row],[Implementing Partner]])</f>
        <v>NRC</v>
      </c>
      <c r="M1184" s="12" t="s">
        <v>55</v>
      </c>
      <c r="N1184" s="12" t="str">
        <f>tblSites[[#This Row],[FinalImplementingPartner]]</f>
        <v>NRC</v>
      </c>
    </row>
    <row r="1185" spans="1:14" x14ac:dyDescent="0.25">
      <c r="A1185" s="12" t="s">
        <v>1498</v>
      </c>
      <c r="B1185" s="12" t="s">
        <v>1499</v>
      </c>
      <c r="C1185" s="12" t="s">
        <v>1500</v>
      </c>
      <c r="D1185" t="s">
        <v>5314</v>
      </c>
      <c r="E1185" s="12" t="s">
        <v>3176</v>
      </c>
      <c r="F1185" s="12" t="s">
        <v>173</v>
      </c>
      <c r="G1185" s="12" t="s">
        <v>5404</v>
      </c>
      <c r="H1185" s="12" t="s">
        <v>1499</v>
      </c>
      <c r="I1185" s="84">
        <v>27002105</v>
      </c>
      <c r="J1185" s="12" t="s">
        <v>5102</v>
      </c>
      <c r="L1185" s="12" t="str">
        <f>IF(OR(ISBLANK(tblSites[[#This Row],[Implementing Partner]]), tblSites[[#This Row],[Implementing Partner]]="-"), tblSites[[#This Row],[Site Agency]], tblSites[[#This Row],[Implementing Partner]])</f>
        <v>No SMA</v>
      </c>
      <c r="M1185" s="12" t="s">
        <v>55</v>
      </c>
      <c r="N1185" s="12" t="str">
        <f>tblSites[[#This Row],[FinalImplementingPartner]]</f>
        <v>No SMA</v>
      </c>
    </row>
    <row r="1186" spans="1:14" x14ac:dyDescent="0.25">
      <c r="A1186" s="12" t="s">
        <v>3755</v>
      </c>
      <c r="B1186" s="12" t="s">
        <v>4348</v>
      </c>
      <c r="C1186" s="12" t="s">
        <v>5298</v>
      </c>
      <c r="D1186" t="s">
        <v>5314</v>
      </c>
      <c r="E1186" s="12" t="s">
        <v>3176</v>
      </c>
      <c r="F1186" s="12" t="s">
        <v>325</v>
      </c>
      <c r="G1186" s="12" t="s">
        <v>5422</v>
      </c>
      <c r="H1186" s="12" t="s">
        <v>4348</v>
      </c>
      <c r="I1186" s="84">
        <v>27002104</v>
      </c>
      <c r="J1186" s="12" t="s">
        <v>1215</v>
      </c>
      <c r="L1186" s="12" t="str">
        <f>IF(OR(ISBLANK(tblSites[[#This Row],[Implementing Partner]]), tblSites[[#This Row],[Implementing Partner]]="-"), tblSites[[#This Row],[Site Agency]], tblSites[[#This Row],[Implementing Partner]])</f>
        <v>UNRWA</v>
      </c>
      <c r="M1186" s="12" t="s">
        <v>55</v>
      </c>
      <c r="N1186" s="12" t="str">
        <f>tblSites[[#This Row],[FinalImplementingPartner]]</f>
        <v>UNRWA</v>
      </c>
    </row>
    <row r="1187" spans="1:14" x14ac:dyDescent="0.25">
      <c r="A1187" s="12" t="s">
        <v>98</v>
      </c>
      <c r="B1187" s="12" t="s">
        <v>99</v>
      </c>
      <c r="C1187" s="12" t="s">
        <v>100</v>
      </c>
      <c r="D1187" t="s">
        <v>5314</v>
      </c>
      <c r="E1187" s="12" t="s">
        <v>3176</v>
      </c>
      <c r="F1187" s="12" t="s">
        <v>82</v>
      </c>
      <c r="G1187" s="12" t="s">
        <v>5423</v>
      </c>
      <c r="H1187" s="12" t="s">
        <v>99</v>
      </c>
      <c r="I1187" s="84">
        <v>27001153</v>
      </c>
      <c r="J1187" s="12" t="s">
        <v>7</v>
      </c>
      <c r="L1187" s="12" t="str">
        <f>IF(OR(ISBLANK(tblSites[[#This Row],[Implementing Partner]]), tblSites[[#This Row],[Implementing Partner]]="-"), tblSites[[#This Row],[Site Agency]], tblSites[[#This Row],[Implementing Partner]])</f>
        <v>ACTED</v>
      </c>
      <c r="M1187" s="12" t="s">
        <v>55</v>
      </c>
      <c r="N1187" s="12" t="str">
        <f>tblSites[[#This Row],[FinalImplementingPartner]]</f>
        <v>ACTED</v>
      </c>
    </row>
    <row r="1188" spans="1:14" x14ac:dyDescent="0.25">
      <c r="A1188" s="12" t="s">
        <v>5255</v>
      </c>
      <c r="B1188" s="12" t="s">
        <v>5270</v>
      </c>
      <c r="C1188" s="12" t="s">
        <v>5299</v>
      </c>
      <c r="D1188" t="s">
        <v>5314</v>
      </c>
      <c r="E1188" s="12" t="s">
        <v>3176</v>
      </c>
      <c r="F1188" s="12" t="s">
        <v>82</v>
      </c>
      <c r="G1188" s="12" t="s">
        <v>5423</v>
      </c>
      <c r="H1188" s="12" t="s">
        <v>5270</v>
      </c>
      <c r="I1188" s="84">
        <v>27001153</v>
      </c>
      <c r="J1188" s="12" t="s">
        <v>7</v>
      </c>
      <c r="L1188" s="12" t="str">
        <f>IF(OR(ISBLANK(tblSites[[#This Row],[Implementing Partner]]), tblSites[[#This Row],[Implementing Partner]]="-"), tblSites[[#This Row],[Site Agency]], tblSites[[#This Row],[Implementing Partner]])</f>
        <v>ACTED</v>
      </c>
      <c r="M1188" s="12" t="s">
        <v>55</v>
      </c>
      <c r="N1188" s="12" t="str">
        <f>tblSites[[#This Row],[FinalImplementingPartner]]</f>
        <v>ACTED</v>
      </c>
    </row>
    <row r="1189" spans="1:14" x14ac:dyDescent="0.25">
      <c r="A1189" s="12" t="s">
        <v>126</v>
      </c>
      <c r="B1189" s="12" t="s">
        <v>127</v>
      </c>
      <c r="C1189" s="12" t="s">
        <v>128</v>
      </c>
      <c r="D1189" t="s">
        <v>5314</v>
      </c>
      <c r="E1189" s="12" t="s">
        <v>3176</v>
      </c>
      <c r="F1189" s="12" t="s">
        <v>82</v>
      </c>
      <c r="G1189" s="12" t="s">
        <v>5423</v>
      </c>
      <c r="H1189" s="12" t="s">
        <v>127</v>
      </c>
      <c r="I1189" s="84">
        <v>27001153</v>
      </c>
      <c r="J1189" s="12" t="s">
        <v>7</v>
      </c>
      <c r="L1189" s="12" t="str">
        <f>IF(OR(ISBLANK(tblSites[[#This Row],[Implementing Partner]]), tblSites[[#This Row],[Implementing Partner]]="-"), tblSites[[#This Row],[Site Agency]], tblSites[[#This Row],[Implementing Partner]])</f>
        <v>ACTED</v>
      </c>
      <c r="M1189" s="12" t="s">
        <v>55</v>
      </c>
      <c r="N1189" s="12" t="str">
        <f>tblSites[[#This Row],[FinalImplementingPartner]]</f>
        <v>ACTED</v>
      </c>
    </row>
    <row r="1190" spans="1:14" x14ac:dyDescent="0.25">
      <c r="A1190" s="12" t="s">
        <v>1383</v>
      </c>
      <c r="B1190" s="12" t="s">
        <v>1384</v>
      </c>
      <c r="C1190" s="12" t="s">
        <v>1385</v>
      </c>
      <c r="D1190" t="s">
        <v>5314</v>
      </c>
      <c r="E1190" s="12" t="s">
        <v>3176</v>
      </c>
      <c r="F1190" s="12" t="s">
        <v>53</v>
      </c>
      <c r="G1190" s="12" t="s">
        <v>5406</v>
      </c>
      <c r="H1190" s="12" t="s">
        <v>1384</v>
      </c>
      <c r="I1190" s="84">
        <v>27002154</v>
      </c>
      <c r="J1190" s="12" t="s">
        <v>5102</v>
      </c>
      <c r="L1190" s="12" t="str">
        <f>IF(OR(ISBLANK(tblSites[[#This Row],[Implementing Partner]]), tblSites[[#This Row],[Implementing Partner]]="-"), tblSites[[#This Row],[Site Agency]], tblSites[[#This Row],[Implementing Partner]])</f>
        <v>No SMA</v>
      </c>
      <c r="M1190" s="12" t="s">
        <v>55</v>
      </c>
      <c r="N1190" s="12" t="str">
        <f>tblSites[[#This Row],[FinalImplementingPartner]]</f>
        <v>No SMA</v>
      </c>
    </row>
    <row r="1191" spans="1:14" x14ac:dyDescent="0.25">
      <c r="A1191" s="12" t="s">
        <v>820</v>
      </c>
      <c r="B1191" s="12" t="s">
        <v>821</v>
      </c>
      <c r="C1191" s="12" t="s">
        <v>822</v>
      </c>
      <c r="D1191" t="s">
        <v>5314</v>
      </c>
      <c r="E1191" s="12" t="s">
        <v>3176</v>
      </c>
      <c r="F1191" s="12" t="s">
        <v>53</v>
      </c>
      <c r="G1191" s="12" t="s">
        <v>5413</v>
      </c>
      <c r="H1191" s="12" t="s">
        <v>821</v>
      </c>
      <c r="I1191" s="84">
        <v>27002154</v>
      </c>
      <c r="J1191" s="12" t="s">
        <v>54</v>
      </c>
      <c r="L1191" s="12" t="str">
        <f>IF(OR(ISBLANK(tblSites[[#This Row],[Implementing Partner]]), tblSites[[#This Row],[Implementing Partner]]="-"), tblSites[[#This Row],[Site Agency]], tblSites[[#This Row],[Implementing Partner]])</f>
        <v>PHC</v>
      </c>
      <c r="M1191" s="12" t="s">
        <v>55</v>
      </c>
      <c r="N1191" s="12" t="str">
        <f>tblSites[[#This Row],[FinalImplementingPartner]]</f>
        <v>PHC</v>
      </c>
    </row>
    <row r="1192" spans="1:14" x14ac:dyDescent="0.25">
      <c r="A1192" s="12" t="s">
        <v>88</v>
      </c>
      <c r="B1192" s="12" t="s">
        <v>89</v>
      </c>
      <c r="C1192" s="12" t="s">
        <v>90</v>
      </c>
      <c r="D1192" t="s">
        <v>5314</v>
      </c>
      <c r="E1192" s="12" t="s">
        <v>3176</v>
      </c>
      <c r="F1192" s="12" t="s">
        <v>53</v>
      </c>
      <c r="G1192" s="12" t="s">
        <v>5405</v>
      </c>
      <c r="H1192" s="12" t="s">
        <v>89</v>
      </c>
      <c r="I1192" s="84">
        <v>27002154</v>
      </c>
      <c r="J1192" s="12" t="s">
        <v>7</v>
      </c>
      <c r="L1192" s="12" t="str">
        <f>IF(OR(ISBLANK(tblSites[[#This Row],[Implementing Partner]]), tblSites[[#This Row],[Implementing Partner]]="-"), tblSites[[#This Row],[Site Agency]], tblSites[[#This Row],[Implementing Partner]])</f>
        <v>ACTED</v>
      </c>
      <c r="M1192" s="12" t="s">
        <v>55</v>
      </c>
      <c r="N1192" s="12" t="str">
        <f>tblSites[[#This Row],[FinalImplementingPartner]]</f>
        <v>ACTED</v>
      </c>
    </row>
    <row r="1193" spans="1:14" x14ac:dyDescent="0.25">
      <c r="A1193" s="12" t="s">
        <v>91</v>
      </c>
      <c r="B1193" s="12" t="s">
        <v>92</v>
      </c>
      <c r="C1193" s="12" t="s">
        <v>93</v>
      </c>
      <c r="D1193" t="s">
        <v>5314</v>
      </c>
      <c r="E1193" s="12" t="s">
        <v>3176</v>
      </c>
      <c r="F1193" s="12" t="s">
        <v>82</v>
      </c>
      <c r="G1193" s="12" t="s">
        <v>5423</v>
      </c>
      <c r="H1193" s="12" t="s">
        <v>92</v>
      </c>
      <c r="I1193" s="84">
        <v>27001153</v>
      </c>
      <c r="J1193" s="12" t="s">
        <v>7</v>
      </c>
      <c r="L1193" s="12" t="str">
        <f>IF(OR(ISBLANK(tblSites[[#This Row],[Implementing Partner]]), tblSites[[#This Row],[Implementing Partner]]="-"), tblSites[[#This Row],[Site Agency]], tblSites[[#This Row],[Implementing Partner]])</f>
        <v>ACTED</v>
      </c>
      <c r="M1193" s="12" t="s">
        <v>55</v>
      </c>
      <c r="N1193" s="12" t="str">
        <f>tblSites[[#This Row],[FinalImplementingPartner]]</f>
        <v>ACTED</v>
      </c>
    </row>
    <row r="1194" spans="1:14" x14ac:dyDescent="0.25">
      <c r="A1194" s="12" t="s">
        <v>2306</v>
      </c>
      <c r="B1194" s="12" t="s">
        <v>2307</v>
      </c>
      <c r="C1194" s="12" t="s">
        <v>2308</v>
      </c>
      <c r="D1194" t="s">
        <v>5314</v>
      </c>
      <c r="E1194" s="12" t="s">
        <v>3176</v>
      </c>
      <c r="F1194" s="12" t="s">
        <v>440</v>
      </c>
      <c r="G1194" s="12" t="s">
        <v>5415</v>
      </c>
      <c r="H1194" s="12" t="s">
        <v>2307</v>
      </c>
      <c r="I1194" s="84">
        <v>27003176</v>
      </c>
      <c r="J1194" s="12" t="s">
        <v>1215</v>
      </c>
      <c r="L1194" s="12" t="str">
        <f>IF(OR(ISBLANK(tblSites[[#This Row],[Implementing Partner]]), tblSites[[#This Row],[Implementing Partner]]="-"), tblSites[[#This Row],[Site Agency]], tblSites[[#This Row],[Implementing Partner]])</f>
        <v>UNRWA</v>
      </c>
      <c r="M1194" s="12" t="s">
        <v>55</v>
      </c>
      <c r="N1194" s="12" t="str">
        <f>tblSites[[#This Row],[FinalImplementingPartner]]</f>
        <v>UNRWA</v>
      </c>
    </row>
    <row r="1195" spans="1:14" x14ac:dyDescent="0.25">
      <c r="A1195" s="12" t="s">
        <v>2303</v>
      </c>
      <c r="B1195" s="12" t="s">
        <v>2304</v>
      </c>
      <c r="C1195" s="12" t="s">
        <v>2305</v>
      </c>
      <c r="D1195" t="s">
        <v>5314</v>
      </c>
      <c r="E1195" s="12" t="s">
        <v>3176</v>
      </c>
      <c r="F1195" s="12" t="s">
        <v>440</v>
      </c>
      <c r="G1195" s="12" t="s">
        <v>5415</v>
      </c>
      <c r="H1195" s="12" t="s">
        <v>2304</v>
      </c>
      <c r="I1195" s="84">
        <v>27003176</v>
      </c>
      <c r="J1195" s="12" t="s">
        <v>1215</v>
      </c>
      <c r="L1195" s="12" t="str">
        <f>IF(OR(ISBLANK(tblSites[[#This Row],[Implementing Partner]]), tblSites[[#This Row],[Implementing Partner]]="-"), tblSites[[#This Row],[Site Agency]], tblSites[[#This Row],[Implementing Partner]])</f>
        <v>UNRWA</v>
      </c>
      <c r="M1195" s="12" t="s">
        <v>55</v>
      </c>
      <c r="N1195" s="12" t="str">
        <f>tblSites[[#This Row],[FinalImplementingPartner]]</f>
        <v>UNRWA</v>
      </c>
    </row>
    <row r="1196" spans="1:14" x14ac:dyDescent="0.25">
      <c r="A1196" s="12" t="s">
        <v>2282</v>
      </c>
      <c r="B1196" s="12" t="s">
        <v>2283</v>
      </c>
      <c r="C1196" s="12" t="s">
        <v>2284</v>
      </c>
      <c r="D1196" t="s">
        <v>5314</v>
      </c>
      <c r="E1196" s="12" t="s">
        <v>3176</v>
      </c>
      <c r="F1196" s="12" t="s">
        <v>440</v>
      </c>
      <c r="G1196" s="12" t="s">
        <v>5415</v>
      </c>
      <c r="H1196" s="12" t="s">
        <v>2283</v>
      </c>
      <c r="I1196" s="84">
        <v>27003176</v>
      </c>
      <c r="J1196" s="12" t="s">
        <v>1215</v>
      </c>
      <c r="L1196" s="12" t="str">
        <f>IF(OR(ISBLANK(tblSites[[#This Row],[Implementing Partner]]), tblSites[[#This Row],[Implementing Partner]]="-"), tblSites[[#This Row],[Site Agency]], tblSites[[#This Row],[Implementing Partner]])</f>
        <v>UNRWA</v>
      </c>
      <c r="M1196" s="12" t="s">
        <v>55</v>
      </c>
      <c r="N1196" s="12" t="str">
        <f>tblSites[[#This Row],[FinalImplementingPartner]]</f>
        <v>UNRWA</v>
      </c>
    </row>
    <row r="1197" spans="1:14" x14ac:dyDescent="0.25">
      <c r="A1197" s="12" t="s">
        <v>2270</v>
      </c>
      <c r="B1197" s="12" t="s">
        <v>2271</v>
      </c>
      <c r="C1197" s="12" t="s">
        <v>2272</v>
      </c>
      <c r="D1197" t="s">
        <v>5314</v>
      </c>
      <c r="E1197" s="12" t="s">
        <v>3176</v>
      </c>
      <c r="F1197" s="12" t="s">
        <v>440</v>
      </c>
      <c r="G1197" s="12" t="s">
        <v>5415</v>
      </c>
      <c r="H1197" s="12" t="s">
        <v>2271</v>
      </c>
      <c r="I1197" s="84">
        <v>27003176</v>
      </c>
      <c r="J1197" s="12" t="s">
        <v>1215</v>
      </c>
      <c r="L1197" s="12" t="str">
        <f>IF(OR(ISBLANK(tblSites[[#This Row],[Implementing Partner]]), tblSites[[#This Row],[Implementing Partner]]="-"), tblSites[[#This Row],[Site Agency]], tblSites[[#This Row],[Implementing Partner]])</f>
        <v>UNRWA</v>
      </c>
      <c r="M1197" s="12" t="s">
        <v>55</v>
      </c>
      <c r="N1197" s="12" t="str">
        <f>tblSites[[#This Row],[FinalImplementingPartner]]</f>
        <v>UNRWA</v>
      </c>
    </row>
    <row r="1198" spans="1:14" x14ac:dyDescent="0.25">
      <c r="A1198" s="12" t="s">
        <v>3172</v>
      </c>
      <c r="B1198" s="12" t="s">
        <v>3173</v>
      </c>
      <c r="C1198" s="12" t="s">
        <v>3174</v>
      </c>
      <c r="D1198" t="s">
        <v>5314</v>
      </c>
      <c r="E1198" s="12" t="s">
        <v>3176</v>
      </c>
      <c r="F1198" s="12" t="s">
        <v>440</v>
      </c>
      <c r="G1198" s="12" t="s">
        <v>5415</v>
      </c>
      <c r="H1198" s="12" t="s">
        <v>3173</v>
      </c>
      <c r="I1198" s="84">
        <v>27003176</v>
      </c>
      <c r="J1198" s="12" t="s">
        <v>1215</v>
      </c>
      <c r="L1198" s="12" t="str">
        <f>IF(OR(ISBLANK(tblSites[[#This Row],[Implementing Partner]]), tblSites[[#This Row],[Implementing Partner]]="-"), tblSites[[#This Row],[Site Agency]], tblSites[[#This Row],[Implementing Partner]])</f>
        <v>UNRWA</v>
      </c>
      <c r="M1198" s="12" t="s">
        <v>55</v>
      </c>
      <c r="N1198" s="12" t="str">
        <f>tblSites[[#This Row],[FinalImplementingPartner]]</f>
        <v>UNRWA</v>
      </c>
    </row>
    <row r="1199" spans="1:14" x14ac:dyDescent="0.25">
      <c r="A1199" s="12" t="s">
        <v>2267</v>
      </c>
      <c r="B1199" s="12" t="s">
        <v>2268</v>
      </c>
      <c r="C1199" s="12" t="s">
        <v>2269</v>
      </c>
      <c r="D1199" t="s">
        <v>5314</v>
      </c>
      <c r="E1199" s="12" t="s">
        <v>3176</v>
      </c>
      <c r="F1199" s="12" t="s">
        <v>440</v>
      </c>
      <c r="G1199" s="12" t="s">
        <v>5415</v>
      </c>
      <c r="H1199" s="12" t="s">
        <v>2268</v>
      </c>
      <c r="I1199" s="84">
        <v>27003176</v>
      </c>
      <c r="J1199" s="12" t="s">
        <v>1215</v>
      </c>
      <c r="L1199" s="12" t="str">
        <f>IF(OR(ISBLANK(tblSites[[#This Row],[Implementing Partner]]), tblSites[[#This Row],[Implementing Partner]]="-"), tblSites[[#This Row],[Site Agency]], tblSites[[#This Row],[Implementing Partner]])</f>
        <v>UNRWA</v>
      </c>
      <c r="M1199" s="12" t="s">
        <v>55</v>
      </c>
      <c r="N1199" s="12" t="str">
        <f>tblSites[[#This Row],[FinalImplementingPartner]]</f>
        <v>UNRWA</v>
      </c>
    </row>
    <row r="1200" spans="1:14" x14ac:dyDescent="0.25">
      <c r="A1200" s="12" t="s">
        <v>2297</v>
      </c>
      <c r="B1200" s="12" t="s">
        <v>2298</v>
      </c>
      <c r="C1200" s="12" t="s">
        <v>2299</v>
      </c>
      <c r="D1200" t="s">
        <v>5314</v>
      </c>
      <c r="E1200" s="12" t="s">
        <v>3176</v>
      </c>
      <c r="F1200" s="12" t="s">
        <v>325</v>
      </c>
      <c r="G1200" s="12" t="s">
        <v>5422</v>
      </c>
      <c r="H1200" s="12" t="s">
        <v>2298</v>
      </c>
      <c r="I1200" s="84">
        <v>27002104</v>
      </c>
      <c r="J1200" s="12" t="s">
        <v>1215</v>
      </c>
      <c r="L1200" s="12" t="str">
        <f>IF(OR(ISBLANK(tblSites[[#This Row],[Implementing Partner]]), tblSites[[#This Row],[Implementing Partner]]="-"), tblSites[[#This Row],[Site Agency]], tblSites[[#This Row],[Implementing Partner]])</f>
        <v>UNRWA</v>
      </c>
      <c r="M1200" s="12" t="s">
        <v>55</v>
      </c>
      <c r="N1200" s="12" t="str">
        <f>tblSites[[#This Row],[FinalImplementingPartner]]</f>
        <v>UNRWA</v>
      </c>
    </row>
    <row r="1201" spans="1:14" x14ac:dyDescent="0.25">
      <c r="A1201" s="12" t="s">
        <v>2264</v>
      </c>
      <c r="B1201" s="12" t="s">
        <v>2265</v>
      </c>
      <c r="C1201" s="12" t="s">
        <v>389</v>
      </c>
      <c r="D1201" t="s">
        <v>5314</v>
      </c>
      <c r="E1201" s="12" t="s">
        <v>3176</v>
      </c>
      <c r="F1201" s="12" t="s">
        <v>2266</v>
      </c>
      <c r="G1201" s="12" t="s">
        <v>5424</v>
      </c>
      <c r="H1201" s="12" t="s">
        <v>2265</v>
      </c>
      <c r="I1201" s="84">
        <v>27004189</v>
      </c>
      <c r="J1201" s="12" t="s">
        <v>5102</v>
      </c>
      <c r="L1201" s="12" t="str">
        <f>IF(OR(ISBLANK(tblSites[[#This Row],[Implementing Partner]]), tblSites[[#This Row],[Implementing Partner]]="-"), tblSites[[#This Row],[Site Agency]], tblSites[[#This Row],[Implementing Partner]])</f>
        <v>No SMA</v>
      </c>
      <c r="M1201" s="12" t="s">
        <v>55</v>
      </c>
      <c r="N1201" s="12" t="str">
        <f>tblSites[[#This Row],[FinalImplementingPartner]]</f>
        <v>No SMA</v>
      </c>
    </row>
    <row r="1202" spans="1:14" x14ac:dyDescent="0.25">
      <c r="A1202" s="12" t="s">
        <v>2256</v>
      </c>
      <c r="B1202" s="12" t="s">
        <v>2257</v>
      </c>
      <c r="C1202" s="12" t="s">
        <v>2258</v>
      </c>
      <c r="D1202" t="s">
        <v>5314</v>
      </c>
      <c r="E1202" s="12" t="s">
        <v>3176</v>
      </c>
      <c r="F1202" s="12" t="s">
        <v>440</v>
      </c>
      <c r="G1202" s="12" t="s">
        <v>5415</v>
      </c>
      <c r="H1202" s="12" t="s">
        <v>2257</v>
      </c>
      <c r="I1202" s="84">
        <v>27003176</v>
      </c>
      <c r="J1202" s="12" t="s">
        <v>1215</v>
      </c>
      <c r="L1202" s="12" t="str">
        <f>IF(OR(ISBLANK(tblSites[[#This Row],[Implementing Partner]]), tblSites[[#This Row],[Implementing Partner]]="-"), tblSites[[#This Row],[Site Agency]], tblSites[[#This Row],[Implementing Partner]])</f>
        <v>UNRWA</v>
      </c>
      <c r="M1202" s="12" t="s">
        <v>55</v>
      </c>
      <c r="N1202" s="12" t="str">
        <f>tblSites[[#This Row],[FinalImplementingPartner]]</f>
        <v>UNRWA</v>
      </c>
    </row>
    <row r="1203" spans="1:14" x14ac:dyDescent="0.25">
      <c r="A1203" s="12" t="s">
        <v>2291</v>
      </c>
      <c r="B1203" s="12" t="s">
        <v>2292</v>
      </c>
      <c r="C1203" s="12" t="s">
        <v>2293</v>
      </c>
      <c r="D1203" t="s">
        <v>5314</v>
      </c>
      <c r="E1203" s="12" t="s">
        <v>3176</v>
      </c>
      <c r="F1203" s="12" t="s">
        <v>440</v>
      </c>
      <c r="G1203" s="12" t="s">
        <v>5415</v>
      </c>
      <c r="H1203" s="12" t="s">
        <v>2292</v>
      </c>
      <c r="I1203" s="84">
        <v>27003176</v>
      </c>
      <c r="J1203" s="12" t="s">
        <v>1215</v>
      </c>
      <c r="L1203" s="12" t="str">
        <f>IF(OR(ISBLANK(tblSites[[#This Row],[Implementing Partner]]), tblSites[[#This Row],[Implementing Partner]]="-"), tblSites[[#This Row],[Site Agency]], tblSites[[#This Row],[Implementing Partner]])</f>
        <v>UNRWA</v>
      </c>
      <c r="M1203" s="12" t="s">
        <v>55</v>
      </c>
      <c r="N1203" s="12" t="str">
        <f>tblSites[[#This Row],[FinalImplementingPartner]]</f>
        <v>UNRWA</v>
      </c>
    </row>
    <row r="1204" spans="1:14" x14ac:dyDescent="0.25">
      <c r="A1204" s="12" t="s">
        <v>2316</v>
      </c>
      <c r="B1204" s="12" t="s">
        <v>2317</v>
      </c>
      <c r="C1204" s="12" t="s">
        <v>2318</v>
      </c>
      <c r="D1204" t="s">
        <v>5314</v>
      </c>
      <c r="E1204" s="12" t="s">
        <v>3176</v>
      </c>
      <c r="F1204" s="12" t="s">
        <v>325</v>
      </c>
      <c r="G1204" s="12" t="s">
        <v>5422</v>
      </c>
      <c r="H1204" s="12" t="s">
        <v>2317</v>
      </c>
      <c r="I1204" s="84">
        <v>27002104</v>
      </c>
      <c r="J1204" s="12" t="s">
        <v>1215</v>
      </c>
      <c r="L1204" s="12" t="str">
        <f>IF(OR(ISBLANK(tblSites[[#This Row],[Implementing Partner]]), tblSites[[#This Row],[Implementing Partner]]="-"), tblSites[[#This Row],[Site Agency]], tblSites[[#This Row],[Implementing Partner]])</f>
        <v>UNRWA</v>
      </c>
      <c r="M1204" s="12" t="s">
        <v>55</v>
      </c>
      <c r="N1204" s="12" t="str">
        <f>tblSites[[#This Row],[FinalImplementingPartner]]</f>
        <v>UNRWA</v>
      </c>
    </row>
    <row r="1205" spans="1:14" x14ac:dyDescent="0.25">
      <c r="A1205" s="12" t="s">
        <v>2294</v>
      </c>
      <c r="B1205" s="12" t="s">
        <v>2295</v>
      </c>
      <c r="C1205" s="12" t="s">
        <v>2296</v>
      </c>
      <c r="D1205" t="s">
        <v>5314</v>
      </c>
      <c r="E1205" s="12" t="s">
        <v>3176</v>
      </c>
      <c r="F1205" s="12" t="s">
        <v>440</v>
      </c>
      <c r="G1205" s="12" t="s">
        <v>5415</v>
      </c>
      <c r="H1205" s="12" t="s">
        <v>2295</v>
      </c>
      <c r="I1205" s="84">
        <v>27003176</v>
      </c>
      <c r="J1205" s="12" t="s">
        <v>1215</v>
      </c>
      <c r="L1205" s="12" t="str">
        <f>IF(OR(ISBLANK(tblSites[[#This Row],[Implementing Partner]]), tblSites[[#This Row],[Implementing Partner]]="-"), tblSites[[#This Row],[Site Agency]], tblSites[[#This Row],[Implementing Partner]])</f>
        <v>UNRWA</v>
      </c>
      <c r="M1205" s="12" t="s">
        <v>55</v>
      </c>
      <c r="N1205" s="12" t="str">
        <f>tblSites[[#This Row],[FinalImplementingPartner]]</f>
        <v>UNRWA</v>
      </c>
    </row>
    <row r="1206" spans="1:14" x14ac:dyDescent="0.25">
      <c r="A1206" s="12" t="s">
        <v>2276</v>
      </c>
      <c r="B1206" s="12" t="s">
        <v>2277</v>
      </c>
      <c r="C1206" s="12" t="s">
        <v>2278</v>
      </c>
      <c r="D1206" t="s">
        <v>5314</v>
      </c>
      <c r="E1206" s="12" t="s">
        <v>3176</v>
      </c>
      <c r="F1206" s="12" t="s">
        <v>440</v>
      </c>
      <c r="G1206" s="12" t="s">
        <v>5415</v>
      </c>
      <c r="H1206" s="12" t="s">
        <v>2277</v>
      </c>
      <c r="I1206" s="84">
        <v>27003176</v>
      </c>
      <c r="J1206" s="12" t="s">
        <v>1215</v>
      </c>
      <c r="L1206" s="12" t="str">
        <f>IF(OR(ISBLANK(tblSites[[#This Row],[Implementing Partner]]), tblSites[[#This Row],[Implementing Partner]]="-"), tblSites[[#This Row],[Site Agency]], tblSites[[#This Row],[Implementing Partner]])</f>
        <v>UNRWA</v>
      </c>
      <c r="M1206" s="12" t="s">
        <v>55</v>
      </c>
      <c r="N1206" s="12" t="str">
        <f>tblSites[[#This Row],[FinalImplementingPartner]]</f>
        <v>UNRWA</v>
      </c>
    </row>
    <row r="1207" spans="1:14" x14ac:dyDescent="0.25">
      <c r="A1207" s="12" t="s">
        <v>2273</v>
      </c>
      <c r="B1207" s="12" t="s">
        <v>2274</v>
      </c>
      <c r="C1207" s="12" t="s">
        <v>2275</v>
      </c>
      <c r="D1207" t="s">
        <v>5314</v>
      </c>
      <c r="E1207" s="12" t="s">
        <v>3176</v>
      </c>
      <c r="F1207" s="12" t="s">
        <v>325</v>
      </c>
      <c r="G1207" s="12" t="s">
        <v>5422</v>
      </c>
      <c r="H1207" s="12" t="s">
        <v>2274</v>
      </c>
      <c r="I1207" s="84">
        <v>27002104</v>
      </c>
      <c r="J1207" s="12" t="s">
        <v>1215</v>
      </c>
      <c r="L1207" s="12" t="str">
        <f>IF(OR(ISBLANK(tblSites[[#This Row],[Implementing Partner]]), tblSites[[#This Row],[Implementing Partner]]="-"), tblSites[[#This Row],[Site Agency]], tblSites[[#This Row],[Implementing Partner]])</f>
        <v>UNRWA</v>
      </c>
      <c r="M1207" s="12" t="s">
        <v>55</v>
      </c>
      <c r="N1207" s="12" t="str">
        <f>tblSites[[#This Row],[FinalImplementingPartner]]</f>
        <v>UNRWA</v>
      </c>
    </row>
    <row r="1208" spans="1:14" x14ac:dyDescent="0.25">
      <c r="A1208" s="12" t="s">
        <v>2279</v>
      </c>
      <c r="B1208" s="12" t="s">
        <v>2280</v>
      </c>
      <c r="C1208" s="12" t="s">
        <v>2281</v>
      </c>
      <c r="D1208" t="s">
        <v>5314</v>
      </c>
      <c r="E1208" s="12" t="s">
        <v>3176</v>
      </c>
      <c r="F1208" s="12" t="s">
        <v>325</v>
      </c>
      <c r="G1208" s="12" t="s">
        <v>5422</v>
      </c>
      <c r="H1208" s="12" t="s">
        <v>2280</v>
      </c>
      <c r="I1208" s="84">
        <v>27002104</v>
      </c>
      <c r="J1208" s="12" t="s">
        <v>1215</v>
      </c>
      <c r="L1208" s="12" t="str">
        <f>IF(OR(ISBLANK(tblSites[[#This Row],[Implementing Partner]]), tblSites[[#This Row],[Implementing Partner]]="-"), tblSites[[#This Row],[Site Agency]], tblSites[[#This Row],[Implementing Partner]])</f>
        <v>UNRWA</v>
      </c>
      <c r="M1208" s="12" t="s">
        <v>55</v>
      </c>
      <c r="N1208" s="12" t="str">
        <f>tblSites[[#This Row],[FinalImplementingPartner]]</f>
        <v>UNRWA</v>
      </c>
    </row>
    <row r="1209" spans="1:14" x14ac:dyDescent="0.25">
      <c r="A1209" s="12" t="s">
        <v>2300</v>
      </c>
      <c r="B1209" s="12" t="s">
        <v>2301</v>
      </c>
      <c r="C1209" s="12" t="s">
        <v>2302</v>
      </c>
      <c r="D1209" t="s">
        <v>5314</v>
      </c>
      <c r="E1209" s="12" t="s">
        <v>3176</v>
      </c>
      <c r="F1209" s="12" t="s">
        <v>325</v>
      </c>
      <c r="G1209" s="12" t="s">
        <v>5422</v>
      </c>
      <c r="H1209" s="12" t="s">
        <v>2301</v>
      </c>
      <c r="I1209" s="84">
        <v>27002104</v>
      </c>
      <c r="J1209" s="12" t="s">
        <v>1215</v>
      </c>
      <c r="L1209" s="12" t="str">
        <f>IF(OR(ISBLANK(tblSites[[#This Row],[Implementing Partner]]), tblSites[[#This Row],[Implementing Partner]]="-"), tblSites[[#This Row],[Site Agency]], tblSites[[#This Row],[Implementing Partner]])</f>
        <v>UNRWA</v>
      </c>
      <c r="M1209" s="12" t="s">
        <v>55</v>
      </c>
      <c r="N1209" s="12" t="str">
        <f>tblSites[[#This Row],[FinalImplementingPartner]]</f>
        <v>UNRWA</v>
      </c>
    </row>
    <row r="1210" spans="1:14" x14ac:dyDescent="0.25">
      <c r="A1210" s="12" t="s">
        <v>2532</v>
      </c>
      <c r="B1210" s="12" t="s">
        <v>2533</v>
      </c>
      <c r="C1210" s="12" t="s">
        <v>2534</v>
      </c>
      <c r="D1210" t="s">
        <v>5314</v>
      </c>
      <c r="E1210" s="12" t="s">
        <v>3176</v>
      </c>
      <c r="F1210" s="12" t="s">
        <v>79</v>
      </c>
      <c r="G1210" s="12" t="s">
        <v>5419</v>
      </c>
      <c r="H1210" s="12" t="s">
        <v>2533</v>
      </c>
      <c r="I1210" s="84">
        <v>27002101</v>
      </c>
      <c r="J1210" s="12" t="s">
        <v>5102</v>
      </c>
      <c r="L1210" s="12" t="str">
        <f>IF(OR(ISBLANK(tblSites[[#This Row],[Implementing Partner]]), tblSites[[#This Row],[Implementing Partner]]="-"), tblSites[[#This Row],[Site Agency]], tblSites[[#This Row],[Implementing Partner]])</f>
        <v>No SMA</v>
      </c>
      <c r="M1210" s="12" t="s">
        <v>55</v>
      </c>
      <c r="N1210" s="12" t="str">
        <f>tblSites[[#This Row],[FinalImplementingPartner]]</f>
        <v>No SMA</v>
      </c>
    </row>
    <row r="1211" spans="1:14" x14ac:dyDescent="0.25">
      <c r="A1211" s="12" t="s">
        <v>1660</v>
      </c>
      <c r="B1211" s="12" t="s">
        <v>1661</v>
      </c>
      <c r="C1211" s="12" t="s">
        <v>737</v>
      </c>
      <c r="D1211" t="s">
        <v>5314</v>
      </c>
      <c r="E1211" s="12" t="s">
        <v>3176</v>
      </c>
      <c r="F1211" s="12" t="s">
        <v>173</v>
      </c>
      <c r="G1211" s="12" t="s">
        <v>5404</v>
      </c>
      <c r="H1211" s="12" t="s">
        <v>1661</v>
      </c>
      <c r="I1211" s="84">
        <v>27002105</v>
      </c>
      <c r="J1211" s="12" t="s">
        <v>5102</v>
      </c>
      <c r="L1211" s="12" t="str">
        <f>IF(OR(ISBLANK(tblSites[[#This Row],[Implementing Partner]]), tblSites[[#This Row],[Implementing Partner]]="-"), tblSites[[#This Row],[Site Agency]], tblSites[[#This Row],[Implementing Partner]])</f>
        <v>No SMA</v>
      </c>
      <c r="M1211" s="12" t="s">
        <v>55</v>
      </c>
      <c r="N1211" s="12" t="str">
        <f>tblSites[[#This Row],[FinalImplementingPartner]]</f>
        <v>No SMA</v>
      </c>
    </row>
    <row r="1212" spans="1:14" x14ac:dyDescent="0.25">
      <c r="A1212" s="12" t="s">
        <v>2198</v>
      </c>
      <c r="B1212" s="12" t="s">
        <v>2199</v>
      </c>
      <c r="C1212" s="12" t="s">
        <v>2200</v>
      </c>
      <c r="D1212" t="s">
        <v>5314</v>
      </c>
      <c r="E1212" s="12" t="s">
        <v>3176</v>
      </c>
      <c r="F1212" s="12" t="s">
        <v>79</v>
      </c>
      <c r="G1212" s="12" t="s">
        <v>5419</v>
      </c>
      <c r="H1212" s="12" t="s">
        <v>2199</v>
      </c>
      <c r="I1212" s="84">
        <v>27002101</v>
      </c>
      <c r="J1212" s="12" t="s">
        <v>5102</v>
      </c>
      <c r="L1212" s="12" t="str">
        <f>IF(OR(ISBLANK(tblSites[[#This Row],[Implementing Partner]]), tblSites[[#This Row],[Implementing Partner]]="-"), tblSites[[#This Row],[Site Agency]], tblSites[[#This Row],[Implementing Partner]])</f>
        <v>No SMA</v>
      </c>
      <c r="M1212" s="12" t="s">
        <v>55</v>
      </c>
      <c r="N1212" s="12" t="str">
        <f>tblSites[[#This Row],[FinalImplementingPartner]]</f>
        <v>No SMA</v>
      </c>
    </row>
    <row r="1213" spans="1:14" x14ac:dyDescent="0.25">
      <c r="A1213" s="12" t="s">
        <v>896</v>
      </c>
      <c r="B1213" s="12" t="s">
        <v>897</v>
      </c>
      <c r="C1213" s="12" t="s">
        <v>3131</v>
      </c>
      <c r="D1213" t="s">
        <v>5314</v>
      </c>
      <c r="E1213" s="12" t="s">
        <v>3176</v>
      </c>
      <c r="F1213" s="12" t="s">
        <v>53</v>
      </c>
      <c r="G1213" s="12" t="s">
        <v>5406</v>
      </c>
      <c r="H1213" s="12" t="s">
        <v>897</v>
      </c>
      <c r="I1213" s="84">
        <v>27002154</v>
      </c>
      <c r="J1213" s="12" t="s">
        <v>5102</v>
      </c>
      <c r="L1213" s="12" t="str">
        <f>IF(OR(ISBLANK(tblSites[[#This Row],[Implementing Partner]]), tblSites[[#This Row],[Implementing Partner]]="-"), tblSites[[#This Row],[Site Agency]], tblSites[[#This Row],[Implementing Partner]])</f>
        <v>No SMA</v>
      </c>
      <c r="M1213" s="12" t="s">
        <v>55</v>
      </c>
      <c r="N1213" s="12" t="str">
        <f>tblSites[[#This Row],[FinalImplementingPartner]]</f>
        <v>No SMA</v>
      </c>
    </row>
    <row r="1214" spans="1:14" x14ac:dyDescent="0.25">
      <c r="A1214" s="12" t="s">
        <v>2971</v>
      </c>
      <c r="B1214" s="12" t="s">
        <v>2972</v>
      </c>
      <c r="C1214" s="12" t="s">
        <v>734</v>
      </c>
      <c r="D1214" t="s">
        <v>5314</v>
      </c>
      <c r="E1214" s="12" t="s">
        <v>3176</v>
      </c>
      <c r="F1214" s="12" t="s">
        <v>173</v>
      </c>
      <c r="G1214" s="12" t="s">
        <v>5404</v>
      </c>
      <c r="H1214" s="12" t="s">
        <v>2972</v>
      </c>
      <c r="I1214" s="84">
        <v>27002105</v>
      </c>
      <c r="J1214" s="12" t="s">
        <v>5102</v>
      </c>
      <c r="L1214" s="12" t="str">
        <f>IF(OR(ISBLANK(tblSites[[#This Row],[Implementing Partner]]), tblSites[[#This Row],[Implementing Partner]]="-"), tblSites[[#This Row],[Site Agency]], tblSites[[#This Row],[Implementing Partner]])</f>
        <v>No SMA</v>
      </c>
      <c r="M1214" s="12" t="s">
        <v>55</v>
      </c>
      <c r="N1214" s="12" t="str">
        <f>tblSites[[#This Row],[FinalImplementingPartner]]</f>
        <v>No SMA</v>
      </c>
    </row>
    <row r="1215" spans="1:14" x14ac:dyDescent="0.25">
      <c r="A1215" s="12" t="s">
        <v>1274</v>
      </c>
      <c r="B1215" s="12" t="s">
        <v>1275</v>
      </c>
      <c r="C1215" s="12" t="s">
        <v>1276</v>
      </c>
      <c r="D1215" t="s">
        <v>5314</v>
      </c>
      <c r="E1215" s="12" t="s">
        <v>3176</v>
      </c>
      <c r="F1215" s="12" t="s">
        <v>173</v>
      </c>
      <c r="G1215" s="12" t="s">
        <v>5404</v>
      </c>
      <c r="H1215" s="12" t="s">
        <v>1275</v>
      </c>
      <c r="I1215" s="84">
        <v>27002105</v>
      </c>
      <c r="J1215" s="12" t="s">
        <v>5102</v>
      </c>
      <c r="L1215" s="12" t="str">
        <f>IF(OR(ISBLANK(tblSites[[#This Row],[Implementing Partner]]), tblSites[[#This Row],[Implementing Partner]]="-"), tblSites[[#This Row],[Site Agency]], tblSites[[#This Row],[Implementing Partner]])</f>
        <v>No SMA</v>
      </c>
      <c r="M1215" s="12" t="s">
        <v>55</v>
      </c>
      <c r="N1215" s="12" t="str">
        <f>tblSites[[#This Row],[FinalImplementingPartner]]</f>
        <v>No SMA</v>
      </c>
    </row>
    <row r="1216" spans="1:14" x14ac:dyDescent="0.25">
      <c r="A1216" s="12" t="s">
        <v>805</v>
      </c>
      <c r="B1216" s="12" t="s">
        <v>806</v>
      </c>
      <c r="C1216" s="12" t="s">
        <v>807</v>
      </c>
      <c r="D1216" t="s">
        <v>5314</v>
      </c>
      <c r="E1216" s="12" t="s">
        <v>3176</v>
      </c>
      <c r="F1216" s="12" t="s">
        <v>79</v>
      </c>
      <c r="G1216" s="12" t="s">
        <v>5419</v>
      </c>
      <c r="H1216" s="12" t="s">
        <v>806</v>
      </c>
      <c r="I1216" s="84">
        <v>27002101</v>
      </c>
      <c r="J1216" s="12" t="s">
        <v>5102</v>
      </c>
      <c r="L1216" s="12" t="str">
        <f>IF(OR(ISBLANK(tblSites[[#This Row],[Implementing Partner]]), tblSites[[#This Row],[Implementing Partner]]="-"), tblSites[[#This Row],[Site Agency]], tblSites[[#This Row],[Implementing Partner]])</f>
        <v>No SMA</v>
      </c>
      <c r="M1216" s="12" t="s">
        <v>55</v>
      </c>
      <c r="N1216" s="12" t="str">
        <f>tblSites[[#This Row],[FinalImplementingPartner]]</f>
        <v>No SMA</v>
      </c>
    </row>
    <row r="1217" spans="1:14" x14ac:dyDescent="0.25">
      <c r="A1217" s="12" t="s">
        <v>5256</v>
      </c>
      <c r="B1217" s="12" t="s">
        <v>5271</v>
      </c>
      <c r="C1217" s="12" t="s">
        <v>5300</v>
      </c>
      <c r="D1217" t="s">
        <v>5314</v>
      </c>
      <c r="E1217" s="12" t="s">
        <v>3176</v>
      </c>
      <c r="F1217" s="12" t="s">
        <v>173</v>
      </c>
      <c r="G1217" s="12" t="s">
        <v>5404</v>
      </c>
      <c r="H1217" s="12" t="s">
        <v>5271</v>
      </c>
      <c r="I1217" s="84">
        <v>27002105</v>
      </c>
      <c r="J1217" s="12" t="s">
        <v>5102</v>
      </c>
      <c r="L1217" s="12" t="str">
        <f>IF(OR(ISBLANK(tblSites[[#This Row],[Implementing Partner]]), tblSites[[#This Row],[Implementing Partner]]="-"), tblSites[[#This Row],[Site Agency]], tblSites[[#This Row],[Implementing Partner]])</f>
        <v>No SMA</v>
      </c>
      <c r="M1217" s="12" t="s">
        <v>55</v>
      </c>
      <c r="N1217" s="12" t="str">
        <f>tblSites[[#This Row],[FinalImplementingPartner]]</f>
        <v>No SMA</v>
      </c>
    </row>
    <row r="1218" spans="1:14" x14ac:dyDescent="0.25">
      <c r="A1218" s="12" t="s">
        <v>1413</v>
      </c>
      <c r="B1218" s="12" t="s">
        <v>1414</v>
      </c>
      <c r="C1218" s="12" t="s">
        <v>1415</v>
      </c>
      <c r="D1218" t="s">
        <v>5314</v>
      </c>
      <c r="E1218" s="12" t="s">
        <v>3176</v>
      </c>
      <c r="F1218" s="12" t="s">
        <v>1360</v>
      </c>
      <c r="G1218" s="12" t="s">
        <v>5417</v>
      </c>
      <c r="H1218" s="12" t="s">
        <v>1414</v>
      </c>
      <c r="I1218" s="84">
        <v>27002107</v>
      </c>
      <c r="J1218" s="12" t="s">
        <v>5102</v>
      </c>
      <c r="L1218" s="12" t="str">
        <f>IF(OR(ISBLANK(tblSites[[#This Row],[Implementing Partner]]), tblSites[[#This Row],[Implementing Partner]]="-"), tblSites[[#This Row],[Site Agency]], tblSites[[#This Row],[Implementing Partner]])</f>
        <v>No SMA</v>
      </c>
      <c r="M1218" s="12" t="s">
        <v>55</v>
      </c>
      <c r="N1218" s="12" t="str">
        <f>tblSites[[#This Row],[FinalImplementingPartner]]</f>
        <v>No SMA</v>
      </c>
    </row>
    <row r="1219" spans="1:14" x14ac:dyDescent="0.25">
      <c r="A1219" s="12" t="s">
        <v>1480</v>
      </c>
      <c r="B1219" s="12" t="s">
        <v>1481</v>
      </c>
      <c r="C1219" s="12" t="s">
        <v>209</v>
      </c>
      <c r="D1219" t="s">
        <v>5314</v>
      </c>
      <c r="E1219" s="12" t="s">
        <v>3176</v>
      </c>
      <c r="F1219" s="12" t="s">
        <v>173</v>
      </c>
      <c r="G1219" s="12" t="s">
        <v>5404</v>
      </c>
      <c r="H1219" s="12" t="s">
        <v>1481</v>
      </c>
      <c r="I1219" s="84">
        <v>27002105</v>
      </c>
      <c r="J1219" s="12" t="s">
        <v>5102</v>
      </c>
      <c r="L1219" s="12" t="str">
        <f>IF(OR(ISBLANK(tblSites[[#This Row],[Implementing Partner]]), tblSites[[#This Row],[Implementing Partner]]="-"), tblSites[[#This Row],[Site Agency]], tblSites[[#This Row],[Implementing Partner]])</f>
        <v>No SMA</v>
      </c>
      <c r="M1219" s="12" t="s">
        <v>55</v>
      </c>
      <c r="N1219" s="12" t="str">
        <f>tblSites[[#This Row],[FinalImplementingPartner]]</f>
        <v>No SMA</v>
      </c>
    </row>
    <row r="1220" spans="1:14" x14ac:dyDescent="0.25">
      <c r="A1220" s="12" t="s">
        <v>1468</v>
      </c>
      <c r="B1220" s="12" t="s">
        <v>1469</v>
      </c>
      <c r="C1220" s="12" t="s">
        <v>1470</v>
      </c>
      <c r="D1220" t="s">
        <v>5314</v>
      </c>
      <c r="E1220" s="12" t="s">
        <v>3176</v>
      </c>
      <c r="F1220" s="12" t="s">
        <v>173</v>
      </c>
      <c r="G1220" s="12" t="s">
        <v>5404</v>
      </c>
      <c r="H1220" s="12" t="s">
        <v>1469</v>
      </c>
      <c r="I1220" s="84">
        <v>27002105</v>
      </c>
      <c r="J1220" s="12" t="s">
        <v>5102</v>
      </c>
      <c r="L1220" s="12" t="str">
        <f>IF(OR(ISBLANK(tblSites[[#This Row],[Implementing Partner]]), tblSites[[#This Row],[Implementing Partner]]="-"), tblSites[[#This Row],[Site Agency]], tblSites[[#This Row],[Implementing Partner]])</f>
        <v>No SMA</v>
      </c>
      <c r="M1220" s="12" t="s">
        <v>55</v>
      </c>
      <c r="N1220" s="12" t="str">
        <f>tblSites[[#This Row],[FinalImplementingPartner]]</f>
        <v>No SMA</v>
      </c>
    </row>
    <row r="1221" spans="1:14" x14ac:dyDescent="0.25">
      <c r="A1221" s="12" t="s">
        <v>2973</v>
      </c>
      <c r="B1221" s="12" t="s">
        <v>2974</v>
      </c>
      <c r="D1221" t="s">
        <v>5314</v>
      </c>
      <c r="E1221" s="12" t="s">
        <v>3176</v>
      </c>
      <c r="F1221" s="12" t="s">
        <v>173</v>
      </c>
      <c r="G1221" s="12" t="s">
        <v>5404</v>
      </c>
      <c r="H1221" s="12" t="s">
        <v>2974</v>
      </c>
      <c r="I1221" s="84">
        <v>27002105</v>
      </c>
      <c r="J1221" s="12" t="s">
        <v>5102</v>
      </c>
      <c r="L1221" s="12" t="str">
        <f>IF(OR(ISBLANK(tblSites[[#This Row],[Implementing Partner]]), tblSites[[#This Row],[Implementing Partner]]="-"), tblSites[[#This Row],[Site Agency]], tblSites[[#This Row],[Implementing Partner]])</f>
        <v>No SMA</v>
      </c>
      <c r="M1221" s="12" t="s">
        <v>55</v>
      </c>
      <c r="N1221" s="12" t="str">
        <f>tblSites[[#This Row],[FinalImplementingPartner]]</f>
        <v>No SMA</v>
      </c>
    </row>
    <row r="1222" spans="1:14" x14ac:dyDescent="0.25">
      <c r="A1222" s="12" t="s">
        <v>777</v>
      </c>
      <c r="B1222" s="12" t="s">
        <v>778</v>
      </c>
      <c r="C1222" s="12" t="s">
        <v>779</v>
      </c>
      <c r="D1222" t="s">
        <v>5314</v>
      </c>
      <c r="E1222" s="12" t="s">
        <v>3176</v>
      </c>
      <c r="F1222" s="12" t="s">
        <v>53</v>
      </c>
      <c r="G1222" s="12" t="s">
        <v>5413</v>
      </c>
      <c r="H1222" s="12" t="s">
        <v>778</v>
      </c>
      <c r="I1222" s="84">
        <v>27002154</v>
      </c>
      <c r="J1222" s="12" t="s">
        <v>54</v>
      </c>
      <c r="L1222" s="12" t="str">
        <f>IF(OR(ISBLANK(tblSites[[#This Row],[Implementing Partner]]), tblSites[[#This Row],[Implementing Partner]]="-"), tblSites[[#This Row],[Site Agency]], tblSites[[#This Row],[Implementing Partner]])</f>
        <v>PHC</v>
      </c>
      <c r="M1222" s="12" t="s">
        <v>55</v>
      </c>
      <c r="N1222" s="12" t="str">
        <f>tblSites[[#This Row],[FinalImplementingPartner]]</f>
        <v>PHC</v>
      </c>
    </row>
    <row r="1223" spans="1:14" x14ac:dyDescent="0.25">
      <c r="A1223" s="12" t="s">
        <v>2975</v>
      </c>
      <c r="B1223" s="12" t="s">
        <v>2976</v>
      </c>
      <c r="D1223" t="s">
        <v>5314</v>
      </c>
      <c r="E1223" s="12" t="s">
        <v>3176</v>
      </c>
      <c r="F1223" s="12" t="s">
        <v>79</v>
      </c>
      <c r="G1223" s="12" t="s">
        <v>5419</v>
      </c>
      <c r="H1223" s="12" t="s">
        <v>2976</v>
      </c>
      <c r="I1223" s="84">
        <v>27002101</v>
      </c>
      <c r="J1223" s="12" t="s">
        <v>5102</v>
      </c>
      <c r="L1223" s="12" t="str">
        <f>IF(OR(ISBLANK(tblSites[[#This Row],[Implementing Partner]]), tblSites[[#This Row],[Implementing Partner]]="-"), tblSites[[#This Row],[Site Agency]], tblSites[[#This Row],[Implementing Partner]])</f>
        <v>No SMA</v>
      </c>
      <c r="M1223" s="12" t="s">
        <v>55</v>
      </c>
      <c r="N1223" s="12" t="str">
        <f>tblSites[[#This Row],[FinalImplementingPartner]]</f>
        <v>No SMA</v>
      </c>
    </row>
    <row r="1224" spans="1:14" x14ac:dyDescent="0.25">
      <c r="A1224" s="12" t="s">
        <v>287</v>
      </c>
      <c r="B1224" s="12" t="s">
        <v>288</v>
      </c>
      <c r="C1224" s="12" t="s">
        <v>289</v>
      </c>
      <c r="D1224" t="s">
        <v>5314</v>
      </c>
      <c r="E1224" s="12" t="s">
        <v>3176</v>
      </c>
      <c r="F1224" s="12" t="s">
        <v>53</v>
      </c>
      <c r="G1224" s="12" t="s">
        <v>5405</v>
      </c>
      <c r="H1224" s="12" t="s">
        <v>288</v>
      </c>
      <c r="I1224" s="84">
        <v>27002154</v>
      </c>
      <c r="J1224" s="12" t="s">
        <v>7</v>
      </c>
      <c r="L1224" s="12" t="str">
        <f>IF(OR(ISBLANK(tblSites[[#This Row],[Implementing Partner]]), tblSites[[#This Row],[Implementing Partner]]="-"), tblSites[[#This Row],[Site Agency]], tblSites[[#This Row],[Implementing Partner]])</f>
        <v>ACTED</v>
      </c>
      <c r="M1224" s="12" t="s">
        <v>55</v>
      </c>
      <c r="N1224" s="12" t="str">
        <f>tblSites[[#This Row],[FinalImplementingPartner]]</f>
        <v>ACTED</v>
      </c>
    </row>
    <row r="1225" spans="1:14" x14ac:dyDescent="0.25">
      <c r="A1225" s="12" t="s">
        <v>2069</v>
      </c>
      <c r="B1225" s="12" t="s">
        <v>2070</v>
      </c>
      <c r="C1225" s="12" t="s">
        <v>2071</v>
      </c>
      <c r="D1225" t="s">
        <v>5314</v>
      </c>
      <c r="E1225" s="12" t="s">
        <v>3176</v>
      </c>
      <c r="F1225" s="12" t="s">
        <v>79</v>
      </c>
      <c r="G1225" s="12" t="s">
        <v>5419</v>
      </c>
      <c r="H1225" s="12" t="s">
        <v>2070</v>
      </c>
      <c r="I1225" s="84">
        <v>27002101</v>
      </c>
      <c r="J1225" s="12" t="s">
        <v>5102</v>
      </c>
      <c r="L1225" s="12" t="str">
        <f>IF(OR(ISBLANK(tblSites[[#This Row],[Implementing Partner]]), tblSites[[#This Row],[Implementing Partner]]="-"), tblSites[[#This Row],[Site Agency]], tblSites[[#This Row],[Implementing Partner]])</f>
        <v>No SMA</v>
      </c>
      <c r="M1225" s="12" t="s">
        <v>55</v>
      </c>
      <c r="N1225" s="12" t="str">
        <f>tblSites[[#This Row],[FinalImplementingPartner]]</f>
        <v>No SMA</v>
      </c>
    </row>
    <row r="1226" spans="1:14" x14ac:dyDescent="0.25">
      <c r="A1226" s="12" t="s">
        <v>1358</v>
      </c>
      <c r="B1226" s="12" t="s">
        <v>1359</v>
      </c>
      <c r="C1226" s="12" t="s">
        <v>331</v>
      </c>
      <c r="D1226" t="s">
        <v>5314</v>
      </c>
      <c r="E1226" s="12" t="s">
        <v>3176</v>
      </c>
      <c r="F1226" s="12" t="s">
        <v>1360</v>
      </c>
      <c r="G1226" s="12" t="s">
        <v>5417</v>
      </c>
      <c r="H1226" s="12" t="s">
        <v>1359</v>
      </c>
      <c r="I1226" s="84">
        <v>27002107</v>
      </c>
      <c r="J1226" s="12" t="s">
        <v>5102</v>
      </c>
      <c r="L1226" s="12" t="str">
        <f>IF(OR(ISBLANK(tblSites[[#This Row],[Implementing Partner]]), tblSites[[#This Row],[Implementing Partner]]="-"), tblSites[[#This Row],[Site Agency]], tblSites[[#This Row],[Implementing Partner]])</f>
        <v>No SMA</v>
      </c>
      <c r="M1226" s="12" t="s">
        <v>55</v>
      </c>
      <c r="N1226" s="12" t="str">
        <f>tblSites[[#This Row],[FinalImplementingPartner]]</f>
        <v>No SMA</v>
      </c>
    </row>
    <row r="1227" spans="1:14" x14ac:dyDescent="0.25">
      <c r="A1227" s="12" t="s">
        <v>1621</v>
      </c>
      <c r="B1227" s="12" t="s">
        <v>1622</v>
      </c>
      <c r="C1227" s="12" t="s">
        <v>1623</v>
      </c>
      <c r="D1227" t="s">
        <v>5314</v>
      </c>
      <c r="E1227" s="12" t="s">
        <v>3176</v>
      </c>
      <c r="F1227" s="12" t="s">
        <v>53</v>
      </c>
      <c r="G1227" s="12" t="s">
        <v>5406</v>
      </c>
      <c r="H1227" s="12" t="s">
        <v>1622</v>
      </c>
      <c r="I1227" s="84">
        <v>27002154</v>
      </c>
      <c r="J1227" s="12" t="s">
        <v>5102</v>
      </c>
      <c r="L1227" s="12" t="str">
        <f>IF(OR(ISBLANK(tblSites[[#This Row],[Implementing Partner]]), tblSites[[#This Row],[Implementing Partner]]="-"), tblSites[[#This Row],[Site Agency]], tblSites[[#This Row],[Implementing Partner]])</f>
        <v>No SMA</v>
      </c>
      <c r="M1227" s="12" t="s">
        <v>55</v>
      </c>
      <c r="N1227" s="12" t="str">
        <f>tblSites[[#This Row],[FinalImplementingPartner]]</f>
        <v>No SMA</v>
      </c>
    </row>
    <row r="1228" spans="1:14" x14ac:dyDescent="0.25">
      <c r="A1228" s="12" t="s">
        <v>1785</v>
      </c>
      <c r="B1228" s="12" t="s">
        <v>1786</v>
      </c>
      <c r="D1228" t="s">
        <v>5314</v>
      </c>
      <c r="E1228" s="12" t="s">
        <v>3176</v>
      </c>
      <c r="F1228" s="12" t="s">
        <v>325</v>
      </c>
      <c r="G1228" s="12" t="s">
        <v>5411</v>
      </c>
      <c r="H1228" s="12" t="s">
        <v>1786</v>
      </c>
      <c r="I1228" s="84">
        <v>27002104</v>
      </c>
      <c r="J1228" s="12" t="s">
        <v>5102</v>
      </c>
      <c r="L1228" s="12" t="str">
        <f>IF(OR(ISBLANK(tblSites[[#This Row],[Implementing Partner]]), tblSites[[#This Row],[Implementing Partner]]="-"), tblSites[[#This Row],[Site Agency]], tblSites[[#This Row],[Implementing Partner]])</f>
        <v>No SMA</v>
      </c>
      <c r="M1228" s="12" t="s">
        <v>55</v>
      </c>
      <c r="N1228" s="12" t="str">
        <f>tblSites[[#This Row],[FinalImplementingPartner]]</f>
        <v>No SMA</v>
      </c>
    </row>
    <row r="1229" spans="1:14" x14ac:dyDescent="0.25">
      <c r="A1229" s="12" t="s">
        <v>2081</v>
      </c>
      <c r="B1229" s="12" t="s">
        <v>2082</v>
      </c>
      <c r="C1229" s="12" t="s">
        <v>2083</v>
      </c>
      <c r="D1229" t="s">
        <v>5314</v>
      </c>
      <c r="E1229" s="12" t="s">
        <v>3176</v>
      </c>
      <c r="F1229" s="12" t="s">
        <v>79</v>
      </c>
      <c r="G1229" s="12" t="s">
        <v>5419</v>
      </c>
      <c r="H1229" s="12" t="s">
        <v>2082</v>
      </c>
      <c r="I1229" s="84">
        <v>27002101</v>
      </c>
      <c r="J1229" s="12" t="s">
        <v>5102</v>
      </c>
      <c r="L1229" s="12" t="str">
        <f>IF(OR(ISBLANK(tblSites[[#This Row],[Implementing Partner]]), tblSites[[#This Row],[Implementing Partner]]="-"), tblSites[[#This Row],[Site Agency]], tblSites[[#This Row],[Implementing Partner]])</f>
        <v>No SMA</v>
      </c>
      <c r="M1229" s="12" t="s">
        <v>55</v>
      </c>
      <c r="N1229" s="12" t="str">
        <f>tblSites[[#This Row],[FinalImplementingPartner]]</f>
        <v>No SMA</v>
      </c>
    </row>
    <row r="1230" spans="1:14" x14ac:dyDescent="0.25">
      <c r="A1230" s="12" t="s">
        <v>1509</v>
      </c>
      <c r="B1230" s="12" t="s">
        <v>1510</v>
      </c>
      <c r="C1230" s="12" t="s">
        <v>1511</v>
      </c>
      <c r="D1230" t="s">
        <v>5314</v>
      </c>
      <c r="E1230" s="12" t="s">
        <v>3176</v>
      </c>
      <c r="F1230" s="12" t="s">
        <v>135</v>
      </c>
      <c r="G1230" s="12" t="s">
        <v>5408</v>
      </c>
      <c r="H1230" s="12" t="s">
        <v>1510</v>
      </c>
      <c r="I1230" s="84">
        <v>27002100</v>
      </c>
      <c r="J1230" s="12" t="s">
        <v>5102</v>
      </c>
      <c r="L1230" s="12" t="str">
        <f>IF(OR(ISBLANK(tblSites[[#This Row],[Implementing Partner]]), tblSites[[#This Row],[Implementing Partner]]="-"), tblSites[[#This Row],[Site Agency]], tblSites[[#This Row],[Implementing Partner]])</f>
        <v>No SMA</v>
      </c>
      <c r="M1230" s="12" t="s">
        <v>55</v>
      </c>
      <c r="N1230" s="12" t="str">
        <f>tblSites[[#This Row],[FinalImplementingPartner]]</f>
        <v>No SMA</v>
      </c>
    </row>
    <row r="1231" spans="1:14" x14ac:dyDescent="0.25">
      <c r="A1231" s="12" t="s">
        <v>1566</v>
      </c>
      <c r="B1231" s="12" t="s">
        <v>1567</v>
      </c>
      <c r="C1231" s="12" t="s">
        <v>1568</v>
      </c>
      <c r="D1231" t="s">
        <v>5314</v>
      </c>
      <c r="E1231" s="12" t="s">
        <v>3176</v>
      </c>
      <c r="F1231" s="12" t="s">
        <v>53</v>
      </c>
      <c r="G1231" s="12" t="s">
        <v>5406</v>
      </c>
      <c r="H1231" s="12" t="s">
        <v>1567</v>
      </c>
      <c r="I1231" s="84">
        <v>27002154</v>
      </c>
      <c r="J1231" s="12" t="s">
        <v>5102</v>
      </c>
      <c r="L1231" s="12" t="str">
        <f>IF(OR(ISBLANK(tblSites[[#This Row],[Implementing Partner]]), tblSites[[#This Row],[Implementing Partner]]="-"), tblSites[[#This Row],[Site Agency]], tblSites[[#This Row],[Implementing Partner]])</f>
        <v>No SMA</v>
      </c>
      <c r="M1231" s="12" t="s">
        <v>55</v>
      </c>
      <c r="N1231" s="12" t="str">
        <f>tblSites[[#This Row],[FinalImplementingPartner]]</f>
        <v>No SMA</v>
      </c>
    </row>
    <row r="1232" spans="1:14" x14ac:dyDescent="0.25">
      <c r="A1232" s="12" t="s">
        <v>2367</v>
      </c>
      <c r="B1232" s="12" t="s">
        <v>523</v>
      </c>
      <c r="C1232" s="12" t="s">
        <v>2368</v>
      </c>
      <c r="D1232" t="s">
        <v>5314</v>
      </c>
      <c r="E1232" s="12" t="s">
        <v>3176</v>
      </c>
      <c r="F1232" s="12" t="s">
        <v>135</v>
      </c>
      <c r="G1232" s="12" t="s">
        <v>5408</v>
      </c>
      <c r="H1232" s="12" t="s">
        <v>523</v>
      </c>
      <c r="I1232" s="84">
        <v>27002100</v>
      </c>
      <c r="J1232" s="12" t="s">
        <v>5102</v>
      </c>
      <c r="L1232" s="12" t="str">
        <f>IF(OR(ISBLANK(tblSites[[#This Row],[Implementing Partner]]), tblSites[[#This Row],[Implementing Partner]]="-"), tblSites[[#This Row],[Site Agency]], tblSites[[#This Row],[Implementing Partner]])</f>
        <v>No SMA</v>
      </c>
      <c r="M1232" s="12" t="s">
        <v>55</v>
      </c>
      <c r="N1232" s="12" t="str">
        <f>tblSites[[#This Row],[FinalImplementingPartner]]</f>
        <v>No SMA</v>
      </c>
    </row>
    <row r="1233" spans="1:14" x14ac:dyDescent="0.25">
      <c r="A1233" s="12" t="s">
        <v>2343</v>
      </c>
      <c r="B1233" s="12" t="s">
        <v>2344</v>
      </c>
      <c r="C1233" s="12" t="s">
        <v>2345</v>
      </c>
      <c r="D1233" t="s">
        <v>5314</v>
      </c>
      <c r="E1233" s="12" t="s">
        <v>3176</v>
      </c>
      <c r="F1233" s="12" t="s">
        <v>135</v>
      </c>
      <c r="G1233" s="12" t="s">
        <v>5408</v>
      </c>
      <c r="H1233" s="12" t="s">
        <v>2344</v>
      </c>
      <c r="I1233" s="84">
        <v>27002100</v>
      </c>
      <c r="J1233" s="12" t="s">
        <v>5102</v>
      </c>
      <c r="L1233" s="12" t="str">
        <f>IF(OR(ISBLANK(tblSites[[#This Row],[Implementing Partner]]), tblSites[[#This Row],[Implementing Partner]]="-"), tblSites[[#This Row],[Site Agency]], tblSites[[#This Row],[Implementing Partner]])</f>
        <v>No SMA</v>
      </c>
      <c r="M1233" s="12" t="s">
        <v>55</v>
      </c>
      <c r="N1233" s="12" t="str">
        <f>tblSites[[#This Row],[FinalImplementingPartner]]</f>
        <v>No SMA</v>
      </c>
    </row>
    <row r="1234" spans="1:14" x14ac:dyDescent="0.25">
      <c r="A1234" s="12" t="s">
        <v>2336</v>
      </c>
      <c r="B1234" s="12" t="s">
        <v>2337</v>
      </c>
      <c r="C1234" s="12" t="s">
        <v>749</v>
      </c>
      <c r="D1234" t="s">
        <v>5314</v>
      </c>
      <c r="E1234" s="12" t="s">
        <v>3176</v>
      </c>
      <c r="F1234" s="12" t="s">
        <v>135</v>
      </c>
      <c r="G1234" s="12" t="s">
        <v>5408</v>
      </c>
      <c r="H1234" s="12" t="s">
        <v>2337</v>
      </c>
      <c r="I1234" s="84">
        <v>27002100</v>
      </c>
      <c r="J1234" s="12" t="s">
        <v>5102</v>
      </c>
      <c r="L1234" s="12" t="str">
        <f>IF(OR(ISBLANK(tblSites[[#This Row],[Implementing Partner]]), tblSites[[#This Row],[Implementing Partner]]="-"), tblSites[[#This Row],[Site Agency]], tblSites[[#This Row],[Implementing Partner]])</f>
        <v>No SMA</v>
      </c>
      <c r="M1234" s="12" t="s">
        <v>55</v>
      </c>
      <c r="N1234" s="12" t="str">
        <f>tblSites[[#This Row],[FinalImplementingPartner]]</f>
        <v>No SMA</v>
      </c>
    </row>
    <row r="1235" spans="1:14" x14ac:dyDescent="0.25">
      <c r="A1235" s="12" t="s">
        <v>1071</v>
      </c>
      <c r="B1235" s="12" t="s">
        <v>1072</v>
      </c>
      <c r="C1235" s="12" t="s">
        <v>5301</v>
      </c>
      <c r="D1235" t="s">
        <v>5314</v>
      </c>
      <c r="E1235" s="12" t="s">
        <v>3176</v>
      </c>
      <c r="F1235" s="12" t="s">
        <v>53</v>
      </c>
      <c r="G1235" s="12" t="s">
        <v>5413</v>
      </c>
      <c r="H1235" s="12" t="s">
        <v>1072</v>
      </c>
      <c r="I1235" s="84">
        <v>27002154</v>
      </c>
      <c r="J1235" s="12" t="s">
        <v>54</v>
      </c>
      <c r="L1235" s="12" t="str">
        <f>IF(OR(ISBLANK(tblSites[[#This Row],[Implementing Partner]]), tblSites[[#This Row],[Implementing Partner]]="-"), tblSites[[#This Row],[Site Agency]], tblSites[[#This Row],[Implementing Partner]])</f>
        <v>PHC</v>
      </c>
      <c r="M1235" s="12" t="s">
        <v>55</v>
      </c>
      <c r="N1235" s="12" t="str">
        <f>tblSites[[#This Row],[FinalImplementingPartner]]</f>
        <v>PHC</v>
      </c>
    </row>
    <row r="1236" spans="1:14" x14ac:dyDescent="0.25">
      <c r="A1236" s="12" t="s">
        <v>753</v>
      </c>
      <c r="B1236" s="12" t="s">
        <v>754</v>
      </c>
      <c r="C1236" s="12" t="s">
        <v>755</v>
      </c>
      <c r="D1236" t="s">
        <v>5314</v>
      </c>
      <c r="E1236" s="12" t="s">
        <v>3176</v>
      </c>
      <c r="F1236" s="12" t="s">
        <v>53</v>
      </c>
      <c r="G1236" s="12" t="s">
        <v>5413</v>
      </c>
      <c r="H1236" s="12" t="s">
        <v>754</v>
      </c>
      <c r="I1236" s="84">
        <v>27002154</v>
      </c>
      <c r="J1236" s="12" t="s">
        <v>54</v>
      </c>
      <c r="L1236" s="12" t="str">
        <f>IF(OR(ISBLANK(tblSites[[#This Row],[Implementing Partner]]), tblSites[[#This Row],[Implementing Partner]]="-"), tblSites[[#This Row],[Site Agency]], tblSites[[#This Row],[Implementing Partner]])</f>
        <v>PHC</v>
      </c>
      <c r="M1236" s="12" t="s">
        <v>55</v>
      </c>
      <c r="N1236" s="12" t="str">
        <f>tblSites[[#This Row],[FinalImplementingPartner]]</f>
        <v>PHC</v>
      </c>
    </row>
    <row r="1237" spans="1:14" x14ac:dyDescent="0.25">
      <c r="A1237" s="12" t="s">
        <v>2369</v>
      </c>
      <c r="B1237" s="12" t="s">
        <v>523</v>
      </c>
      <c r="C1237" s="12" t="s">
        <v>2368</v>
      </c>
      <c r="D1237" t="s">
        <v>5314</v>
      </c>
      <c r="E1237" s="12" t="s">
        <v>3176</v>
      </c>
      <c r="F1237" s="12" t="s">
        <v>135</v>
      </c>
      <c r="G1237" s="12" t="s">
        <v>5408</v>
      </c>
      <c r="H1237" s="12" t="s">
        <v>523</v>
      </c>
      <c r="I1237" s="84">
        <v>27002100</v>
      </c>
      <c r="J1237" s="12" t="s">
        <v>5102</v>
      </c>
      <c r="L1237" s="12" t="str">
        <f>IF(OR(ISBLANK(tblSites[[#This Row],[Implementing Partner]]), tblSites[[#This Row],[Implementing Partner]]="-"), tblSites[[#This Row],[Site Agency]], tblSites[[#This Row],[Implementing Partner]])</f>
        <v>No SMA</v>
      </c>
      <c r="M1237" s="12" t="s">
        <v>55</v>
      </c>
      <c r="N1237" s="12" t="str">
        <f>tblSites[[#This Row],[FinalImplementingPartner]]</f>
        <v>No SMA</v>
      </c>
    </row>
    <row r="1238" spans="1:14" x14ac:dyDescent="0.25">
      <c r="A1238" s="12" t="s">
        <v>1056</v>
      </c>
      <c r="B1238" s="12" t="s">
        <v>1057</v>
      </c>
      <c r="C1238" s="12" t="s">
        <v>1058</v>
      </c>
      <c r="D1238" t="s">
        <v>5314</v>
      </c>
      <c r="E1238" s="12" t="s">
        <v>3176</v>
      </c>
      <c r="F1238" s="12" t="s">
        <v>53</v>
      </c>
      <c r="G1238" s="12" t="s">
        <v>5413</v>
      </c>
      <c r="H1238" s="12" t="s">
        <v>1057</v>
      </c>
      <c r="I1238" s="84">
        <v>27002154</v>
      </c>
      <c r="J1238" s="12" t="s">
        <v>34</v>
      </c>
      <c r="K1238" s="12" t="s">
        <v>54</v>
      </c>
      <c r="L1238" s="12" t="str">
        <f>IF(OR(ISBLANK(tblSites[[#This Row],[Implementing Partner]]), tblSites[[#This Row],[Implementing Partner]]="-"), tblSites[[#This Row],[Site Agency]], tblSites[[#This Row],[Implementing Partner]])</f>
        <v>PHC</v>
      </c>
      <c r="M1238" s="12" t="s">
        <v>55</v>
      </c>
      <c r="N1238" s="12" t="str">
        <f>tblSites[[#This Row],[FinalImplementingPartner]]</f>
        <v>PHC</v>
      </c>
    </row>
    <row r="1239" spans="1:14" x14ac:dyDescent="0.25">
      <c r="A1239" s="12" t="s">
        <v>2214</v>
      </c>
      <c r="B1239" s="12" t="s">
        <v>2215</v>
      </c>
      <c r="C1239" s="12" t="s">
        <v>2216</v>
      </c>
      <c r="D1239" t="s">
        <v>5314</v>
      </c>
      <c r="E1239" s="12" t="s">
        <v>3176</v>
      </c>
      <c r="F1239" s="12" t="s">
        <v>325</v>
      </c>
      <c r="G1239" s="12" t="s">
        <v>5411</v>
      </c>
      <c r="H1239" s="12" t="s">
        <v>2215</v>
      </c>
      <c r="I1239" s="84">
        <v>27002104</v>
      </c>
      <c r="J1239" s="12" t="s">
        <v>5102</v>
      </c>
      <c r="L1239" s="12" t="str">
        <f>IF(OR(ISBLANK(tblSites[[#This Row],[Implementing Partner]]), tblSites[[#This Row],[Implementing Partner]]="-"), tblSites[[#This Row],[Site Agency]], tblSites[[#This Row],[Implementing Partner]])</f>
        <v>No SMA</v>
      </c>
      <c r="M1239" s="12" t="s">
        <v>55</v>
      </c>
      <c r="N1239" s="12" t="str">
        <f>tblSites[[#This Row],[FinalImplementingPartner]]</f>
        <v>No SMA</v>
      </c>
    </row>
    <row r="1240" spans="1:14" x14ac:dyDescent="0.25">
      <c r="A1240" s="12" t="s">
        <v>943</v>
      </c>
      <c r="B1240" s="12" t="s">
        <v>944</v>
      </c>
      <c r="C1240" s="12" t="s">
        <v>945</v>
      </c>
      <c r="D1240" t="s">
        <v>5314</v>
      </c>
      <c r="E1240" s="12" t="s">
        <v>3176</v>
      </c>
      <c r="F1240" s="12" t="s">
        <v>53</v>
      </c>
      <c r="G1240" s="12" t="s">
        <v>5413</v>
      </c>
      <c r="H1240" s="12" t="s">
        <v>944</v>
      </c>
      <c r="I1240" s="84">
        <v>27002154</v>
      </c>
      <c r="J1240" s="12" t="s">
        <v>54</v>
      </c>
      <c r="L1240" s="12" t="str">
        <f>IF(OR(ISBLANK(tblSites[[#This Row],[Implementing Partner]]), tblSites[[#This Row],[Implementing Partner]]="-"), tblSites[[#This Row],[Site Agency]], tblSites[[#This Row],[Implementing Partner]])</f>
        <v>PHC</v>
      </c>
      <c r="M1240" s="12" t="s">
        <v>55</v>
      </c>
      <c r="N1240" s="12" t="str">
        <f>tblSites[[#This Row],[FinalImplementingPartner]]</f>
        <v>PHC</v>
      </c>
    </row>
    <row r="1241" spans="1:14" x14ac:dyDescent="0.25">
      <c r="A1241" s="12" t="s">
        <v>1389</v>
      </c>
      <c r="B1241" s="12" t="s">
        <v>1390</v>
      </c>
      <c r="C1241" s="12" t="s">
        <v>1391</v>
      </c>
      <c r="D1241" t="s">
        <v>5314</v>
      </c>
      <c r="E1241" s="12" t="s">
        <v>3176</v>
      </c>
      <c r="F1241" s="12" t="s">
        <v>173</v>
      </c>
      <c r="G1241" s="12" t="s">
        <v>5404</v>
      </c>
      <c r="H1241" s="12" t="s">
        <v>1390</v>
      </c>
      <c r="I1241" s="84">
        <v>27002105</v>
      </c>
      <c r="J1241" s="12" t="s">
        <v>5102</v>
      </c>
      <c r="L1241" s="12" t="str">
        <f>IF(OR(ISBLANK(tblSites[[#This Row],[Implementing Partner]]), tblSites[[#This Row],[Implementing Partner]]="-"), tblSites[[#This Row],[Site Agency]], tblSites[[#This Row],[Implementing Partner]])</f>
        <v>No SMA</v>
      </c>
      <c r="M1241" s="12" t="s">
        <v>55</v>
      </c>
      <c r="N1241" s="12" t="str">
        <f>tblSites[[#This Row],[FinalImplementingPartner]]</f>
        <v>No SMA</v>
      </c>
    </row>
    <row r="1242" spans="1:14" x14ac:dyDescent="0.25">
      <c r="A1242" s="12" t="s">
        <v>1346</v>
      </c>
      <c r="B1242" s="12" t="s">
        <v>1347</v>
      </c>
      <c r="C1242" s="12" t="s">
        <v>1348</v>
      </c>
      <c r="D1242" t="s">
        <v>5314</v>
      </c>
      <c r="E1242" s="12" t="s">
        <v>3176</v>
      </c>
      <c r="F1242" s="12" t="s">
        <v>173</v>
      </c>
      <c r="G1242" s="12" t="s">
        <v>5404</v>
      </c>
      <c r="H1242" s="12" t="s">
        <v>1347</v>
      </c>
      <c r="I1242" s="84">
        <v>27002105</v>
      </c>
      <c r="J1242" s="12" t="s">
        <v>5102</v>
      </c>
      <c r="L1242" s="12" t="str">
        <f>IF(OR(ISBLANK(tblSites[[#This Row],[Implementing Partner]]), tblSites[[#This Row],[Implementing Partner]]="-"), tblSites[[#This Row],[Site Agency]], tblSites[[#This Row],[Implementing Partner]])</f>
        <v>No SMA</v>
      </c>
      <c r="M1242" s="12" t="s">
        <v>55</v>
      </c>
      <c r="N1242" s="12" t="str">
        <f>tblSites[[#This Row],[FinalImplementingPartner]]</f>
        <v>No SMA</v>
      </c>
    </row>
    <row r="1243" spans="1:14" x14ac:dyDescent="0.25">
      <c r="A1243" s="12" t="s">
        <v>1563</v>
      </c>
      <c r="B1243" s="12" t="s">
        <v>1564</v>
      </c>
      <c r="C1243" s="12" t="s">
        <v>1565</v>
      </c>
      <c r="D1243" t="s">
        <v>5314</v>
      </c>
      <c r="E1243" s="12" t="s">
        <v>3176</v>
      </c>
      <c r="F1243" s="12" t="s">
        <v>53</v>
      </c>
      <c r="G1243" s="12" t="s">
        <v>5406</v>
      </c>
      <c r="H1243" s="12" t="s">
        <v>1564</v>
      </c>
      <c r="I1243" s="84">
        <v>27002154</v>
      </c>
      <c r="J1243" s="12" t="s">
        <v>5102</v>
      </c>
      <c r="L1243" s="12" t="str">
        <f>IF(OR(ISBLANK(tblSites[[#This Row],[Implementing Partner]]), tblSites[[#This Row],[Implementing Partner]]="-"), tblSites[[#This Row],[Site Agency]], tblSites[[#This Row],[Implementing Partner]])</f>
        <v>No SMA</v>
      </c>
      <c r="M1243" s="12" t="s">
        <v>55</v>
      </c>
      <c r="N1243" s="12" t="str">
        <f>tblSites[[#This Row],[FinalImplementingPartner]]</f>
        <v>No SMA</v>
      </c>
    </row>
    <row r="1244" spans="1:14" x14ac:dyDescent="0.25">
      <c r="A1244" s="12" t="s">
        <v>2113</v>
      </c>
      <c r="B1244" s="12" t="s">
        <v>523</v>
      </c>
      <c r="D1244" t="s">
        <v>5314</v>
      </c>
      <c r="E1244" s="12" t="s">
        <v>3176</v>
      </c>
      <c r="F1244" s="12" t="s">
        <v>393</v>
      </c>
      <c r="G1244" s="12" t="s">
        <v>5425</v>
      </c>
      <c r="H1244" s="12" t="s">
        <v>523</v>
      </c>
      <c r="I1244" s="84">
        <v>27002108</v>
      </c>
      <c r="J1244" s="12" t="s">
        <v>5102</v>
      </c>
      <c r="L1244" s="12" t="str">
        <f>IF(OR(ISBLANK(tblSites[[#This Row],[Implementing Partner]]), tblSites[[#This Row],[Implementing Partner]]="-"), tblSites[[#This Row],[Site Agency]], tblSites[[#This Row],[Implementing Partner]])</f>
        <v>No SMA</v>
      </c>
      <c r="M1244" s="12" t="s">
        <v>55</v>
      </c>
      <c r="N1244" s="12" t="str">
        <f>tblSites[[#This Row],[FinalImplementingPartner]]</f>
        <v>No SMA</v>
      </c>
    </row>
    <row r="1245" spans="1:14" x14ac:dyDescent="0.25">
      <c r="A1245" s="12" t="s">
        <v>1280</v>
      </c>
      <c r="B1245" s="12" t="s">
        <v>1281</v>
      </c>
      <c r="D1245" t="s">
        <v>5314</v>
      </c>
      <c r="E1245" s="12" t="s">
        <v>3176</v>
      </c>
      <c r="F1245" s="12" t="s">
        <v>173</v>
      </c>
      <c r="G1245" s="12" t="s">
        <v>5404</v>
      </c>
      <c r="H1245" s="12" t="s">
        <v>1281</v>
      </c>
      <c r="I1245" s="84">
        <v>27002105</v>
      </c>
      <c r="J1245" s="12" t="s">
        <v>5102</v>
      </c>
      <c r="L1245" s="12" t="str">
        <f>IF(OR(ISBLANK(tblSites[[#This Row],[Implementing Partner]]), tblSites[[#This Row],[Implementing Partner]]="-"), tblSites[[#This Row],[Site Agency]], tblSites[[#This Row],[Implementing Partner]])</f>
        <v>No SMA</v>
      </c>
      <c r="M1245" s="12" t="s">
        <v>55</v>
      </c>
      <c r="N1245" s="12" t="str">
        <f>tblSites[[#This Row],[FinalImplementingPartner]]</f>
        <v>No SMA</v>
      </c>
    </row>
    <row r="1246" spans="1:14" x14ac:dyDescent="0.25">
      <c r="A1246" s="12" t="s">
        <v>1923</v>
      </c>
      <c r="B1246" s="12" t="s">
        <v>1924</v>
      </c>
      <c r="C1246" s="12" t="s">
        <v>1925</v>
      </c>
      <c r="D1246" t="s">
        <v>5314</v>
      </c>
      <c r="E1246" s="12" t="s">
        <v>3176</v>
      </c>
      <c r="F1246" s="12" t="s">
        <v>325</v>
      </c>
      <c r="G1246" s="12" t="s">
        <v>5411</v>
      </c>
      <c r="H1246" s="12" t="s">
        <v>1924</v>
      </c>
      <c r="I1246" s="84">
        <v>27002104</v>
      </c>
      <c r="J1246" s="12" t="s">
        <v>5102</v>
      </c>
      <c r="L1246" s="12" t="str">
        <f>IF(OR(ISBLANK(tblSites[[#This Row],[Implementing Partner]]), tblSites[[#This Row],[Implementing Partner]]="-"), tblSites[[#This Row],[Site Agency]], tblSites[[#This Row],[Implementing Partner]])</f>
        <v>No SMA</v>
      </c>
      <c r="M1246" s="12" t="s">
        <v>55</v>
      </c>
      <c r="N1246" s="12" t="str">
        <f>tblSites[[#This Row],[FinalImplementingPartner]]</f>
        <v>No SMA</v>
      </c>
    </row>
    <row r="1247" spans="1:14" x14ac:dyDescent="0.25">
      <c r="A1247" s="12" t="s">
        <v>1394</v>
      </c>
      <c r="B1247" s="12" t="s">
        <v>1395</v>
      </c>
      <c r="C1247" s="12" t="s">
        <v>1396</v>
      </c>
      <c r="D1247" t="s">
        <v>5314</v>
      </c>
      <c r="E1247" s="12" t="s">
        <v>3176</v>
      </c>
      <c r="F1247" s="12" t="s">
        <v>53</v>
      </c>
      <c r="G1247" s="12" t="s">
        <v>5406</v>
      </c>
      <c r="H1247" s="12" t="s">
        <v>1395</v>
      </c>
      <c r="I1247" s="84">
        <v>27002154</v>
      </c>
      <c r="J1247" s="12" t="s">
        <v>5102</v>
      </c>
      <c r="L1247" s="12" t="str">
        <f>IF(OR(ISBLANK(tblSites[[#This Row],[Implementing Partner]]), tblSites[[#This Row],[Implementing Partner]]="-"), tblSites[[#This Row],[Site Agency]], tblSites[[#This Row],[Implementing Partner]])</f>
        <v>No SMA</v>
      </c>
      <c r="M1247" s="12" t="s">
        <v>55</v>
      </c>
      <c r="N1247" s="12" t="str">
        <f>tblSites[[#This Row],[FinalImplementingPartner]]</f>
        <v>No SMA</v>
      </c>
    </row>
    <row r="1248" spans="1:14" x14ac:dyDescent="0.25">
      <c r="A1248" s="12" t="s">
        <v>853</v>
      </c>
      <c r="B1248" s="12" t="s">
        <v>854</v>
      </c>
      <c r="C1248" s="12" t="s">
        <v>855</v>
      </c>
      <c r="D1248" t="s">
        <v>5314</v>
      </c>
      <c r="E1248" s="12" t="s">
        <v>3176</v>
      </c>
      <c r="F1248" s="12" t="s">
        <v>79</v>
      </c>
      <c r="G1248" s="12" t="s">
        <v>5419</v>
      </c>
      <c r="H1248" s="12" t="s">
        <v>854</v>
      </c>
      <c r="I1248" s="84">
        <v>27002101</v>
      </c>
      <c r="J1248" s="12" t="s">
        <v>5102</v>
      </c>
      <c r="L1248" s="12" t="str">
        <f>IF(OR(ISBLANK(tblSites[[#This Row],[Implementing Partner]]), tblSites[[#This Row],[Implementing Partner]]="-"), tblSites[[#This Row],[Site Agency]], tblSites[[#This Row],[Implementing Partner]])</f>
        <v>No SMA</v>
      </c>
      <c r="M1248" s="12" t="s">
        <v>55</v>
      </c>
      <c r="N1248" s="12" t="str">
        <f>tblSites[[#This Row],[FinalImplementingPartner]]</f>
        <v>No SMA</v>
      </c>
    </row>
    <row r="1249" spans="1:14" x14ac:dyDescent="0.25">
      <c r="A1249" s="12" t="s">
        <v>1485</v>
      </c>
      <c r="B1249" s="12" t="s">
        <v>1486</v>
      </c>
      <c r="C1249" s="12" t="s">
        <v>1487</v>
      </c>
      <c r="D1249" t="s">
        <v>5314</v>
      </c>
      <c r="E1249" s="12" t="s">
        <v>3176</v>
      </c>
      <c r="F1249" s="12" t="s">
        <v>173</v>
      </c>
      <c r="G1249" s="12" t="s">
        <v>5404</v>
      </c>
      <c r="H1249" s="12" t="s">
        <v>1486</v>
      </c>
      <c r="I1249" s="84">
        <v>27002105</v>
      </c>
      <c r="J1249" s="12" t="s">
        <v>5102</v>
      </c>
      <c r="L1249" s="12" t="str">
        <f>IF(OR(ISBLANK(tblSites[[#This Row],[Implementing Partner]]), tblSites[[#This Row],[Implementing Partner]]="-"), tblSites[[#This Row],[Site Agency]], tblSites[[#This Row],[Implementing Partner]])</f>
        <v>No SMA</v>
      </c>
      <c r="M1249" s="12" t="s">
        <v>55</v>
      </c>
      <c r="N1249" s="12" t="str">
        <f>tblSites[[#This Row],[FinalImplementingPartner]]</f>
        <v>No SMA</v>
      </c>
    </row>
    <row r="1250" spans="1:14" x14ac:dyDescent="0.25">
      <c r="A1250" s="12" t="s">
        <v>2096</v>
      </c>
      <c r="B1250" s="12" t="s">
        <v>2097</v>
      </c>
      <c r="C1250" s="12" t="s">
        <v>2098</v>
      </c>
      <c r="D1250" t="s">
        <v>5314</v>
      </c>
      <c r="E1250" s="12" t="s">
        <v>3176</v>
      </c>
      <c r="F1250" s="12" t="s">
        <v>431</v>
      </c>
      <c r="G1250" s="12" t="s">
        <v>5421</v>
      </c>
      <c r="H1250" s="12" t="s">
        <v>2097</v>
      </c>
      <c r="I1250" s="84">
        <v>27004175</v>
      </c>
      <c r="J1250" s="12" t="s">
        <v>5102</v>
      </c>
      <c r="L1250" s="12" t="str">
        <f>IF(OR(ISBLANK(tblSites[[#This Row],[Implementing Partner]]), tblSites[[#This Row],[Implementing Partner]]="-"), tblSites[[#This Row],[Site Agency]], tblSites[[#This Row],[Implementing Partner]])</f>
        <v>No SMA</v>
      </c>
      <c r="M1250" s="12" t="s">
        <v>55</v>
      </c>
      <c r="N1250" s="12" t="str">
        <f>tblSites[[#This Row],[FinalImplementingPartner]]</f>
        <v>No SMA</v>
      </c>
    </row>
    <row r="1251" spans="1:14" x14ac:dyDescent="0.25">
      <c r="A1251" s="12" t="s">
        <v>1419</v>
      </c>
      <c r="B1251" s="12" t="s">
        <v>1420</v>
      </c>
      <c r="C1251" s="12" t="s">
        <v>1421</v>
      </c>
      <c r="D1251" t="s">
        <v>5314</v>
      </c>
      <c r="E1251" s="12" t="s">
        <v>3176</v>
      </c>
      <c r="F1251" s="12" t="s">
        <v>173</v>
      </c>
      <c r="G1251" s="12" t="s">
        <v>5404</v>
      </c>
      <c r="H1251" s="12" t="s">
        <v>1420</v>
      </c>
      <c r="I1251" s="84">
        <v>27002105</v>
      </c>
      <c r="J1251" s="12" t="s">
        <v>5102</v>
      </c>
      <c r="L1251" s="12" t="str">
        <f>IF(OR(ISBLANK(tblSites[[#This Row],[Implementing Partner]]), tblSites[[#This Row],[Implementing Partner]]="-"), tblSites[[#This Row],[Site Agency]], tblSites[[#This Row],[Implementing Partner]])</f>
        <v>No SMA</v>
      </c>
      <c r="M1251" s="12" t="s">
        <v>55</v>
      </c>
      <c r="N1251" s="12" t="str">
        <f>tblSites[[#This Row],[FinalImplementingPartner]]</f>
        <v>No SMA</v>
      </c>
    </row>
    <row r="1252" spans="1:14" x14ac:dyDescent="0.25">
      <c r="A1252" s="12" t="s">
        <v>1441</v>
      </c>
      <c r="B1252" s="12" t="s">
        <v>1442</v>
      </c>
      <c r="C1252" s="12" t="s">
        <v>1443</v>
      </c>
      <c r="D1252" t="s">
        <v>5314</v>
      </c>
      <c r="E1252" s="12" t="s">
        <v>3176</v>
      </c>
      <c r="F1252" s="12" t="s">
        <v>135</v>
      </c>
      <c r="G1252" s="12" t="s">
        <v>5408</v>
      </c>
      <c r="H1252" s="12" t="s">
        <v>1442</v>
      </c>
      <c r="I1252" s="84">
        <v>27002100</v>
      </c>
      <c r="J1252" s="12" t="s">
        <v>5102</v>
      </c>
      <c r="L1252" s="12" t="str">
        <f>IF(OR(ISBLANK(tblSites[[#This Row],[Implementing Partner]]), tblSites[[#This Row],[Implementing Partner]]="-"), tblSites[[#This Row],[Site Agency]], tblSites[[#This Row],[Implementing Partner]])</f>
        <v>No SMA</v>
      </c>
      <c r="M1252" s="12" t="s">
        <v>55</v>
      </c>
      <c r="N1252" s="12" t="str">
        <f>tblSites[[#This Row],[FinalImplementingPartner]]</f>
        <v>No SMA</v>
      </c>
    </row>
    <row r="1253" spans="1:14" x14ac:dyDescent="0.25">
      <c r="A1253" s="12" t="s">
        <v>1386</v>
      </c>
      <c r="B1253" s="12" t="s">
        <v>1387</v>
      </c>
      <c r="C1253" s="12" t="s">
        <v>1388</v>
      </c>
      <c r="D1253" t="s">
        <v>5314</v>
      </c>
      <c r="E1253" s="12" t="s">
        <v>3176</v>
      </c>
      <c r="F1253" s="12" t="s">
        <v>173</v>
      </c>
      <c r="G1253" s="12" t="s">
        <v>5404</v>
      </c>
      <c r="H1253" s="12" t="s">
        <v>1387</v>
      </c>
      <c r="I1253" s="84">
        <v>27002105</v>
      </c>
      <c r="J1253" s="12" t="s">
        <v>5102</v>
      </c>
      <c r="L1253" s="12" t="str">
        <f>IF(OR(ISBLANK(tblSites[[#This Row],[Implementing Partner]]), tblSites[[#This Row],[Implementing Partner]]="-"), tblSites[[#This Row],[Site Agency]], tblSites[[#This Row],[Implementing Partner]])</f>
        <v>No SMA</v>
      </c>
      <c r="M1253" s="12" t="s">
        <v>55</v>
      </c>
      <c r="N1253" s="12" t="str">
        <f>tblSites[[#This Row],[FinalImplementingPartner]]</f>
        <v>No SMA</v>
      </c>
    </row>
    <row r="1254" spans="1:14" x14ac:dyDescent="0.25">
      <c r="A1254" s="12" t="s">
        <v>1615</v>
      </c>
      <c r="B1254" s="12" t="s">
        <v>1616</v>
      </c>
      <c r="C1254" s="12" t="s">
        <v>1617</v>
      </c>
      <c r="D1254" t="s">
        <v>5314</v>
      </c>
      <c r="E1254" s="12" t="s">
        <v>3176</v>
      </c>
      <c r="F1254" s="12" t="s">
        <v>173</v>
      </c>
      <c r="G1254" s="12" t="s">
        <v>5404</v>
      </c>
      <c r="H1254" s="12" t="s">
        <v>1616</v>
      </c>
      <c r="I1254" s="84">
        <v>27002105</v>
      </c>
      <c r="J1254" s="12" t="s">
        <v>5102</v>
      </c>
      <c r="L1254" s="12" t="str">
        <f>IF(OR(ISBLANK(tblSites[[#This Row],[Implementing Partner]]), tblSites[[#This Row],[Implementing Partner]]="-"), tblSites[[#This Row],[Site Agency]], tblSites[[#This Row],[Implementing Partner]])</f>
        <v>No SMA</v>
      </c>
      <c r="M1254" s="12" t="s">
        <v>55</v>
      </c>
      <c r="N1254" s="12" t="str">
        <f>tblSites[[#This Row],[FinalImplementingPartner]]</f>
        <v>No SMA</v>
      </c>
    </row>
    <row r="1255" spans="1:14" x14ac:dyDescent="0.25">
      <c r="A1255" s="12" t="s">
        <v>1879</v>
      </c>
      <c r="B1255" s="12" t="s">
        <v>1880</v>
      </c>
      <c r="C1255" s="12" t="s">
        <v>1881</v>
      </c>
      <c r="D1255" t="s">
        <v>5314</v>
      </c>
      <c r="E1255" s="12" t="s">
        <v>3176</v>
      </c>
      <c r="F1255" s="12" t="s">
        <v>325</v>
      </c>
      <c r="G1255" s="12" t="s">
        <v>5411</v>
      </c>
      <c r="H1255" s="12" t="s">
        <v>1880</v>
      </c>
      <c r="I1255" s="84">
        <v>27002104</v>
      </c>
      <c r="J1255" s="12" t="s">
        <v>5102</v>
      </c>
      <c r="L1255" s="12" t="str">
        <f>IF(OR(ISBLANK(tblSites[[#This Row],[Implementing Partner]]), tblSites[[#This Row],[Implementing Partner]]="-"), tblSites[[#This Row],[Site Agency]], tblSites[[#This Row],[Implementing Partner]])</f>
        <v>No SMA</v>
      </c>
      <c r="M1255" s="12" t="s">
        <v>55</v>
      </c>
      <c r="N1255" s="12" t="str">
        <f>tblSites[[#This Row],[FinalImplementingPartner]]</f>
        <v>No SMA</v>
      </c>
    </row>
    <row r="1256" spans="1:14" x14ac:dyDescent="0.25">
      <c r="A1256" s="12" t="s">
        <v>2127</v>
      </c>
      <c r="B1256" s="12" t="s">
        <v>2128</v>
      </c>
      <c r="C1256" s="12" t="s">
        <v>2129</v>
      </c>
      <c r="D1256" t="s">
        <v>5314</v>
      </c>
      <c r="E1256" s="12" t="s">
        <v>3176</v>
      </c>
      <c r="F1256" s="12" t="s">
        <v>79</v>
      </c>
      <c r="G1256" s="12" t="s">
        <v>5419</v>
      </c>
      <c r="H1256" s="12" t="s">
        <v>2128</v>
      </c>
      <c r="I1256" s="84">
        <v>27002101</v>
      </c>
      <c r="J1256" s="12" t="s">
        <v>5102</v>
      </c>
      <c r="L1256" s="12" t="str">
        <f>IF(OR(ISBLANK(tblSites[[#This Row],[Implementing Partner]]), tblSites[[#This Row],[Implementing Partner]]="-"), tblSites[[#This Row],[Site Agency]], tblSites[[#This Row],[Implementing Partner]])</f>
        <v>No SMA</v>
      </c>
      <c r="M1256" s="12" t="s">
        <v>55</v>
      </c>
      <c r="N1256" s="12" t="str">
        <f>tblSites[[#This Row],[FinalImplementingPartner]]</f>
        <v>No SMA</v>
      </c>
    </row>
    <row r="1257" spans="1:14" x14ac:dyDescent="0.25">
      <c r="A1257" s="12" t="s">
        <v>1447</v>
      </c>
      <c r="B1257" s="12" t="s">
        <v>1448</v>
      </c>
      <c r="C1257" s="12" t="s">
        <v>1449</v>
      </c>
      <c r="D1257" t="s">
        <v>5314</v>
      </c>
      <c r="E1257" s="12" t="s">
        <v>3176</v>
      </c>
      <c r="F1257" s="12" t="s">
        <v>459</v>
      </c>
      <c r="G1257" s="12" t="s">
        <v>5426</v>
      </c>
      <c r="H1257" s="12" t="s">
        <v>1448</v>
      </c>
      <c r="I1257" s="84">
        <v>27004169</v>
      </c>
      <c r="J1257" s="12" t="s">
        <v>5102</v>
      </c>
      <c r="L1257" s="12" t="str">
        <f>IF(OR(ISBLANK(tblSites[[#This Row],[Implementing Partner]]), tblSites[[#This Row],[Implementing Partner]]="-"), tblSites[[#This Row],[Site Agency]], tblSites[[#This Row],[Implementing Partner]])</f>
        <v>No SMA</v>
      </c>
      <c r="M1257" s="12" t="s">
        <v>55</v>
      </c>
      <c r="N1257" s="12" t="str">
        <f>tblSites[[#This Row],[FinalImplementingPartner]]</f>
        <v>No SMA</v>
      </c>
    </row>
    <row r="1258" spans="1:14" x14ac:dyDescent="0.25">
      <c r="A1258" s="12" t="s">
        <v>2977</v>
      </c>
      <c r="B1258" s="12" t="s">
        <v>2978</v>
      </c>
      <c r="C1258" s="12" t="s">
        <v>787</v>
      </c>
      <c r="D1258" t="s">
        <v>5314</v>
      </c>
      <c r="E1258" s="12" t="s">
        <v>3176</v>
      </c>
      <c r="F1258" s="12" t="s">
        <v>79</v>
      </c>
      <c r="G1258" s="12" t="s">
        <v>5419</v>
      </c>
      <c r="H1258" s="12" t="s">
        <v>2978</v>
      </c>
      <c r="I1258" s="84">
        <v>27002101</v>
      </c>
      <c r="J1258" s="12" t="s">
        <v>5102</v>
      </c>
      <c r="L1258" s="12" t="str">
        <f>IF(OR(ISBLANK(tblSites[[#This Row],[Implementing Partner]]), tblSites[[#This Row],[Implementing Partner]]="-"), tblSites[[#This Row],[Site Agency]], tblSites[[#This Row],[Implementing Partner]])</f>
        <v>No SMA</v>
      </c>
      <c r="M1258" s="12" t="s">
        <v>55</v>
      </c>
      <c r="N1258" s="12" t="str">
        <f>tblSites[[#This Row],[FinalImplementingPartner]]</f>
        <v>No SMA</v>
      </c>
    </row>
    <row r="1259" spans="1:14" x14ac:dyDescent="0.25">
      <c r="A1259" s="12" t="s">
        <v>2043</v>
      </c>
      <c r="B1259" s="12" t="s">
        <v>2044</v>
      </c>
      <c r="C1259" s="12" t="s">
        <v>475</v>
      </c>
      <c r="D1259" t="s">
        <v>5314</v>
      </c>
      <c r="E1259" s="12" t="s">
        <v>3176</v>
      </c>
      <c r="F1259" s="12" t="s">
        <v>79</v>
      </c>
      <c r="G1259" s="12" t="s">
        <v>5419</v>
      </c>
      <c r="H1259" s="12" t="s">
        <v>2044</v>
      </c>
      <c r="I1259" s="84">
        <v>27002101</v>
      </c>
      <c r="J1259" s="12" t="s">
        <v>5102</v>
      </c>
      <c r="L1259" s="12" t="str">
        <f>IF(OR(ISBLANK(tblSites[[#This Row],[Implementing Partner]]), tblSites[[#This Row],[Implementing Partner]]="-"), tblSites[[#This Row],[Site Agency]], tblSites[[#This Row],[Implementing Partner]])</f>
        <v>No SMA</v>
      </c>
      <c r="M1259" s="12" t="s">
        <v>55</v>
      </c>
      <c r="N1259" s="12" t="str">
        <f>tblSites[[#This Row],[FinalImplementingPartner]]</f>
        <v>No SMA</v>
      </c>
    </row>
    <row r="1260" spans="1:14" x14ac:dyDescent="0.25">
      <c r="A1260" s="12" t="s">
        <v>2094</v>
      </c>
      <c r="B1260" s="12" t="s">
        <v>2095</v>
      </c>
      <c r="C1260" s="12" t="s">
        <v>1421</v>
      </c>
      <c r="D1260" t="s">
        <v>5314</v>
      </c>
      <c r="E1260" s="12" t="s">
        <v>3176</v>
      </c>
      <c r="F1260" s="12" t="s">
        <v>79</v>
      </c>
      <c r="G1260" s="12" t="s">
        <v>5419</v>
      </c>
      <c r="H1260" s="12" t="s">
        <v>2095</v>
      </c>
      <c r="I1260" s="84">
        <v>27002101</v>
      </c>
      <c r="J1260" s="12" t="s">
        <v>5102</v>
      </c>
      <c r="L1260" s="12" t="str">
        <f>IF(OR(ISBLANK(tblSites[[#This Row],[Implementing Partner]]), tblSites[[#This Row],[Implementing Partner]]="-"), tblSites[[#This Row],[Site Agency]], tblSites[[#This Row],[Implementing Partner]])</f>
        <v>No SMA</v>
      </c>
      <c r="M1260" s="12" t="s">
        <v>55</v>
      </c>
      <c r="N1260" s="12" t="str">
        <f>tblSites[[#This Row],[FinalImplementingPartner]]</f>
        <v>No SMA</v>
      </c>
    </row>
    <row r="1261" spans="1:14" x14ac:dyDescent="0.25">
      <c r="A1261" s="12" t="s">
        <v>1355</v>
      </c>
      <c r="B1261" s="12" t="s">
        <v>1356</v>
      </c>
      <c r="C1261" s="12" t="s">
        <v>1357</v>
      </c>
      <c r="D1261" t="s">
        <v>5314</v>
      </c>
      <c r="E1261" s="12" t="s">
        <v>3176</v>
      </c>
      <c r="F1261" s="12" t="s">
        <v>173</v>
      </c>
      <c r="G1261" s="12" t="s">
        <v>5404</v>
      </c>
      <c r="H1261" s="12" t="s">
        <v>1356</v>
      </c>
      <c r="I1261" s="84">
        <v>27002105</v>
      </c>
      <c r="J1261" s="12" t="s">
        <v>5102</v>
      </c>
      <c r="L1261" s="12" t="str">
        <f>IF(OR(ISBLANK(tblSites[[#This Row],[Implementing Partner]]), tblSites[[#This Row],[Implementing Partner]]="-"), tblSites[[#This Row],[Site Agency]], tblSites[[#This Row],[Implementing Partner]])</f>
        <v>No SMA</v>
      </c>
      <c r="M1261" s="12" t="s">
        <v>55</v>
      </c>
      <c r="N1261" s="12" t="str">
        <f>tblSites[[#This Row],[FinalImplementingPartner]]</f>
        <v>No SMA</v>
      </c>
    </row>
    <row r="1262" spans="1:14" x14ac:dyDescent="0.25">
      <c r="A1262" s="12" t="s">
        <v>1471</v>
      </c>
      <c r="B1262" s="12" t="s">
        <v>1472</v>
      </c>
      <c r="C1262" s="12" t="s">
        <v>1473</v>
      </c>
      <c r="D1262" t="s">
        <v>5314</v>
      </c>
      <c r="E1262" s="12" t="s">
        <v>3176</v>
      </c>
      <c r="F1262" s="12" t="s">
        <v>173</v>
      </c>
      <c r="G1262" s="12" t="s">
        <v>5404</v>
      </c>
      <c r="H1262" s="12" t="s">
        <v>1472</v>
      </c>
      <c r="I1262" s="84">
        <v>27002105</v>
      </c>
      <c r="J1262" s="12" t="s">
        <v>5102</v>
      </c>
      <c r="L1262" s="12" t="str">
        <f>IF(OR(ISBLANK(tblSites[[#This Row],[Implementing Partner]]), tblSites[[#This Row],[Implementing Partner]]="-"), tblSites[[#This Row],[Site Agency]], tblSites[[#This Row],[Implementing Partner]])</f>
        <v>No SMA</v>
      </c>
      <c r="M1262" s="12" t="s">
        <v>55</v>
      </c>
      <c r="N1262" s="12" t="str">
        <f>tblSites[[#This Row],[FinalImplementingPartner]]</f>
        <v>No SMA</v>
      </c>
    </row>
    <row r="1263" spans="1:14" x14ac:dyDescent="0.25">
      <c r="A1263" s="12" t="s">
        <v>759</v>
      </c>
      <c r="B1263" s="12" t="s">
        <v>760</v>
      </c>
      <c r="C1263" s="12" t="s">
        <v>761</v>
      </c>
      <c r="D1263" t="s">
        <v>5314</v>
      </c>
      <c r="E1263" s="12" t="s">
        <v>3176</v>
      </c>
      <c r="F1263" s="12" t="s">
        <v>53</v>
      </c>
      <c r="G1263" s="12" t="s">
        <v>5413</v>
      </c>
      <c r="H1263" s="12" t="s">
        <v>760</v>
      </c>
      <c r="I1263" s="84">
        <v>27002154</v>
      </c>
      <c r="J1263" s="12" t="s">
        <v>34</v>
      </c>
      <c r="K1263" s="12" t="s">
        <v>54</v>
      </c>
      <c r="L1263" s="12" t="str">
        <f>IF(OR(ISBLANK(tblSites[[#This Row],[Implementing Partner]]), tblSites[[#This Row],[Implementing Partner]]="-"), tblSites[[#This Row],[Site Agency]], tblSites[[#This Row],[Implementing Partner]])</f>
        <v>PHC</v>
      </c>
      <c r="M1263" s="12" t="s">
        <v>55</v>
      </c>
      <c r="N1263" s="12" t="str">
        <f>tblSites[[#This Row],[FinalImplementingPartner]]</f>
        <v>PHC</v>
      </c>
    </row>
    <row r="1264" spans="1:14" x14ac:dyDescent="0.25">
      <c r="A1264" s="12" t="s">
        <v>1530</v>
      </c>
      <c r="B1264" s="12" t="s">
        <v>1531</v>
      </c>
      <c r="C1264" s="12" t="s">
        <v>1532</v>
      </c>
      <c r="D1264" t="s">
        <v>5314</v>
      </c>
      <c r="E1264" s="12" t="s">
        <v>3176</v>
      </c>
      <c r="F1264" s="12" t="s">
        <v>173</v>
      </c>
      <c r="G1264" s="12" t="s">
        <v>5414</v>
      </c>
      <c r="H1264" s="12" t="s">
        <v>1531</v>
      </c>
      <c r="I1264" s="84">
        <v>27002105</v>
      </c>
      <c r="J1264" s="12" t="s">
        <v>35</v>
      </c>
      <c r="L1264" s="12" t="str">
        <f>IF(OR(ISBLANK(tblSites[[#This Row],[Implementing Partner]]), tblSites[[#This Row],[Implementing Partner]]="-"), tblSites[[#This Row],[Site Agency]], tblSites[[#This Row],[Implementing Partner]])</f>
        <v>NRC</v>
      </c>
      <c r="M1264" s="12" t="s">
        <v>55</v>
      </c>
      <c r="N1264" s="12" t="str">
        <f>tblSites[[#This Row],[FinalImplementingPartner]]</f>
        <v>NRC</v>
      </c>
    </row>
    <row r="1265" spans="1:14" x14ac:dyDescent="0.25">
      <c r="A1265" s="12" t="s">
        <v>1805</v>
      </c>
      <c r="B1265" s="12" t="s">
        <v>1806</v>
      </c>
      <c r="C1265" s="12" t="s">
        <v>1807</v>
      </c>
      <c r="D1265" t="s">
        <v>5314</v>
      </c>
      <c r="E1265" s="12" t="s">
        <v>3176</v>
      </c>
      <c r="F1265" s="12" t="s">
        <v>325</v>
      </c>
      <c r="G1265" s="12" t="s">
        <v>5411</v>
      </c>
      <c r="H1265" s="12" t="s">
        <v>1806</v>
      </c>
      <c r="I1265" s="84">
        <v>27002104</v>
      </c>
      <c r="J1265" s="12" t="s">
        <v>5102</v>
      </c>
      <c r="L1265" s="12" t="str">
        <f>IF(OR(ISBLANK(tblSites[[#This Row],[Implementing Partner]]), tblSites[[#This Row],[Implementing Partner]]="-"), tblSites[[#This Row],[Site Agency]], tblSites[[#This Row],[Implementing Partner]])</f>
        <v>No SMA</v>
      </c>
      <c r="M1265" s="12" t="s">
        <v>55</v>
      </c>
      <c r="N1265" s="12" t="str">
        <f>tblSites[[#This Row],[FinalImplementingPartner]]</f>
        <v>No SMA</v>
      </c>
    </row>
    <row r="1266" spans="1:14" x14ac:dyDescent="0.25">
      <c r="A1266" s="12" t="s">
        <v>1882</v>
      </c>
      <c r="B1266" s="12" t="s">
        <v>1883</v>
      </c>
      <c r="C1266" s="12" t="s">
        <v>1884</v>
      </c>
      <c r="D1266" t="s">
        <v>5314</v>
      </c>
      <c r="E1266" s="12" t="s">
        <v>3176</v>
      </c>
      <c r="F1266" s="12" t="s">
        <v>325</v>
      </c>
      <c r="G1266" s="12" t="s">
        <v>5411</v>
      </c>
      <c r="H1266" s="12" t="s">
        <v>1883</v>
      </c>
      <c r="I1266" s="84">
        <v>27002104</v>
      </c>
      <c r="J1266" s="12" t="s">
        <v>5102</v>
      </c>
      <c r="L1266" s="12" t="str">
        <f>IF(OR(ISBLANK(tblSites[[#This Row],[Implementing Partner]]), tblSites[[#This Row],[Implementing Partner]]="-"), tblSites[[#This Row],[Site Agency]], tblSites[[#This Row],[Implementing Partner]])</f>
        <v>No SMA</v>
      </c>
      <c r="M1266" s="12" t="s">
        <v>55</v>
      </c>
      <c r="N1266" s="12" t="str">
        <f>tblSites[[#This Row],[FinalImplementingPartner]]</f>
        <v>No SMA</v>
      </c>
    </row>
    <row r="1267" spans="1:14" x14ac:dyDescent="0.25">
      <c r="A1267" s="12" t="s">
        <v>1410</v>
      </c>
      <c r="B1267" s="12" t="s">
        <v>1411</v>
      </c>
      <c r="C1267" s="12" t="s">
        <v>1412</v>
      </c>
      <c r="D1267" t="s">
        <v>5314</v>
      </c>
      <c r="E1267" s="12" t="s">
        <v>3176</v>
      </c>
      <c r="F1267" s="12" t="s">
        <v>173</v>
      </c>
      <c r="G1267" s="12" t="s">
        <v>5404</v>
      </c>
      <c r="H1267" s="12" t="s">
        <v>1411</v>
      </c>
      <c r="I1267" s="84">
        <v>27002105</v>
      </c>
      <c r="J1267" s="12" t="s">
        <v>5102</v>
      </c>
      <c r="L1267" s="12" t="str">
        <f>IF(OR(ISBLANK(tblSites[[#This Row],[Implementing Partner]]), tblSites[[#This Row],[Implementing Partner]]="-"), tblSites[[#This Row],[Site Agency]], tblSites[[#This Row],[Implementing Partner]])</f>
        <v>No SMA</v>
      </c>
      <c r="M1267" s="12" t="s">
        <v>55</v>
      </c>
      <c r="N1267" s="12" t="str">
        <f>tblSites[[#This Row],[FinalImplementingPartner]]</f>
        <v>No SMA</v>
      </c>
    </row>
    <row r="1268" spans="1:14" x14ac:dyDescent="0.25">
      <c r="A1268" s="12" t="s">
        <v>132</v>
      </c>
      <c r="B1268" s="12" t="s">
        <v>133</v>
      </c>
      <c r="C1268" s="12" t="s">
        <v>134</v>
      </c>
      <c r="D1268" t="s">
        <v>5314</v>
      </c>
      <c r="E1268" s="12" t="s">
        <v>3176</v>
      </c>
      <c r="F1268" s="12" t="s">
        <v>135</v>
      </c>
      <c r="G1268" s="12" t="s">
        <v>5427</v>
      </c>
      <c r="H1268" s="12" t="s">
        <v>133</v>
      </c>
      <c r="I1268" s="84">
        <v>27002100</v>
      </c>
      <c r="J1268" s="12" t="s">
        <v>7</v>
      </c>
      <c r="L1268" s="12" t="str">
        <f>IF(OR(ISBLANK(tblSites[[#This Row],[Implementing Partner]]), tblSites[[#This Row],[Implementing Partner]]="-"), tblSites[[#This Row],[Site Agency]], tblSites[[#This Row],[Implementing Partner]])</f>
        <v>ACTED</v>
      </c>
      <c r="M1268" s="12" t="s">
        <v>55</v>
      </c>
      <c r="N1268" s="12" t="str">
        <f>tblSites[[#This Row],[FinalImplementingPartner]]</f>
        <v>ACTED</v>
      </c>
    </row>
    <row r="1269" spans="1:14" x14ac:dyDescent="0.25">
      <c r="A1269" s="12" t="s">
        <v>1512</v>
      </c>
      <c r="B1269" s="12" t="s">
        <v>1513</v>
      </c>
      <c r="C1269" s="12" t="s">
        <v>1514</v>
      </c>
      <c r="D1269" t="s">
        <v>5314</v>
      </c>
      <c r="E1269" s="12" t="s">
        <v>3176</v>
      </c>
      <c r="F1269" s="12" t="s">
        <v>135</v>
      </c>
      <c r="G1269" s="12" t="s">
        <v>5408</v>
      </c>
      <c r="H1269" s="12" t="s">
        <v>1513</v>
      </c>
      <c r="I1269" s="84">
        <v>27002100</v>
      </c>
      <c r="J1269" s="12" t="s">
        <v>5102</v>
      </c>
      <c r="L1269" s="12" t="str">
        <f>IF(OR(ISBLANK(tblSites[[#This Row],[Implementing Partner]]), tblSites[[#This Row],[Implementing Partner]]="-"), tblSites[[#This Row],[Site Agency]], tblSites[[#This Row],[Implementing Partner]])</f>
        <v>No SMA</v>
      </c>
      <c r="M1269" s="12" t="s">
        <v>55</v>
      </c>
      <c r="N1269" s="12" t="str">
        <f>tblSites[[#This Row],[FinalImplementingPartner]]</f>
        <v>No SMA</v>
      </c>
    </row>
    <row r="1270" spans="1:14" x14ac:dyDescent="0.25">
      <c r="A1270" s="12" t="s">
        <v>981</v>
      </c>
      <c r="B1270" s="12" t="s">
        <v>982</v>
      </c>
      <c r="C1270" s="12" t="s">
        <v>983</v>
      </c>
      <c r="D1270" t="s">
        <v>5314</v>
      </c>
      <c r="E1270" s="12" t="s">
        <v>3176</v>
      </c>
      <c r="F1270" s="12" t="s">
        <v>53</v>
      </c>
      <c r="G1270" s="12" t="s">
        <v>5413</v>
      </c>
      <c r="H1270" s="12" t="s">
        <v>982</v>
      </c>
      <c r="I1270" s="84">
        <v>27002154</v>
      </c>
      <c r="J1270" s="12" t="s">
        <v>54</v>
      </c>
      <c r="L1270" s="12" t="str">
        <f>IF(OR(ISBLANK(tblSites[[#This Row],[Implementing Partner]]), tblSites[[#This Row],[Implementing Partner]]="-"), tblSites[[#This Row],[Site Agency]], tblSites[[#This Row],[Implementing Partner]])</f>
        <v>PHC</v>
      </c>
      <c r="M1270" s="12" t="s">
        <v>55</v>
      </c>
      <c r="N1270" s="12" t="str">
        <f>tblSites[[#This Row],[FinalImplementingPartner]]</f>
        <v>PHC</v>
      </c>
    </row>
    <row r="1271" spans="1:14" x14ac:dyDescent="0.25">
      <c r="A1271" s="12" t="s">
        <v>1693</v>
      </c>
      <c r="B1271" s="12" t="s">
        <v>1694</v>
      </c>
      <c r="C1271" s="12" t="s">
        <v>1695</v>
      </c>
      <c r="D1271" t="s">
        <v>5314</v>
      </c>
      <c r="E1271" s="12" t="s">
        <v>3176</v>
      </c>
      <c r="F1271" s="12" t="s">
        <v>82</v>
      </c>
      <c r="G1271" s="12" t="s">
        <v>5428</v>
      </c>
      <c r="H1271" s="12" t="s">
        <v>1694</v>
      </c>
      <c r="I1271" s="84">
        <v>27001153</v>
      </c>
      <c r="J1271" s="12" t="s">
        <v>5102</v>
      </c>
      <c r="L1271" s="12" t="str">
        <f>IF(OR(ISBLANK(tblSites[[#This Row],[Implementing Partner]]), tblSites[[#This Row],[Implementing Partner]]="-"), tblSites[[#This Row],[Site Agency]], tblSites[[#This Row],[Implementing Partner]])</f>
        <v>No SMA</v>
      </c>
      <c r="M1271" s="12" t="s">
        <v>55</v>
      </c>
      <c r="N1271" s="12" t="str">
        <f>tblSites[[#This Row],[FinalImplementingPartner]]</f>
        <v>No SMA</v>
      </c>
    </row>
    <row r="1272" spans="1:14" x14ac:dyDescent="0.25">
      <c r="A1272" s="12" t="s">
        <v>233</v>
      </c>
      <c r="B1272" s="12" t="s">
        <v>234</v>
      </c>
      <c r="C1272" s="12" t="s">
        <v>235</v>
      </c>
      <c r="D1272" t="s">
        <v>5314</v>
      </c>
      <c r="E1272" s="12" t="s">
        <v>3176</v>
      </c>
      <c r="F1272" s="12" t="s">
        <v>53</v>
      </c>
      <c r="G1272" s="12" t="s">
        <v>5405</v>
      </c>
      <c r="H1272" s="12" t="s">
        <v>234</v>
      </c>
      <c r="I1272" s="84">
        <v>27002154</v>
      </c>
      <c r="J1272" s="12" t="s">
        <v>7</v>
      </c>
      <c r="K1272" s="12" t="s">
        <v>389</v>
      </c>
      <c r="L1272" s="12" t="str">
        <f>IF(OR(ISBLANK(tblSites[[#This Row],[Implementing Partner]]), tblSites[[#This Row],[Implementing Partner]]="-"), tblSites[[#This Row],[Site Agency]], tblSites[[#This Row],[Implementing Partner]])</f>
        <v>ACTED</v>
      </c>
      <c r="M1272" s="12" t="s">
        <v>55</v>
      </c>
      <c r="N1272" s="12" t="str">
        <f>tblSites[[#This Row],[FinalImplementingPartner]]</f>
        <v>ACTED</v>
      </c>
    </row>
    <row r="1273" spans="1:14" x14ac:dyDescent="0.25">
      <c r="A1273" s="12" t="s">
        <v>1141</v>
      </c>
      <c r="B1273" s="12" t="s">
        <v>1142</v>
      </c>
      <c r="C1273" s="12" t="s">
        <v>1143</v>
      </c>
      <c r="D1273" t="s">
        <v>5314</v>
      </c>
      <c r="E1273" s="12" t="s">
        <v>3176</v>
      </c>
      <c r="F1273" s="12" t="s">
        <v>440</v>
      </c>
      <c r="G1273" s="12" t="s">
        <v>5410</v>
      </c>
      <c r="H1273" s="12" t="s">
        <v>1142</v>
      </c>
      <c r="I1273" s="84">
        <v>27003176</v>
      </c>
      <c r="J1273" s="12" t="s">
        <v>5102</v>
      </c>
      <c r="L1273" s="12" t="str">
        <f>IF(OR(ISBLANK(tblSites[[#This Row],[Implementing Partner]]), tblSites[[#This Row],[Implementing Partner]]="-"), tblSites[[#This Row],[Site Agency]], tblSites[[#This Row],[Implementing Partner]])</f>
        <v>No SMA</v>
      </c>
      <c r="M1273" s="12" t="s">
        <v>55</v>
      </c>
      <c r="N1273" s="12" t="str">
        <f>tblSites[[#This Row],[FinalImplementingPartner]]</f>
        <v>No SMA</v>
      </c>
    </row>
    <row r="1274" spans="1:14" x14ac:dyDescent="0.25">
      <c r="A1274" s="12" t="s">
        <v>1663</v>
      </c>
      <c r="B1274" s="12" t="s">
        <v>36</v>
      </c>
      <c r="C1274" s="12" t="s">
        <v>1664</v>
      </c>
      <c r="D1274" t="s">
        <v>5314</v>
      </c>
      <c r="E1274" s="12" t="s">
        <v>3176</v>
      </c>
      <c r="F1274" s="12" t="s">
        <v>173</v>
      </c>
      <c r="G1274" s="12" t="s">
        <v>5404</v>
      </c>
      <c r="H1274" s="12" t="s">
        <v>36</v>
      </c>
      <c r="I1274" s="84">
        <v>27002105</v>
      </c>
      <c r="J1274" s="12" t="s">
        <v>5102</v>
      </c>
      <c r="L1274" s="12" t="str">
        <f>IF(OR(ISBLANK(tblSites[[#This Row],[Implementing Partner]]), tblSites[[#This Row],[Implementing Partner]]="-"), tblSites[[#This Row],[Site Agency]], tblSites[[#This Row],[Implementing Partner]])</f>
        <v>No SMA</v>
      </c>
      <c r="M1274" s="12" t="s">
        <v>55</v>
      </c>
      <c r="N1274" s="12" t="str">
        <f>tblSites[[#This Row],[FinalImplementingPartner]]</f>
        <v>No SMA</v>
      </c>
    </row>
    <row r="1275" spans="1:14" x14ac:dyDescent="0.25">
      <c r="A1275" s="12" t="s">
        <v>785</v>
      </c>
      <c r="B1275" s="12" t="s">
        <v>786</v>
      </c>
      <c r="C1275" s="12" t="s">
        <v>787</v>
      </c>
      <c r="D1275" t="s">
        <v>5314</v>
      </c>
      <c r="E1275" s="12" t="s">
        <v>3176</v>
      </c>
      <c r="F1275" s="12" t="s">
        <v>79</v>
      </c>
      <c r="G1275" s="12" t="s">
        <v>5419</v>
      </c>
      <c r="H1275" s="12" t="s">
        <v>786</v>
      </c>
      <c r="I1275" s="84">
        <v>27002101</v>
      </c>
      <c r="J1275" s="12" t="s">
        <v>5102</v>
      </c>
      <c r="L1275" s="12" t="str">
        <f>IF(OR(ISBLANK(tblSites[[#This Row],[Implementing Partner]]), tblSites[[#This Row],[Implementing Partner]]="-"), tblSites[[#This Row],[Site Agency]], tblSites[[#This Row],[Implementing Partner]])</f>
        <v>No SMA</v>
      </c>
      <c r="M1275" s="12" t="s">
        <v>55</v>
      </c>
      <c r="N1275" s="12" t="str">
        <f>tblSites[[#This Row],[FinalImplementingPartner]]</f>
        <v>No SMA</v>
      </c>
    </row>
    <row r="1276" spans="1:14" x14ac:dyDescent="0.25">
      <c r="A1276" s="12" t="s">
        <v>1135</v>
      </c>
      <c r="B1276" s="12" t="s">
        <v>655</v>
      </c>
      <c r="C1276" s="12" t="s">
        <v>1136</v>
      </c>
      <c r="D1276" t="s">
        <v>5314</v>
      </c>
      <c r="E1276" s="12" t="s">
        <v>3176</v>
      </c>
      <c r="F1276" s="12" t="s">
        <v>393</v>
      </c>
      <c r="G1276" s="12" t="s">
        <v>5425</v>
      </c>
      <c r="H1276" s="12" t="s">
        <v>655</v>
      </c>
      <c r="I1276" s="84">
        <v>27002108</v>
      </c>
      <c r="J1276" s="12" t="s">
        <v>5102</v>
      </c>
      <c r="L1276" s="12" t="str">
        <f>IF(OR(ISBLANK(tblSites[[#This Row],[Implementing Partner]]), tblSites[[#This Row],[Implementing Partner]]="-"), tblSites[[#This Row],[Site Agency]], tblSites[[#This Row],[Implementing Partner]])</f>
        <v>No SMA</v>
      </c>
      <c r="M1276" s="12" t="s">
        <v>55</v>
      </c>
      <c r="N1276" s="12" t="str">
        <f>tblSites[[#This Row],[FinalImplementingPartner]]</f>
        <v>No SMA</v>
      </c>
    </row>
    <row r="1277" spans="1:14" x14ac:dyDescent="0.25">
      <c r="A1277" s="12" t="s">
        <v>747</v>
      </c>
      <c r="B1277" s="12" t="s">
        <v>748</v>
      </c>
      <c r="C1277" s="12" t="s">
        <v>749</v>
      </c>
      <c r="D1277" t="s">
        <v>5314</v>
      </c>
      <c r="E1277" s="12" t="s">
        <v>3176</v>
      </c>
      <c r="F1277" s="12" t="s">
        <v>53</v>
      </c>
      <c r="G1277" s="12" t="s">
        <v>5413</v>
      </c>
      <c r="H1277" s="12" t="s">
        <v>748</v>
      </c>
      <c r="I1277" s="84">
        <v>27002154</v>
      </c>
      <c r="J1277" s="12" t="s">
        <v>54</v>
      </c>
      <c r="K1277" s="12" t="s">
        <v>389</v>
      </c>
      <c r="L1277" s="12" t="str">
        <f>IF(OR(ISBLANK(tblSites[[#This Row],[Implementing Partner]]), tblSites[[#This Row],[Implementing Partner]]="-"), tblSites[[#This Row],[Site Agency]], tblSites[[#This Row],[Implementing Partner]])</f>
        <v>PHC</v>
      </c>
      <c r="M1277" s="12" t="s">
        <v>55</v>
      </c>
      <c r="N1277" s="12" t="str">
        <f>tblSites[[#This Row],[FinalImplementingPartner]]</f>
        <v>PHC</v>
      </c>
    </row>
    <row r="1278" spans="1:14" x14ac:dyDescent="0.25">
      <c r="A1278" s="12" t="s">
        <v>1642</v>
      </c>
      <c r="B1278" s="12" t="s">
        <v>1643</v>
      </c>
      <c r="C1278" s="12" t="s">
        <v>1644</v>
      </c>
      <c r="D1278" t="s">
        <v>5314</v>
      </c>
      <c r="E1278" s="12" t="s">
        <v>3176</v>
      </c>
      <c r="F1278" s="12" t="s">
        <v>587</v>
      </c>
      <c r="G1278" s="12" t="s">
        <v>5429</v>
      </c>
      <c r="H1278" s="12" t="s">
        <v>1643</v>
      </c>
      <c r="I1278" s="84">
        <v>27006168</v>
      </c>
      <c r="J1278" s="12" t="s">
        <v>5102</v>
      </c>
      <c r="L1278" s="12" t="str">
        <f>IF(OR(ISBLANK(tblSites[[#This Row],[Implementing Partner]]), tblSites[[#This Row],[Implementing Partner]]="-"), tblSites[[#This Row],[Site Agency]], tblSites[[#This Row],[Implementing Partner]])</f>
        <v>No SMA</v>
      </c>
      <c r="M1278" s="12" t="s">
        <v>55</v>
      </c>
      <c r="N1278" s="12" t="str">
        <f>tblSites[[#This Row],[FinalImplementingPartner]]</f>
        <v>No SMA</v>
      </c>
    </row>
    <row r="1279" spans="1:14" x14ac:dyDescent="0.25">
      <c r="A1279" s="12" t="s">
        <v>204</v>
      </c>
      <c r="B1279" s="12" t="s">
        <v>205</v>
      </c>
      <c r="C1279" s="12" t="s">
        <v>206</v>
      </c>
      <c r="D1279" t="s">
        <v>5314</v>
      </c>
      <c r="E1279" s="12" t="s">
        <v>3176</v>
      </c>
      <c r="F1279" s="12" t="s">
        <v>53</v>
      </c>
      <c r="G1279" s="12" t="s">
        <v>5405</v>
      </c>
      <c r="H1279" s="12" t="s">
        <v>205</v>
      </c>
      <c r="I1279" s="84">
        <v>27002154</v>
      </c>
      <c r="J1279" s="12" t="s">
        <v>7</v>
      </c>
      <c r="K1279" s="12" t="s">
        <v>389</v>
      </c>
      <c r="L1279" s="12" t="str">
        <f>IF(OR(ISBLANK(tblSites[[#This Row],[Implementing Partner]]), tblSites[[#This Row],[Implementing Partner]]="-"), tblSites[[#This Row],[Site Agency]], tblSites[[#This Row],[Implementing Partner]])</f>
        <v>ACTED</v>
      </c>
      <c r="M1279" s="12" t="s">
        <v>55</v>
      </c>
      <c r="N1279" s="12" t="str">
        <f>tblSites[[#This Row],[FinalImplementingPartner]]</f>
        <v>ACTED</v>
      </c>
    </row>
    <row r="1280" spans="1:14" x14ac:dyDescent="0.25">
      <c r="A1280" s="12" t="s">
        <v>177</v>
      </c>
      <c r="B1280" s="12" t="s">
        <v>178</v>
      </c>
      <c r="C1280" s="12" t="s">
        <v>179</v>
      </c>
      <c r="D1280" t="s">
        <v>5314</v>
      </c>
      <c r="E1280" s="12" t="s">
        <v>3176</v>
      </c>
      <c r="F1280" s="12" t="s">
        <v>53</v>
      </c>
      <c r="G1280" s="12" t="s">
        <v>5405</v>
      </c>
      <c r="H1280" s="12" t="s">
        <v>178</v>
      </c>
      <c r="I1280" s="84">
        <v>27002154</v>
      </c>
      <c r="J1280" s="12" t="s">
        <v>7</v>
      </c>
      <c r="L1280" s="12" t="str">
        <f>IF(OR(ISBLANK(tblSites[[#This Row],[Implementing Partner]]), tblSites[[#This Row],[Implementing Partner]]="-"), tblSites[[#This Row],[Site Agency]], tblSites[[#This Row],[Implementing Partner]])</f>
        <v>ACTED</v>
      </c>
      <c r="M1280" s="12" t="s">
        <v>55</v>
      </c>
      <c r="N1280" s="12" t="str">
        <f>tblSites[[#This Row],[FinalImplementingPartner]]</f>
        <v>ACTED</v>
      </c>
    </row>
    <row r="1281" spans="1:14" x14ac:dyDescent="0.25">
      <c r="A1281" s="12" t="s">
        <v>2979</v>
      </c>
      <c r="B1281" s="12" t="s">
        <v>2980</v>
      </c>
      <c r="D1281" t="s">
        <v>5314</v>
      </c>
      <c r="E1281" s="12" t="s">
        <v>3176</v>
      </c>
      <c r="F1281" s="12" t="s">
        <v>79</v>
      </c>
      <c r="G1281" s="12" t="s">
        <v>5419</v>
      </c>
      <c r="H1281" s="12" t="s">
        <v>2980</v>
      </c>
      <c r="I1281" s="84">
        <v>27002101</v>
      </c>
      <c r="J1281" s="12" t="s">
        <v>5102</v>
      </c>
      <c r="L1281" s="12" t="str">
        <f>IF(OR(ISBLANK(tblSites[[#This Row],[Implementing Partner]]), tblSites[[#This Row],[Implementing Partner]]="-"), tblSites[[#This Row],[Site Agency]], tblSites[[#This Row],[Implementing Partner]])</f>
        <v>No SMA</v>
      </c>
      <c r="M1281" s="12" t="s">
        <v>55</v>
      </c>
      <c r="N1281" s="12" t="str">
        <f>tblSites[[#This Row],[FinalImplementingPartner]]</f>
        <v>No SMA</v>
      </c>
    </row>
    <row r="1282" spans="1:14" x14ac:dyDescent="0.25">
      <c r="A1282" s="12" t="s">
        <v>1173</v>
      </c>
      <c r="B1282" s="12" t="s">
        <v>1174</v>
      </c>
      <c r="C1282" s="12" t="s">
        <v>1175</v>
      </c>
      <c r="D1282" t="s">
        <v>5314</v>
      </c>
      <c r="E1282" s="12" t="s">
        <v>3176</v>
      </c>
      <c r="F1282" s="12" t="s">
        <v>53</v>
      </c>
      <c r="G1282" s="12" t="s">
        <v>5406</v>
      </c>
      <c r="H1282" s="12" t="s">
        <v>1174</v>
      </c>
      <c r="I1282" s="84">
        <v>27002154</v>
      </c>
      <c r="J1282" s="12" t="s">
        <v>5102</v>
      </c>
      <c r="L1282" s="12" t="str">
        <f>IF(OR(ISBLANK(tblSites[[#This Row],[Implementing Partner]]), tblSites[[#This Row],[Implementing Partner]]="-"), tblSites[[#This Row],[Site Agency]], tblSites[[#This Row],[Implementing Partner]])</f>
        <v>No SMA</v>
      </c>
      <c r="M1282" s="12" t="s">
        <v>55</v>
      </c>
      <c r="N1282" s="12" t="str">
        <f>tblSites[[#This Row],[FinalImplementingPartner]]</f>
        <v>No SMA</v>
      </c>
    </row>
    <row r="1283" spans="1:14" x14ac:dyDescent="0.25">
      <c r="A1283" s="12" t="s">
        <v>2981</v>
      </c>
      <c r="B1283" s="12" t="s">
        <v>2982</v>
      </c>
      <c r="C1283" s="12" t="s">
        <v>1511</v>
      </c>
      <c r="D1283" t="s">
        <v>5314</v>
      </c>
      <c r="E1283" s="12" t="s">
        <v>3176</v>
      </c>
      <c r="F1283" s="12" t="s">
        <v>173</v>
      </c>
      <c r="G1283" s="12" t="s">
        <v>5404</v>
      </c>
      <c r="H1283" s="12" t="s">
        <v>2982</v>
      </c>
      <c r="I1283" s="84">
        <v>27002105</v>
      </c>
      <c r="J1283" s="12" t="s">
        <v>5102</v>
      </c>
      <c r="L1283" s="12" t="str">
        <f>IF(OR(ISBLANK(tblSites[[#This Row],[Implementing Partner]]), tblSites[[#This Row],[Implementing Partner]]="-"), tblSites[[#This Row],[Site Agency]], tblSites[[#This Row],[Implementing Partner]])</f>
        <v>No SMA</v>
      </c>
      <c r="M1283" s="12" t="s">
        <v>55</v>
      </c>
      <c r="N1283" s="12" t="str">
        <f>tblSites[[#This Row],[FinalImplementingPartner]]</f>
        <v>No SMA</v>
      </c>
    </row>
    <row r="1284" spans="1:14" x14ac:dyDescent="0.25">
      <c r="A1284" s="12" t="s">
        <v>1674</v>
      </c>
      <c r="B1284" s="12" t="s">
        <v>1675</v>
      </c>
      <c r="C1284" s="12" t="s">
        <v>1676</v>
      </c>
      <c r="D1284" t="s">
        <v>5314</v>
      </c>
      <c r="E1284" s="12" t="s">
        <v>3176</v>
      </c>
      <c r="F1284" s="12" t="s">
        <v>173</v>
      </c>
      <c r="G1284" s="12" t="s">
        <v>5404</v>
      </c>
      <c r="H1284" s="12" t="s">
        <v>1675</v>
      </c>
      <c r="I1284" s="84">
        <v>27002105</v>
      </c>
      <c r="J1284" s="12" t="s">
        <v>5102</v>
      </c>
      <c r="L1284" s="12" t="str">
        <f>IF(OR(ISBLANK(tblSites[[#This Row],[Implementing Partner]]), tblSites[[#This Row],[Implementing Partner]]="-"), tblSites[[#This Row],[Site Agency]], tblSites[[#This Row],[Implementing Partner]])</f>
        <v>No SMA</v>
      </c>
      <c r="M1284" s="12" t="s">
        <v>55</v>
      </c>
      <c r="N1284" s="12" t="str">
        <f>tblSites[[#This Row],[FinalImplementingPartner]]</f>
        <v>No SMA</v>
      </c>
    </row>
    <row r="1285" spans="1:14" x14ac:dyDescent="0.25">
      <c r="A1285" s="12" t="s">
        <v>1657</v>
      </c>
      <c r="B1285" s="12" t="s">
        <v>1658</v>
      </c>
      <c r="C1285" s="12" t="s">
        <v>1659</v>
      </c>
      <c r="D1285" t="s">
        <v>5314</v>
      </c>
      <c r="E1285" s="12" t="s">
        <v>3176</v>
      </c>
      <c r="F1285" s="12" t="s">
        <v>173</v>
      </c>
      <c r="G1285" s="12" t="s">
        <v>5404</v>
      </c>
      <c r="H1285" s="12" t="s">
        <v>1658</v>
      </c>
      <c r="I1285" s="84">
        <v>27002105</v>
      </c>
      <c r="J1285" s="12" t="s">
        <v>5102</v>
      </c>
      <c r="L1285" s="12" t="str">
        <f>IF(OR(ISBLANK(tblSites[[#This Row],[Implementing Partner]]), tblSites[[#This Row],[Implementing Partner]]="-"), tblSites[[#This Row],[Site Agency]], tblSites[[#This Row],[Implementing Partner]])</f>
        <v>No SMA</v>
      </c>
      <c r="M1285" s="12" t="s">
        <v>55</v>
      </c>
      <c r="N1285" s="12" t="str">
        <f>tblSites[[#This Row],[FinalImplementingPartner]]</f>
        <v>No SMA</v>
      </c>
    </row>
    <row r="1286" spans="1:14" x14ac:dyDescent="0.25">
      <c r="A1286" s="12" t="s">
        <v>1179</v>
      </c>
      <c r="B1286" s="12" t="s">
        <v>985</v>
      </c>
      <c r="C1286" s="12" t="s">
        <v>497</v>
      </c>
      <c r="D1286" t="s">
        <v>5314</v>
      </c>
      <c r="E1286" s="12" t="s">
        <v>3176</v>
      </c>
      <c r="F1286" s="12" t="s">
        <v>53</v>
      </c>
      <c r="G1286" s="12" t="s">
        <v>5406</v>
      </c>
      <c r="H1286" s="12" t="s">
        <v>985</v>
      </c>
      <c r="I1286" s="84">
        <v>27002154</v>
      </c>
      <c r="J1286" s="12" t="s">
        <v>5102</v>
      </c>
      <c r="L1286" s="12" t="str">
        <f>IF(OR(ISBLANK(tblSites[[#This Row],[Implementing Partner]]), tblSites[[#This Row],[Implementing Partner]]="-"), tblSites[[#This Row],[Site Agency]], tblSites[[#This Row],[Implementing Partner]])</f>
        <v>No SMA</v>
      </c>
      <c r="M1286" s="12" t="s">
        <v>55</v>
      </c>
      <c r="N1286" s="12" t="str">
        <f>tblSites[[#This Row],[FinalImplementingPartner]]</f>
        <v>No SMA</v>
      </c>
    </row>
    <row r="1287" spans="1:14" x14ac:dyDescent="0.25">
      <c r="A1287" s="12" t="s">
        <v>1147</v>
      </c>
      <c r="B1287" s="12" t="s">
        <v>1148</v>
      </c>
      <c r="C1287" s="12" t="s">
        <v>1149</v>
      </c>
      <c r="D1287" t="s">
        <v>5314</v>
      </c>
      <c r="E1287" s="12" t="s">
        <v>3176</v>
      </c>
      <c r="F1287" s="12" t="s">
        <v>173</v>
      </c>
      <c r="G1287" s="12" t="s">
        <v>5404</v>
      </c>
      <c r="H1287" s="12" t="s">
        <v>1148</v>
      </c>
      <c r="I1287" s="84">
        <v>27002105</v>
      </c>
      <c r="J1287" s="12" t="s">
        <v>5102</v>
      </c>
      <c r="L1287" s="12" t="str">
        <f>IF(OR(ISBLANK(tblSites[[#This Row],[Implementing Partner]]), tblSites[[#This Row],[Implementing Partner]]="-"), tblSites[[#This Row],[Site Agency]], tblSites[[#This Row],[Implementing Partner]])</f>
        <v>No SMA</v>
      </c>
      <c r="M1287" s="12" t="s">
        <v>55</v>
      </c>
      <c r="N1287" s="12" t="str">
        <f>tblSites[[#This Row],[FinalImplementingPartner]]</f>
        <v>No SMA</v>
      </c>
    </row>
    <row r="1288" spans="1:14" x14ac:dyDescent="0.25">
      <c r="A1288" s="12" t="s">
        <v>248</v>
      </c>
      <c r="B1288" s="12" t="s">
        <v>249</v>
      </c>
      <c r="C1288" s="12" t="s">
        <v>250</v>
      </c>
      <c r="D1288" t="s">
        <v>5314</v>
      </c>
      <c r="E1288" s="12" t="s">
        <v>3176</v>
      </c>
      <c r="F1288" s="12" t="s">
        <v>53</v>
      </c>
      <c r="G1288" s="12" t="s">
        <v>5406</v>
      </c>
      <c r="H1288" s="12" t="s">
        <v>249</v>
      </c>
      <c r="I1288" s="84">
        <v>27002154</v>
      </c>
      <c r="J1288" s="12" t="s">
        <v>5102</v>
      </c>
      <c r="L1288" s="12" t="str">
        <f>IF(OR(ISBLANK(tblSites[[#This Row],[Implementing Partner]]), tblSites[[#This Row],[Implementing Partner]]="-"), tblSites[[#This Row],[Site Agency]], tblSites[[#This Row],[Implementing Partner]])</f>
        <v>No SMA</v>
      </c>
      <c r="M1288" s="12" t="s">
        <v>55</v>
      </c>
      <c r="N1288" s="12" t="str">
        <f>tblSites[[#This Row],[FinalImplementingPartner]]</f>
        <v>No SMA</v>
      </c>
    </row>
    <row r="1289" spans="1:14" x14ac:dyDescent="0.25">
      <c r="A1289" s="12" t="s">
        <v>1560</v>
      </c>
      <c r="B1289" s="12" t="s">
        <v>1561</v>
      </c>
      <c r="C1289" s="12" t="s">
        <v>1562</v>
      </c>
      <c r="D1289" t="s">
        <v>5314</v>
      </c>
      <c r="E1289" s="12" t="s">
        <v>3176</v>
      </c>
      <c r="F1289" s="12" t="s">
        <v>53</v>
      </c>
      <c r="G1289" s="12" t="s">
        <v>5406</v>
      </c>
      <c r="H1289" s="12" t="s">
        <v>1561</v>
      </c>
      <c r="I1289" s="84">
        <v>27002154</v>
      </c>
      <c r="J1289" s="12" t="s">
        <v>5102</v>
      </c>
      <c r="L1289" s="12" t="str">
        <f>IF(OR(ISBLANK(tblSites[[#This Row],[Implementing Partner]]), tblSites[[#This Row],[Implementing Partner]]="-"), tblSites[[#This Row],[Site Agency]], tblSites[[#This Row],[Implementing Partner]])</f>
        <v>No SMA</v>
      </c>
      <c r="M1289" s="12" t="s">
        <v>55</v>
      </c>
      <c r="N1289" s="12" t="str">
        <f>tblSites[[#This Row],[FinalImplementingPartner]]</f>
        <v>No SMA</v>
      </c>
    </row>
    <row r="1290" spans="1:14" x14ac:dyDescent="0.25">
      <c r="A1290" s="12" t="s">
        <v>1402</v>
      </c>
      <c r="B1290" s="12" t="s">
        <v>1403</v>
      </c>
      <c r="C1290" s="12" t="s">
        <v>916</v>
      </c>
      <c r="D1290" t="s">
        <v>5314</v>
      </c>
      <c r="E1290" s="12" t="s">
        <v>3176</v>
      </c>
      <c r="F1290" s="12" t="s">
        <v>173</v>
      </c>
      <c r="G1290" s="12" t="s">
        <v>5404</v>
      </c>
      <c r="H1290" s="12" t="s">
        <v>1403</v>
      </c>
      <c r="I1290" s="84">
        <v>27002105</v>
      </c>
      <c r="J1290" s="12" t="s">
        <v>5102</v>
      </c>
      <c r="L1290" s="12" t="str">
        <f>IF(OR(ISBLANK(tblSites[[#This Row],[Implementing Partner]]), tblSites[[#This Row],[Implementing Partner]]="-"), tblSites[[#This Row],[Site Agency]], tblSites[[#This Row],[Implementing Partner]])</f>
        <v>No SMA</v>
      </c>
      <c r="M1290" s="12" t="s">
        <v>55</v>
      </c>
      <c r="N1290" s="12" t="str">
        <f>tblSites[[#This Row],[FinalImplementingPartner]]</f>
        <v>No SMA</v>
      </c>
    </row>
    <row r="1291" spans="1:14" x14ac:dyDescent="0.25">
      <c r="A1291" s="12" t="s">
        <v>2309</v>
      </c>
      <c r="B1291" s="12" t="s">
        <v>2310</v>
      </c>
      <c r="C1291" s="12" t="s">
        <v>2311</v>
      </c>
      <c r="D1291" t="s">
        <v>5314</v>
      </c>
      <c r="E1291" s="12" t="s">
        <v>3176</v>
      </c>
      <c r="F1291" s="12" t="s">
        <v>325</v>
      </c>
      <c r="G1291" s="12" t="s">
        <v>5422</v>
      </c>
      <c r="H1291" s="12" t="s">
        <v>2310</v>
      </c>
      <c r="I1291" s="84">
        <v>27002104</v>
      </c>
      <c r="J1291" s="12" t="s">
        <v>1215</v>
      </c>
      <c r="L1291" s="12" t="str">
        <f>IF(OR(ISBLANK(tblSites[[#This Row],[Implementing Partner]]), tblSites[[#This Row],[Implementing Partner]]="-"), tblSites[[#This Row],[Site Agency]], tblSites[[#This Row],[Implementing Partner]])</f>
        <v>UNRWA</v>
      </c>
      <c r="M1291" s="12" t="s">
        <v>55</v>
      </c>
      <c r="N1291" s="12" t="str">
        <f>tblSites[[#This Row],[FinalImplementingPartner]]</f>
        <v>UNRWA</v>
      </c>
    </row>
    <row r="1292" spans="1:14" x14ac:dyDescent="0.25">
      <c r="A1292" s="12" t="s">
        <v>2517</v>
      </c>
      <c r="B1292" s="12" t="s">
        <v>2518</v>
      </c>
      <c r="C1292" s="12" t="s">
        <v>2519</v>
      </c>
      <c r="D1292" t="s">
        <v>5314</v>
      </c>
      <c r="E1292" s="12" t="s">
        <v>3176</v>
      </c>
      <c r="F1292" s="12" t="s">
        <v>460</v>
      </c>
      <c r="G1292" s="12" t="s">
        <v>5430</v>
      </c>
      <c r="H1292" s="12" t="s">
        <v>2518</v>
      </c>
      <c r="I1292" s="84">
        <v>27002113</v>
      </c>
      <c r="J1292" s="12" t="s">
        <v>5102</v>
      </c>
      <c r="L1292" s="12" t="str">
        <f>IF(OR(ISBLANK(tblSites[[#This Row],[Implementing Partner]]), tblSites[[#This Row],[Implementing Partner]]="-"), tblSites[[#This Row],[Site Agency]], tblSites[[#This Row],[Implementing Partner]])</f>
        <v>No SMA</v>
      </c>
      <c r="M1292" s="12" t="s">
        <v>55</v>
      </c>
      <c r="N1292" s="12" t="str">
        <f>tblSites[[#This Row],[FinalImplementingPartner]]</f>
        <v>No SMA</v>
      </c>
    </row>
    <row r="1293" spans="1:14" x14ac:dyDescent="0.25">
      <c r="A1293" s="12" t="s">
        <v>469</v>
      </c>
      <c r="B1293" s="12" t="s">
        <v>470</v>
      </c>
      <c r="C1293" s="12" t="s">
        <v>471</v>
      </c>
      <c r="D1293" t="s">
        <v>5314</v>
      </c>
      <c r="E1293" s="12" t="s">
        <v>3176</v>
      </c>
      <c r="F1293" s="12" t="s">
        <v>472</v>
      </c>
      <c r="G1293" s="12" t="s">
        <v>5409</v>
      </c>
      <c r="H1293" s="12" t="s">
        <v>470</v>
      </c>
      <c r="I1293" s="84">
        <v>27002103</v>
      </c>
      <c r="J1293" s="12" t="s">
        <v>5102</v>
      </c>
      <c r="L1293" s="12" t="str">
        <f>IF(OR(ISBLANK(tblSites[[#This Row],[Implementing Partner]]), tblSites[[#This Row],[Implementing Partner]]="-"), tblSites[[#This Row],[Site Agency]], tblSites[[#This Row],[Implementing Partner]])</f>
        <v>No SMA</v>
      </c>
      <c r="M1293" s="12" t="s">
        <v>55</v>
      </c>
      <c r="N1293" s="12" t="str">
        <f>tblSites[[#This Row],[FinalImplementingPartner]]</f>
        <v>No SMA</v>
      </c>
    </row>
    <row r="1294" spans="1:14" x14ac:dyDescent="0.25">
      <c r="A1294" s="12" t="s">
        <v>473</v>
      </c>
      <c r="B1294" s="12" t="s">
        <v>474</v>
      </c>
      <c r="C1294" s="12" t="s">
        <v>475</v>
      </c>
      <c r="D1294" t="s">
        <v>5314</v>
      </c>
      <c r="E1294" s="12" t="s">
        <v>3176</v>
      </c>
      <c r="F1294" s="12" t="s">
        <v>79</v>
      </c>
      <c r="G1294" s="12" t="s">
        <v>5419</v>
      </c>
      <c r="H1294" s="12" t="s">
        <v>474</v>
      </c>
      <c r="I1294" s="84">
        <v>27002101</v>
      </c>
      <c r="J1294" s="12" t="s">
        <v>5102</v>
      </c>
      <c r="L1294" s="12" t="str">
        <f>IF(OR(ISBLANK(tblSites[[#This Row],[Implementing Partner]]), tblSites[[#This Row],[Implementing Partner]]="-"), tblSites[[#This Row],[Site Agency]], tblSites[[#This Row],[Implementing Partner]])</f>
        <v>No SMA</v>
      </c>
      <c r="M1294" s="12" t="s">
        <v>55</v>
      </c>
      <c r="N1294" s="12" t="str">
        <f>tblSites[[#This Row],[FinalImplementingPartner]]</f>
        <v>No SMA</v>
      </c>
    </row>
    <row r="1295" spans="1:14" x14ac:dyDescent="0.25">
      <c r="A1295" s="12" t="s">
        <v>2223</v>
      </c>
      <c r="B1295" s="12" t="s">
        <v>432</v>
      </c>
      <c r="C1295" s="12" t="s">
        <v>433</v>
      </c>
      <c r="D1295" t="s">
        <v>5314</v>
      </c>
      <c r="E1295" s="12" t="s">
        <v>3176</v>
      </c>
      <c r="F1295" s="12" t="s">
        <v>53</v>
      </c>
      <c r="G1295" s="12" t="s">
        <v>5412</v>
      </c>
      <c r="H1295" s="12" t="s">
        <v>432</v>
      </c>
      <c r="I1295" s="84">
        <v>27002154</v>
      </c>
      <c r="J1295" s="12" t="s">
        <v>35</v>
      </c>
      <c r="L1295" s="12" t="str">
        <f>IF(OR(ISBLANK(tblSites[[#This Row],[Implementing Partner]]), tblSites[[#This Row],[Implementing Partner]]="-"), tblSites[[#This Row],[Site Agency]], tblSites[[#This Row],[Implementing Partner]])</f>
        <v>NRC</v>
      </c>
      <c r="M1295" s="12" t="s">
        <v>55</v>
      </c>
      <c r="N1295" s="12" t="str">
        <f>tblSites[[#This Row],[FinalImplementingPartner]]</f>
        <v>NRC</v>
      </c>
    </row>
    <row r="1296" spans="1:14" x14ac:dyDescent="0.25">
      <c r="A1296" s="12" t="s">
        <v>378</v>
      </c>
      <c r="B1296" s="12" t="s">
        <v>379</v>
      </c>
      <c r="C1296" s="12" t="s">
        <v>380</v>
      </c>
      <c r="D1296" t="s">
        <v>5314</v>
      </c>
      <c r="E1296" s="12" t="s">
        <v>3176</v>
      </c>
      <c r="F1296" s="12" t="s">
        <v>173</v>
      </c>
      <c r="G1296" s="12" t="s">
        <v>5404</v>
      </c>
      <c r="H1296" s="12" t="s">
        <v>379</v>
      </c>
      <c r="I1296" s="84">
        <v>27002105</v>
      </c>
      <c r="J1296" s="12" t="s">
        <v>5102</v>
      </c>
      <c r="L1296" s="12" t="str">
        <f>IF(OR(ISBLANK(tblSites[[#This Row],[Implementing Partner]]), tblSites[[#This Row],[Implementing Partner]]="-"), tblSites[[#This Row],[Site Agency]], tblSites[[#This Row],[Implementing Partner]])</f>
        <v>No SMA</v>
      </c>
      <c r="M1296" s="12" t="s">
        <v>55</v>
      </c>
      <c r="N1296" s="12" t="str">
        <f>tblSites[[#This Row],[FinalImplementingPartner]]</f>
        <v>No SMA</v>
      </c>
    </row>
    <row r="1297" spans="1:14" x14ac:dyDescent="0.25">
      <c r="A1297" s="12" t="s">
        <v>411</v>
      </c>
      <c r="B1297" s="12" t="s">
        <v>412</v>
      </c>
      <c r="C1297" s="12" t="s">
        <v>413</v>
      </c>
      <c r="D1297" t="s">
        <v>5314</v>
      </c>
      <c r="E1297" s="12" t="s">
        <v>3176</v>
      </c>
      <c r="F1297" s="12" t="s">
        <v>82</v>
      </c>
      <c r="G1297" s="12" t="s">
        <v>5428</v>
      </c>
      <c r="H1297" s="12" t="s">
        <v>412</v>
      </c>
      <c r="I1297" s="84">
        <v>27001153</v>
      </c>
      <c r="J1297" s="12" t="s">
        <v>5102</v>
      </c>
      <c r="L1297" s="12" t="str">
        <f>IF(OR(ISBLANK(tblSites[[#This Row],[Implementing Partner]]), tblSites[[#This Row],[Implementing Partner]]="-"), tblSites[[#This Row],[Site Agency]], tblSites[[#This Row],[Implementing Partner]])</f>
        <v>No SMA</v>
      </c>
      <c r="M1297" s="12" t="s">
        <v>55</v>
      </c>
      <c r="N1297" s="12" t="str">
        <f>tblSites[[#This Row],[FinalImplementingPartner]]</f>
        <v>No SMA</v>
      </c>
    </row>
    <row r="1298" spans="1:14" x14ac:dyDescent="0.25">
      <c r="A1298" s="12" t="s">
        <v>2983</v>
      </c>
      <c r="B1298" s="12" t="s">
        <v>320</v>
      </c>
      <c r="C1298" s="12" t="s">
        <v>150</v>
      </c>
      <c r="D1298" t="s">
        <v>5314</v>
      </c>
      <c r="E1298" s="12" t="s">
        <v>3176</v>
      </c>
      <c r="F1298" s="12" t="s">
        <v>173</v>
      </c>
      <c r="G1298" s="12" t="s">
        <v>5404</v>
      </c>
      <c r="H1298" s="12" t="s">
        <v>320</v>
      </c>
      <c r="I1298" s="84">
        <v>27002105</v>
      </c>
      <c r="J1298" s="12" t="s">
        <v>5102</v>
      </c>
      <c r="L1298" s="12" t="str">
        <f>IF(OR(ISBLANK(tblSites[[#This Row],[Implementing Partner]]), tblSites[[#This Row],[Implementing Partner]]="-"), tblSites[[#This Row],[Site Agency]], tblSites[[#This Row],[Implementing Partner]])</f>
        <v>No SMA</v>
      </c>
      <c r="M1298" s="12" t="s">
        <v>55</v>
      </c>
      <c r="N1298" s="12" t="str">
        <f>tblSites[[#This Row],[FinalImplementingPartner]]</f>
        <v>No SMA</v>
      </c>
    </row>
    <row r="1299" spans="1:14" x14ac:dyDescent="0.25">
      <c r="A1299" s="12" t="s">
        <v>572</v>
      </c>
      <c r="B1299" s="12" t="s">
        <v>573</v>
      </c>
      <c r="C1299" s="12" t="s">
        <v>574</v>
      </c>
      <c r="D1299" t="s">
        <v>5314</v>
      </c>
      <c r="E1299" s="12" t="s">
        <v>3176</v>
      </c>
      <c r="F1299" s="12" t="s">
        <v>173</v>
      </c>
      <c r="G1299" s="12" t="s">
        <v>5404</v>
      </c>
      <c r="H1299" s="12" t="s">
        <v>573</v>
      </c>
      <c r="I1299" s="84">
        <v>27002105</v>
      </c>
      <c r="J1299" s="12" t="s">
        <v>5102</v>
      </c>
      <c r="L1299" s="12" t="str">
        <f>IF(OR(ISBLANK(tblSites[[#This Row],[Implementing Partner]]), tblSites[[#This Row],[Implementing Partner]]="-"), tblSites[[#This Row],[Site Agency]], tblSites[[#This Row],[Implementing Partner]])</f>
        <v>No SMA</v>
      </c>
      <c r="M1299" s="12" t="s">
        <v>55</v>
      </c>
      <c r="N1299" s="12" t="str">
        <f>tblSites[[#This Row],[FinalImplementingPartner]]</f>
        <v>No SMA</v>
      </c>
    </row>
    <row r="1300" spans="1:14" x14ac:dyDescent="0.25">
      <c r="A1300" s="12" t="s">
        <v>2217</v>
      </c>
      <c r="B1300" s="12" t="s">
        <v>2218</v>
      </c>
      <c r="C1300" s="12" t="s">
        <v>2219</v>
      </c>
      <c r="D1300" t="s">
        <v>5314</v>
      </c>
      <c r="E1300" s="12" t="s">
        <v>3176</v>
      </c>
      <c r="F1300" s="12" t="s">
        <v>173</v>
      </c>
      <c r="G1300" s="12" t="s">
        <v>5414</v>
      </c>
      <c r="H1300" s="12" t="s">
        <v>2218</v>
      </c>
      <c r="I1300" s="84">
        <v>27002105</v>
      </c>
      <c r="J1300" s="12" t="s">
        <v>35</v>
      </c>
      <c r="L1300" s="12" t="str">
        <f>IF(OR(ISBLANK(tblSites[[#This Row],[Implementing Partner]]), tblSites[[#This Row],[Implementing Partner]]="-"), tblSites[[#This Row],[Site Agency]], tblSites[[#This Row],[Implementing Partner]])</f>
        <v>NRC</v>
      </c>
      <c r="M1300" s="12" t="s">
        <v>55</v>
      </c>
      <c r="N1300" s="12" t="str">
        <f>tblSites[[#This Row],[FinalImplementingPartner]]</f>
        <v>NRC</v>
      </c>
    </row>
    <row r="1301" spans="1:14" x14ac:dyDescent="0.25">
      <c r="A1301" s="12" t="s">
        <v>375</v>
      </c>
      <c r="B1301" s="12" t="s">
        <v>376</v>
      </c>
      <c r="C1301" s="12" t="s">
        <v>377</v>
      </c>
      <c r="D1301" t="s">
        <v>5314</v>
      </c>
      <c r="E1301" s="12" t="s">
        <v>3176</v>
      </c>
      <c r="F1301" s="12" t="s">
        <v>173</v>
      </c>
      <c r="G1301" s="12" t="s">
        <v>5404</v>
      </c>
      <c r="H1301" s="12" t="s">
        <v>376</v>
      </c>
      <c r="I1301" s="84">
        <v>27002105</v>
      </c>
      <c r="J1301" s="12" t="s">
        <v>5102</v>
      </c>
      <c r="L1301" s="12" t="str">
        <f>IF(OR(ISBLANK(tblSites[[#This Row],[Implementing Partner]]), tblSites[[#This Row],[Implementing Partner]]="-"), tblSites[[#This Row],[Site Agency]], tblSites[[#This Row],[Implementing Partner]])</f>
        <v>No SMA</v>
      </c>
      <c r="M1301" s="12" t="s">
        <v>55</v>
      </c>
      <c r="N1301" s="12" t="str">
        <f>tblSites[[#This Row],[FinalImplementingPartner]]</f>
        <v>No SMA</v>
      </c>
    </row>
    <row r="1302" spans="1:14" x14ac:dyDescent="0.25">
      <c r="A1302" s="12" t="s">
        <v>511</v>
      </c>
      <c r="B1302" s="12" t="s">
        <v>512</v>
      </c>
      <c r="C1302" s="12" t="s">
        <v>513</v>
      </c>
      <c r="D1302" t="s">
        <v>5314</v>
      </c>
      <c r="E1302" s="12" t="s">
        <v>3176</v>
      </c>
      <c r="F1302" s="12" t="s">
        <v>173</v>
      </c>
      <c r="G1302" s="12" t="s">
        <v>5404</v>
      </c>
      <c r="H1302" s="12" t="s">
        <v>512</v>
      </c>
      <c r="I1302" s="84">
        <v>27002105</v>
      </c>
      <c r="J1302" s="12" t="s">
        <v>5102</v>
      </c>
      <c r="K1302" s="12" t="s">
        <v>389</v>
      </c>
      <c r="L1302" s="12" t="str">
        <f>IF(OR(ISBLANK(tblSites[[#This Row],[Implementing Partner]]), tblSites[[#This Row],[Implementing Partner]]="-"), tblSites[[#This Row],[Site Agency]], tblSites[[#This Row],[Implementing Partner]])</f>
        <v>No SMA</v>
      </c>
      <c r="M1302" s="12" t="s">
        <v>55</v>
      </c>
      <c r="N1302" s="12" t="str">
        <f>tblSites[[#This Row],[FinalImplementingPartner]]</f>
        <v>No SMA</v>
      </c>
    </row>
    <row r="1303" spans="1:14" x14ac:dyDescent="0.25">
      <c r="A1303" s="12" t="s">
        <v>421</v>
      </c>
      <c r="B1303" s="12" t="s">
        <v>422</v>
      </c>
      <c r="C1303" s="12" t="s">
        <v>221</v>
      </c>
      <c r="D1303" t="s">
        <v>5314</v>
      </c>
      <c r="E1303" s="12" t="s">
        <v>3176</v>
      </c>
      <c r="F1303" s="12" t="s">
        <v>173</v>
      </c>
      <c r="G1303" s="12" t="s">
        <v>5404</v>
      </c>
      <c r="H1303" s="12" t="s">
        <v>422</v>
      </c>
      <c r="I1303" s="84">
        <v>27002105</v>
      </c>
      <c r="J1303" s="12" t="s">
        <v>5102</v>
      </c>
      <c r="L1303" s="12" t="str">
        <f>IF(OR(ISBLANK(tblSites[[#This Row],[Implementing Partner]]), tblSites[[#This Row],[Implementing Partner]]="-"), tblSites[[#This Row],[Site Agency]], tblSites[[#This Row],[Implementing Partner]])</f>
        <v>No SMA</v>
      </c>
      <c r="M1303" s="12" t="s">
        <v>55</v>
      </c>
      <c r="N1303" s="12" t="str">
        <f>tblSites[[#This Row],[FinalImplementingPartner]]</f>
        <v>No SMA</v>
      </c>
    </row>
    <row r="1304" spans="1:14" x14ac:dyDescent="0.25">
      <c r="A1304" s="12" t="s">
        <v>565</v>
      </c>
      <c r="B1304" s="12" t="s">
        <v>566</v>
      </c>
      <c r="C1304" s="12" t="s">
        <v>567</v>
      </c>
      <c r="D1304" t="s">
        <v>5314</v>
      </c>
      <c r="E1304" s="12" t="s">
        <v>3176</v>
      </c>
      <c r="F1304" s="12" t="s">
        <v>173</v>
      </c>
      <c r="G1304" s="12" t="s">
        <v>5404</v>
      </c>
      <c r="H1304" s="12" t="s">
        <v>566</v>
      </c>
      <c r="I1304" s="84">
        <v>27002105</v>
      </c>
      <c r="J1304" s="12" t="s">
        <v>5102</v>
      </c>
      <c r="L1304" s="12" t="str">
        <f>IF(OR(ISBLANK(tblSites[[#This Row],[Implementing Partner]]), tblSites[[#This Row],[Implementing Partner]]="-"), tblSites[[#This Row],[Site Agency]], tblSites[[#This Row],[Implementing Partner]])</f>
        <v>No SMA</v>
      </c>
      <c r="M1304" s="12" t="s">
        <v>55</v>
      </c>
      <c r="N1304" s="12" t="str">
        <f>tblSites[[#This Row],[FinalImplementingPartner]]</f>
        <v>No SMA</v>
      </c>
    </row>
    <row r="1305" spans="1:14" x14ac:dyDescent="0.25">
      <c r="A1305" s="12" t="s">
        <v>517</v>
      </c>
      <c r="B1305" s="12" t="s">
        <v>518</v>
      </c>
      <c r="C1305" s="12" t="s">
        <v>519</v>
      </c>
      <c r="D1305" t="s">
        <v>5314</v>
      </c>
      <c r="E1305" s="12" t="s">
        <v>3176</v>
      </c>
      <c r="F1305" s="12" t="s">
        <v>173</v>
      </c>
      <c r="G1305" s="12" t="s">
        <v>5404</v>
      </c>
      <c r="H1305" s="12" t="s">
        <v>518</v>
      </c>
      <c r="I1305" s="84">
        <v>27002105</v>
      </c>
      <c r="J1305" s="12" t="s">
        <v>5102</v>
      </c>
      <c r="L1305" s="12" t="str">
        <f>IF(OR(ISBLANK(tblSites[[#This Row],[Implementing Partner]]), tblSites[[#This Row],[Implementing Partner]]="-"), tblSites[[#This Row],[Site Agency]], tblSites[[#This Row],[Implementing Partner]])</f>
        <v>No SMA</v>
      </c>
      <c r="M1305" s="12" t="s">
        <v>55</v>
      </c>
      <c r="N1305" s="12" t="str">
        <f>tblSites[[#This Row],[FinalImplementingPartner]]</f>
        <v>No SMA</v>
      </c>
    </row>
    <row r="1306" spans="1:14" x14ac:dyDescent="0.25">
      <c r="A1306" s="12" t="s">
        <v>466</v>
      </c>
      <c r="B1306" s="12" t="s">
        <v>467</v>
      </c>
      <c r="C1306" s="12" t="s">
        <v>468</v>
      </c>
      <c r="D1306" t="s">
        <v>5314</v>
      </c>
      <c r="E1306" s="12" t="s">
        <v>3176</v>
      </c>
      <c r="F1306" s="12" t="s">
        <v>325</v>
      </c>
      <c r="G1306" s="12" t="s">
        <v>5411</v>
      </c>
      <c r="H1306" s="12" t="s">
        <v>467</v>
      </c>
      <c r="I1306" s="84">
        <v>27002104</v>
      </c>
      <c r="J1306" s="12" t="s">
        <v>5102</v>
      </c>
      <c r="L1306" s="12" t="str">
        <f>IF(OR(ISBLANK(tblSites[[#This Row],[Implementing Partner]]), tblSites[[#This Row],[Implementing Partner]]="-"), tblSites[[#This Row],[Site Agency]], tblSites[[#This Row],[Implementing Partner]])</f>
        <v>No SMA</v>
      </c>
      <c r="M1306" s="12" t="s">
        <v>55</v>
      </c>
      <c r="N1306" s="12" t="str">
        <f>tblSites[[#This Row],[FinalImplementingPartner]]</f>
        <v>No SMA</v>
      </c>
    </row>
    <row r="1307" spans="1:14" x14ac:dyDescent="0.25">
      <c r="A1307" s="12" t="s">
        <v>569</v>
      </c>
      <c r="B1307" s="12" t="s">
        <v>570</v>
      </c>
      <c r="C1307" s="12" t="s">
        <v>404</v>
      </c>
      <c r="D1307" t="s">
        <v>5314</v>
      </c>
      <c r="E1307" s="12" t="s">
        <v>3176</v>
      </c>
      <c r="F1307" s="12" t="s">
        <v>79</v>
      </c>
      <c r="G1307" s="12" t="s">
        <v>5419</v>
      </c>
      <c r="H1307" s="12" t="s">
        <v>570</v>
      </c>
      <c r="I1307" s="84">
        <v>27002101</v>
      </c>
      <c r="J1307" s="12" t="s">
        <v>5102</v>
      </c>
      <c r="L1307" s="12" t="str">
        <f>IF(OR(ISBLANK(tblSites[[#This Row],[Implementing Partner]]), tblSites[[#This Row],[Implementing Partner]]="-"), tblSites[[#This Row],[Site Agency]], tblSites[[#This Row],[Implementing Partner]])</f>
        <v>No SMA</v>
      </c>
      <c r="M1307" s="12" t="s">
        <v>55</v>
      </c>
      <c r="N1307" s="12" t="str">
        <f>tblSites[[#This Row],[FinalImplementingPartner]]</f>
        <v>No SMA</v>
      </c>
    </row>
    <row r="1308" spans="1:14" x14ac:dyDescent="0.25">
      <c r="A1308" s="12" t="s">
        <v>381</v>
      </c>
      <c r="B1308" s="12" t="s">
        <v>382</v>
      </c>
      <c r="C1308" s="12" t="s">
        <v>383</v>
      </c>
      <c r="D1308" t="s">
        <v>5314</v>
      </c>
      <c r="E1308" s="12" t="s">
        <v>3176</v>
      </c>
      <c r="F1308" s="12" t="s">
        <v>173</v>
      </c>
      <c r="G1308" s="12" t="s">
        <v>5404</v>
      </c>
      <c r="H1308" s="12" t="s">
        <v>382</v>
      </c>
      <c r="I1308" s="84">
        <v>27002105</v>
      </c>
      <c r="J1308" s="12" t="s">
        <v>5102</v>
      </c>
      <c r="L1308" s="12" t="str">
        <f>IF(OR(ISBLANK(tblSites[[#This Row],[Implementing Partner]]), tblSites[[#This Row],[Implementing Partner]]="-"), tblSites[[#This Row],[Site Agency]], tblSites[[#This Row],[Implementing Partner]])</f>
        <v>No SMA</v>
      </c>
      <c r="M1308" s="12" t="s">
        <v>55</v>
      </c>
      <c r="N1308" s="12" t="str">
        <f>tblSites[[#This Row],[FinalImplementingPartner]]</f>
        <v>No SMA</v>
      </c>
    </row>
    <row r="1309" spans="1:14" x14ac:dyDescent="0.25">
      <c r="A1309" s="12" t="s">
        <v>2984</v>
      </c>
      <c r="B1309" s="12" t="s">
        <v>2985</v>
      </c>
      <c r="C1309" s="12" t="s">
        <v>1254</v>
      </c>
      <c r="D1309" t="s">
        <v>5314</v>
      </c>
      <c r="E1309" s="12" t="s">
        <v>3176</v>
      </c>
      <c r="F1309" s="12" t="s">
        <v>173</v>
      </c>
      <c r="G1309" s="12" t="s">
        <v>5404</v>
      </c>
      <c r="H1309" s="12" t="s">
        <v>2985</v>
      </c>
      <c r="I1309" s="84">
        <v>27002105</v>
      </c>
      <c r="J1309" s="12" t="s">
        <v>5102</v>
      </c>
      <c r="L1309" s="12" t="str">
        <f>IF(OR(ISBLANK(tblSites[[#This Row],[Implementing Partner]]), tblSites[[#This Row],[Implementing Partner]]="-"), tblSites[[#This Row],[Site Agency]], tblSites[[#This Row],[Implementing Partner]])</f>
        <v>No SMA</v>
      </c>
      <c r="M1309" s="12" t="s">
        <v>55</v>
      </c>
      <c r="N1309" s="12" t="str">
        <f>tblSites[[#This Row],[FinalImplementingPartner]]</f>
        <v>No SMA</v>
      </c>
    </row>
    <row r="1310" spans="1:14" x14ac:dyDescent="0.25">
      <c r="A1310" s="12" t="s">
        <v>1252</v>
      </c>
      <c r="B1310" s="12" t="s">
        <v>1253</v>
      </c>
      <c r="C1310" s="12" t="s">
        <v>1254</v>
      </c>
      <c r="D1310" t="s">
        <v>5314</v>
      </c>
      <c r="E1310" s="12" t="s">
        <v>3176</v>
      </c>
      <c r="F1310" s="12" t="s">
        <v>53</v>
      </c>
      <c r="G1310" s="12" t="s">
        <v>5412</v>
      </c>
      <c r="H1310" s="12" t="s">
        <v>1253</v>
      </c>
      <c r="I1310" s="84">
        <v>27002154</v>
      </c>
      <c r="J1310" s="12" t="s">
        <v>35</v>
      </c>
      <c r="L1310" s="12" t="str">
        <f>IF(OR(ISBLANK(tblSites[[#This Row],[Implementing Partner]]), tblSites[[#This Row],[Implementing Partner]]="-"), tblSites[[#This Row],[Site Agency]], tblSites[[#This Row],[Implementing Partner]])</f>
        <v>NRC</v>
      </c>
      <c r="M1310" s="12" t="s">
        <v>55</v>
      </c>
      <c r="N1310" s="12" t="str">
        <f>tblSites[[#This Row],[FinalImplementingPartner]]</f>
        <v>NRC</v>
      </c>
    </row>
    <row r="1311" spans="1:14" x14ac:dyDescent="0.25">
      <c r="A1311" s="12" t="s">
        <v>296</v>
      </c>
      <c r="B1311" s="12" t="s">
        <v>297</v>
      </c>
      <c r="C1311" s="12" t="s">
        <v>298</v>
      </c>
      <c r="D1311" t="s">
        <v>5314</v>
      </c>
      <c r="E1311" s="12" t="s">
        <v>3176</v>
      </c>
      <c r="F1311" s="12" t="s">
        <v>53</v>
      </c>
      <c r="G1311" s="12" t="s">
        <v>5406</v>
      </c>
      <c r="H1311" s="12" t="s">
        <v>297</v>
      </c>
      <c r="I1311" s="84">
        <v>27002154</v>
      </c>
      <c r="J1311" s="12" t="s">
        <v>5102</v>
      </c>
      <c r="L1311" s="12" t="str">
        <f>IF(OR(ISBLANK(tblSites[[#This Row],[Implementing Partner]]), tblSites[[#This Row],[Implementing Partner]]="-"), tblSites[[#This Row],[Site Agency]], tblSites[[#This Row],[Implementing Partner]])</f>
        <v>No SMA</v>
      </c>
      <c r="M1311" s="12" t="s">
        <v>55</v>
      </c>
      <c r="N1311" s="12" t="str">
        <f>tblSites[[#This Row],[FinalImplementingPartner]]</f>
        <v>No SMA</v>
      </c>
    </row>
    <row r="1312" spans="1:14" x14ac:dyDescent="0.25">
      <c r="A1312" s="12" t="s">
        <v>476</v>
      </c>
      <c r="B1312" s="12" t="s">
        <v>477</v>
      </c>
      <c r="C1312" s="12" t="s">
        <v>478</v>
      </c>
      <c r="D1312" t="s">
        <v>5314</v>
      </c>
      <c r="E1312" s="12" t="s">
        <v>3176</v>
      </c>
      <c r="F1312" s="12" t="s">
        <v>173</v>
      </c>
      <c r="G1312" s="12" t="s">
        <v>5404</v>
      </c>
      <c r="H1312" s="12" t="s">
        <v>477</v>
      </c>
      <c r="I1312" s="84">
        <v>27002105</v>
      </c>
      <c r="J1312" s="12" t="s">
        <v>5102</v>
      </c>
      <c r="L1312" s="12" t="str">
        <f>IF(OR(ISBLANK(tblSites[[#This Row],[Implementing Partner]]), tblSites[[#This Row],[Implementing Partner]]="-"), tblSites[[#This Row],[Site Agency]], tblSites[[#This Row],[Implementing Partner]])</f>
        <v>No SMA</v>
      </c>
      <c r="M1312" s="12" t="s">
        <v>55</v>
      </c>
      <c r="N1312" s="12" t="str">
        <f>tblSites[[#This Row],[FinalImplementingPartner]]</f>
        <v>No SMA</v>
      </c>
    </row>
    <row r="1313" spans="1:14" x14ac:dyDescent="0.25">
      <c r="A1313" s="12" t="s">
        <v>2072</v>
      </c>
      <c r="B1313" s="12" t="s">
        <v>2073</v>
      </c>
      <c r="C1313" s="12" t="s">
        <v>2074</v>
      </c>
      <c r="D1313" t="s">
        <v>5314</v>
      </c>
      <c r="E1313" s="12" t="s">
        <v>3176</v>
      </c>
      <c r="F1313" s="12" t="s">
        <v>135</v>
      </c>
      <c r="G1313" s="12" t="s">
        <v>5408</v>
      </c>
      <c r="H1313" s="12" t="s">
        <v>2073</v>
      </c>
      <c r="I1313" s="84">
        <v>27002100</v>
      </c>
      <c r="J1313" s="12" t="s">
        <v>5102</v>
      </c>
      <c r="L1313" s="12" t="str">
        <f>IF(OR(ISBLANK(tblSites[[#This Row],[Implementing Partner]]), tblSites[[#This Row],[Implementing Partner]]="-"), tblSites[[#This Row],[Site Agency]], tblSites[[#This Row],[Implementing Partner]])</f>
        <v>No SMA</v>
      </c>
      <c r="M1313" s="12" t="s">
        <v>55</v>
      </c>
      <c r="N1313" s="12" t="str">
        <f>tblSites[[#This Row],[FinalImplementingPartner]]</f>
        <v>No SMA</v>
      </c>
    </row>
    <row r="1314" spans="1:14" x14ac:dyDescent="0.25">
      <c r="A1314" s="12" t="s">
        <v>2224</v>
      </c>
      <c r="B1314" s="12" t="s">
        <v>2225</v>
      </c>
      <c r="C1314" s="12" t="s">
        <v>2226</v>
      </c>
      <c r="D1314" t="s">
        <v>5314</v>
      </c>
      <c r="E1314" s="12" t="s">
        <v>3176</v>
      </c>
      <c r="F1314" s="12" t="s">
        <v>53</v>
      </c>
      <c r="G1314" s="12" t="s">
        <v>5412</v>
      </c>
      <c r="H1314" s="12" t="s">
        <v>2225</v>
      </c>
      <c r="I1314" s="84">
        <v>27002154</v>
      </c>
      <c r="J1314" s="12" t="s">
        <v>35</v>
      </c>
      <c r="L1314" s="12" t="str">
        <f>IF(OR(ISBLANK(tblSites[[#This Row],[Implementing Partner]]), tblSites[[#This Row],[Implementing Partner]]="-"), tblSites[[#This Row],[Site Agency]], tblSites[[#This Row],[Implementing Partner]])</f>
        <v>NRC</v>
      </c>
      <c r="M1314" s="12" t="s">
        <v>55</v>
      </c>
      <c r="N1314" s="12" t="str">
        <f>tblSites[[#This Row],[FinalImplementingPartner]]</f>
        <v>NRC</v>
      </c>
    </row>
    <row r="1315" spans="1:14" x14ac:dyDescent="0.25">
      <c r="A1315" s="12" t="s">
        <v>456</v>
      </c>
      <c r="B1315" s="12" t="s">
        <v>457</v>
      </c>
      <c r="C1315" s="12" t="s">
        <v>458</v>
      </c>
      <c r="D1315" t="s">
        <v>5314</v>
      </c>
      <c r="E1315" s="12" t="s">
        <v>3176</v>
      </c>
      <c r="F1315" s="12" t="s">
        <v>135</v>
      </c>
      <c r="G1315" s="12" t="s">
        <v>5408</v>
      </c>
      <c r="H1315" s="12" t="s">
        <v>457</v>
      </c>
      <c r="I1315" s="84">
        <v>27002100</v>
      </c>
      <c r="J1315" s="12" t="s">
        <v>5102</v>
      </c>
      <c r="L1315" s="12" t="str">
        <f>IF(OR(ISBLANK(tblSites[[#This Row],[Implementing Partner]]), tblSites[[#This Row],[Implementing Partner]]="-"), tblSites[[#This Row],[Site Agency]], tblSites[[#This Row],[Implementing Partner]])</f>
        <v>No SMA</v>
      </c>
      <c r="M1315" s="12" t="s">
        <v>55</v>
      </c>
      <c r="N1315" s="12" t="str">
        <f>tblSites[[#This Row],[FinalImplementingPartner]]</f>
        <v>No SMA</v>
      </c>
    </row>
    <row r="1316" spans="1:14" x14ac:dyDescent="0.25">
      <c r="A1316" s="12" t="s">
        <v>437</v>
      </c>
      <c r="B1316" s="12" t="s">
        <v>438</v>
      </c>
      <c r="C1316" s="12" t="s">
        <v>439</v>
      </c>
      <c r="D1316" t="s">
        <v>5314</v>
      </c>
      <c r="E1316" s="12" t="s">
        <v>3176</v>
      </c>
      <c r="F1316" s="12" t="s">
        <v>440</v>
      </c>
      <c r="G1316" s="12" t="s">
        <v>5431</v>
      </c>
      <c r="H1316" s="12" t="s">
        <v>438</v>
      </c>
      <c r="I1316" s="84">
        <v>27003176</v>
      </c>
      <c r="J1316" s="12" t="s">
        <v>35</v>
      </c>
      <c r="L1316" s="12" t="str">
        <f>IF(OR(ISBLANK(tblSites[[#This Row],[Implementing Partner]]), tblSites[[#This Row],[Implementing Partner]]="-"), tblSites[[#This Row],[Site Agency]], tblSites[[#This Row],[Implementing Partner]])</f>
        <v>NRC</v>
      </c>
      <c r="M1316" s="12" t="s">
        <v>55</v>
      </c>
      <c r="N1316" s="12" t="str">
        <f>tblSites[[#This Row],[FinalImplementingPartner]]</f>
        <v>NRC</v>
      </c>
    </row>
    <row r="1317" spans="1:14" x14ac:dyDescent="0.25">
      <c r="A1317" s="12" t="s">
        <v>2250</v>
      </c>
      <c r="B1317" s="12" t="s">
        <v>2251</v>
      </c>
      <c r="C1317" s="12" t="s">
        <v>2252</v>
      </c>
      <c r="D1317" t="s">
        <v>5314</v>
      </c>
      <c r="E1317" s="12" t="s">
        <v>3176</v>
      </c>
      <c r="F1317" s="12" t="s">
        <v>325</v>
      </c>
      <c r="G1317" s="12" t="s">
        <v>5411</v>
      </c>
      <c r="H1317" s="12" t="s">
        <v>2251</v>
      </c>
      <c r="I1317" s="84">
        <v>27002104</v>
      </c>
      <c r="J1317" s="12" t="s">
        <v>5102</v>
      </c>
      <c r="L1317" s="12" t="str">
        <f>IF(OR(ISBLANK(tblSites[[#This Row],[Implementing Partner]]), tblSites[[#This Row],[Implementing Partner]]="-"), tblSites[[#This Row],[Site Agency]], tblSites[[#This Row],[Implementing Partner]])</f>
        <v>No SMA</v>
      </c>
      <c r="M1317" s="12" t="s">
        <v>55</v>
      </c>
      <c r="N1317" s="12" t="str">
        <f>tblSites[[#This Row],[FinalImplementingPartner]]</f>
        <v>No SMA</v>
      </c>
    </row>
    <row r="1318" spans="1:14" x14ac:dyDescent="0.25">
      <c r="A1318" s="12" t="s">
        <v>2201</v>
      </c>
      <c r="B1318" s="12" t="s">
        <v>2202</v>
      </c>
      <c r="C1318" s="12" t="s">
        <v>2203</v>
      </c>
      <c r="D1318" t="s">
        <v>5314</v>
      </c>
      <c r="E1318" s="12" t="s">
        <v>3176</v>
      </c>
      <c r="F1318" s="12" t="s">
        <v>53</v>
      </c>
      <c r="G1318" s="12" t="s">
        <v>5406</v>
      </c>
      <c r="H1318" s="12" t="s">
        <v>2202</v>
      </c>
      <c r="I1318" s="84">
        <v>27002154</v>
      </c>
      <c r="J1318" s="12" t="s">
        <v>5102</v>
      </c>
      <c r="L1318" s="12" t="str">
        <f>IF(OR(ISBLANK(tblSites[[#This Row],[Implementing Partner]]), tblSites[[#This Row],[Implementing Partner]]="-"), tblSites[[#This Row],[Site Agency]], tblSites[[#This Row],[Implementing Partner]])</f>
        <v>No SMA</v>
      </c>
      <c r="M1318" s="12" t="s">
        <v>55</v>
      </c>
      <c r="N1318" s="12" t="str">
        <f>tblSites[[#This Row],[FinalImplementingPartner]]</f>
        <v>No SMA</v>
      </c>
    </row>
    <row r="1319" spans="1:14" x14ac:dyDescent="0.25">
      <c r="A1319" s="12" t="s">
        <v>1430</v>
      </c>
      <c r="B1319" s="12" t="s">
        <v>1431</v>
      </c>
      <c r="C1319" s="12" t="s">
        <v>1432</v>
      </c>
      <c r="D1319" t="s">
        <v>5314</v>
      </c>
      <c r="E1319" s="12" t="s">
        <v>3176</v>
      </c>
      <c r="F1319" s="12" t="s">
        <v>431</v>
      </c>
      <c r="G1319" s="12" t="s">
        <v>5421</v>
      </c>
      <c r="H1319" s="12" t="s">
        <v>1431</v>
      </c>
      <c r="I1319" s="84">
        <v>27004175</v>
      </c>
      <c r="J1319" s="12" t="s">
        <v>5102</v>
      </c>
      <c r="L1319" s="12" t="str">
        <f>IF(OR(ISBLANK(tblSites[[#This Row],[Implementing Partner]]), tblSites[[#This Row],[Implementing Partner]]="-"), tblSites[[#This Row],[Site Agency]], tblSites[[#This Row],[Implementing Partner]])</f>
        <v>No SMA</v>
      </c>
      <c r="M1319" s="12" t="s">
        <v>55</v>
      </c>
      <c r="N1319" s="12" t="str">
        <f>tblSites[[#This Row],[FinalImplementingPartner]]</f>
        <v>No SMA</v>
      </c>
    </row>
    <row r="1320" spans="1:14" x14ac:dyDescent="0.25">
      <c r="A1320" s="12" t="s">
        <v>1941</v>
      </c>
      <c r="B1320" s="12" t="s">
        <v>1942</v>
      </c>
      <c r="C1320" s="12" t="s">
        <v>1943</v>
      </c>
      <c r="D1320" t="s">
        <v>5314</v>
      </c>
      <c r="E1320" s="12" t="s">
        <v>3176</v>
      </c>
      <c r="F1320" s="12" t="s">
        <v>440</v>
      </c>
      <c r="G1320" s="12" t="s">
        <v>5410</v>
      </c>
      <c r="H1320" s="12" t="s">
        <v>1942</v>
      </c>
      <c r="I1320" s="84">
        <v>27003176</v>
      </c>
      <c r="J1320" s="12" t="s">
        <v>5102</v>
      </c>
      <c r="L1320" s="12" t="str">
        <f>IF(OR(ISBLANK(tblSites[[#This Row],[Implementing Partner]]), tblSites[[#This Row],[Implementing Partner]]="-"), tblSites[[#This Row],[Site Agency]], tblSites[[#This Row],[Implementing Partner]])</f>
        <v>No SMA</v>
      </c>
      <c r="M1320" s="12" t="s">
        <v>55</v>
      </c>
      <c r="N1320" s="12" t="str">
        <f>tblSites[[#This Row],[FinalImplementingPartner]]</f>
        <v>No SMA</v>
      </c>
    </row>
    <row r="1321" spans="1:14" x14ac:dyDescent="0.25">
      <c r="A1321" s="12" t="s">
        <v>594</v>
      </c>
      <c r="B1321" s="12" t="s">
        <v>595</v>
      </c>
      <c r="C1321" s="12" t="s">
        <v>596</v>
      </c>
      <c r="D1321" t="s">
        <v>5314</v>
      </c>
      <c r="E1321" s="12" t="s">
        <v>3176</v>
      </c>
      <c r="F1321" s="12" t="s">
        <v>53</v>
      </c>
      <c r="G1321" s="12" t="s">
        <v>5413</v>
      </c>
      <c r="H1321" s="12" t="s">
        <v>595</v>
      </c>
      <c r="I1321" s="84">
        <v>27002154</v>
      </c>
      <c r="J1321" s="12" t="s">
        <v>54</v>
      </c>
      <c r="L1321" s="12" t="str">
        <f>IF(OR(ISBLANK(tblSites[[#This Row],[Implementing Partner]]), tblSites[[#This Row],[Implementing Partner]]="-"), tblSites[[#This Row],[Site Agency]], tblSites[[#This Row],[Implementing Partner]])</f>
        <v>PHC</v>
      </c>
      <c r="M1321" s="12" t="s">
        <v>55</v>
      </c>
      <c r="N1321" s="12" t="str">
        <f>tblSites[[#This Row],[FinalImplementingPartner]]</f>
        <v>PHC</v>
      </c>
    </row>
    <row r="1322" spans="1:14" x14ac:dyDescent="0.25">
      <c r="A1322" s="12" t="s">
        <v>606</v>
      </c>
      <c r="B1322" s="12" t="s">
        <v>607</v>
      </c>
      <c r="C1322" s="12" t="s">
        <v>608</v>
      </c>
      <c r="D1322" t="s">
        <v>5314</v>
      </c>
      <c r="E1322" s="12" t="s">
        <v>3176</v>
      </c>
      <c r="F1322" s="12" t="s">
        <v>53</v>
      </c>
      <c r="G1322" s="12" t="s">
        <v>5406</v>
      </c>
      <c r="H1322" s="12" t="s">
        <v>607</v>
      </c>
      <c r="I1322" s="84">
        <v>27002154</v>
      </c>
      <c r="J1322" s="12" t="s">
        <v>5102</v>
      </c>
      <c r="L1322" s="12" t="str">
        <f>IF(OR(ISBLANK(tblSites[[#This Row],[Implementing Partner]]), tblSites[[#This Row],[Implementing Partner]]="-"), tblSites[[#This Row],[Site Agency]], tblSites[[#This Row],[Implementing Partner]])</f>
        <v>No SMA</v>
      </c>
      <c r="M1322" s="12" t="s">
        <v>55</v>
      </c>
      <c r="N1322" s="12" t="str">
        <f>tblSites[[#This Row],[FinalImplementingPartner]]</f>
        <v>No SMA</v>
      </c>
    </row>
    <row r="1323" spans="1:14" x14ac:dyDescent="0.25">
      <c r="A1323" s="12" t="s">
        <v>441</v>
      </c>
      <c r="B1323" s="12" t="s">
        <v>442</v>
      </c>
      <c r="C1323" s="12" t="s">
        <v>443</v>
      </c>
      <c r="D1323" t="s">
        <v>5314</v>
      </c>
      <c r="E1323" s="12" t="s">
        <v>3176</v>
      </c>
      <c r="F1323" s="12" t="s">
        <v>53</v>
      </c>
      <c r="G1323" s="12" t="s">
        <v>5406</v>
      </c>
      <c r="H1323" s="12" t="s">
        <v>442</v>
      </c>
      <c r="I1323" s="84">
        <v>27002154</v>
      </c>
      <c r="J1323" s="12" t="s">
        <v>5102</v>
      </c>
      <c r="L1323" s="12" t="str">
        <f>IF(OR(ISBLANK(tblSites[[#This Row],[Implementing Partner]]), tblSites[[#This Row],[Implementing Partner]]="-"), tblSites[[#This Row],[Site Agency]], tblSites[[#This Row],[Implementing Partner]])</f>
        <v>No SMA</v>
      </c>
      <c r="M1323" s="12" t="s">
        <v>55</v>
      </c>
      <c r="N1323" s="12" t="str">
        <f>tblSites[[#This Row],[FinalImplementingPartner]]</f>
        <v>No SMA</v>
      </c>
    </row>
    <row r="1324" spans="1:14" x14ac:dyDescent="0.25">
      <c r="A1324" s="12" t="s">
        <v>575</v>
      </c>
      <c r="B1324" s="12" t="s">
        <v>576</v>
      </c>
      <c r="C1324" s="12" t="s">
        <v>577</v>
      </c>
      <c r="D1324" t="s">
        <v>5314</v>
      </c>
      <c r="E1324" s="12" t="s">
        <v>3176</v>
      </c>
      <c r="F1324" s="12" t="s">
        <v>53</v>
      </c>
      <c r="G1324" s="12" t="s">
        <v>5406</v>
      </c>
      <c r="H1324" s="12" t="s">
        <v>576</v>
      </c>
      <c r="I1324" s="84">
        <v>27002154</v>
      </c>
      <c r="J1324" s="12" t="s">
        <v>5102</v>
      </c>
      <c r="L1324" s="12" t="str">
        <f>IF(OR(ISBLANK(tblSites[[#This Row],[Implementing Partner]]), tblSites[[#This Row],[Implementing Partner]]="-"), tblSites[[#This Row],[Site Agency]], tblSites[[#This Row],[Implementing Partner]])</f>
        <v>No SMA</v>
      </c>
      <c r="M1324" s="12" t="s">
        <v>55</v>
      </c>
      <c r="N1324" s="12" t="str">
        <f>tblSites[[#This Row],[FinalImplementingPartner]]</f>
        <v>No SMA</v>
      </c>
    </row>
    <row r="1325" spans="1:14" x14ac:dyDescent="0.25">
      <c r="A1325" s="12" t="s">
        <v>329</v>
      </c>
      <c r="B1325" s="12" t="s">
        <v>330</v>
      </c>
      <c r="C1325" s="12" t="s">
        <v>331</v>
      </c>
      <c r="D1325" t="s">
        <v>5314</v>
      </c>
      <c r="E1325" s="12" t="s">
        <v>3176</v>
      </c>
      <c r="F1325" s="12" t="s">
        <v>173</v>
      </c>
      <c r="G1325" s="12" t="s">
        <v>5404</v>
      </c>
      <c r="H1325" s="12" t="s">
        <v>330</v>
      </c>
      <c r="I1325" s="84">
        <v>27002105</v>
      </c>
      <c r="J1325" s="12" t="s">
        <v>5102</v>
      </c>
      <c r="L1325" s="12" t="str">
        <f>IF(OR(ISBLANK(tblSites[[#This Row],[Implementing Partner]]), tblSites[[#This Row],[Implementing Partner]]="-"), tblSites[[#This Row],[Site Agency]], tblSites[[#This Row],[Implementing Partner]])</f>
        <v>No SMA</v>
      </c>
      <c r="M1325" s="12" t="s">
        <v>55</v>
      </c>
      <c r="N1325" s="12" t="str">
        <f>tblSites[[#This Row],[FinalImplementingPartner]]</f>
        <v>No SMA</v>
      </c>
    </row>
    <row r="1326" spans="1:14" x14ac:dyDescent="0.25">
      <c r="A1326" s="12" t="s">
        <v>1237</v>
      </c>
      <c r="B1326" s="12" t="s">
        <v>1238</v>
      </c>
      <c r="C1326" s="12" t="s">
        <v>1239</v>
      </c>
      <c r="D1326" t="s">
        <v>5314</v>
      </c>
      <c r="E1326" s="12" t="s">
        <v>3176</v>
      </c>
      <c r="F1326" s="12" t="s">
        <v>173</v>
      </c>
      <c r="G1326" s="12" t="s">
        <v>5414</v>
      </c>
      <c r="H1326" s="12" t="s">
        <v>1238</v>
      </c>
      <c r="I1326" s="84">
        <v>27002105</v>
      </c>
      <c r="J1326" s="12" t="s">
        <v>35</v>
      </c>
      <c r="L1326" s="12" t="str">
        <f>IF(OR(ISBLANK(tblSites[[#This Row],[Implementing Partner]]), tblSites[[#This Row],[Implementing Partner]]="-"), tblSites[[#This Row],[Site Agency]], tblSites[[#This Row],[Implementing Partner]])</f>
        <v>NRC</v>
      </c>
      <c r="M1326" s="12" t="s">
        <v>55</v>
      </c>
      <c r="N1326" s="12" t="str">
        <f>tblSites[[#This Row],[FinalImplementingPartner]]</f>
        <v>NRC</v>
      </c>
    </row>
    <row r="1327" spans="1:14" x14ac:dyDescent="0.25">
      <c r="A1327" s="12" t="s">
        <v>2986</v>
      </c>
      <c r="B1327" s="12" t="s">
        <v>2987</v>
      </c>
      <c r="C1327" s="12" t="s">
        <v>1239</v>
      </c>
      <c r="D1327" t="s">
        <v>5314</v>
      </c>
      <c r="E1327" s="12" t="s">
        <v>3176</v>
      </c>
      <c r="F1327" s="12" t="s">
        <v>173</v>
      </c>
      <c r="G1327" s="12" t="s">
        <v>5404</v>
      </c>
      <c r="H1327" s="12" t="s">
        <v>2987</v>
      </c>
      <c r="I1327" s="84">
        <v>27002105</v>
      </c>
      <c r="J1327" s="12" t="s">
        <v>5102</v>
      </c>
      <c r="L1327" s="12" t="str">
        <f>IF(OR(ISBLANK(tblSites[[#This Row],[Implementing Partner]]), tblSites[[#This Row],[Implementing Partner]]="-"), tblSites[[#This Row],[Site Agency]], tblSites[[#This Row],[Implementing Partner]])</f>
        <v>No SMA</v>
      </c>
      <c r="M1327" s="12" t="s">
        <v>55</v>
      </c>
      <c r="N1327" s="12" t="str">
        <f>tblSites[[#This Row],[FinalImplementingPartner]]</f>
        <v>No SMA</v>
      </c>
    </row>
    <row r="1328" spans="1:14" x14ac:dyDescent="0.25">
      <c r="A1328" s="12" t="s">
        <v>527</v>
      </c>
      <c r="B1328" s="12" t="s">
        <v>528</v>
      </c>
      <c r="C1328" s="12" t="s">
        <v>529</v>
      </c>
      <c r="D1328" t="s">
        <v>5314</v>
      </c>
      <c r="E1328" s="12" t="s">
        <v>3176</v>
      </c>
      <c r="F1328" s="12" t="s">
        <v>79</v>
      </c>
      <c r="G1328" s="12" t="s">
        <v>5419</v>
      </c>
      <c r="H1328" s="12" t="s">
        <v>528</v>
      </c>
      <c r="I1328" s="84">
        <v>27002101</v>
      </c>
      <c r="J1328" s="12" t="s">
        <v>5102</v>
      </c>
      <c r="L1328" s="12" t="str">
        <f>IF(OR(ISBLANK(tblSites[[#This Row],[Implementing Partner]]), tblSites[[#This Row],[Implementing Partner]]="-"), tblSites[[#This Row],[Site Agency]], tblSites[[#This Row],[Implementing Partner]])</f>
        <v>No SMA</v>
      </c>
      <c r="M1328" s="12" t="s">
        <v>55</v>
      </c>
      <c r="N1328" s="12" t="str">
        <f>tblSites[[#This Row],[FinalImplementingPartner]]</f>
        <v>No SMA</v>
      </c>
    </row>
    <row r="1329" spans="1:14" x14ac:dyDescent="0.25">
      <c r="A1329" s="12" t="s">
        <v>530</v>
      </c>
      <c r="B1329" s="12" t="s">
        <v>531</v>
      </c>
      <c r="C1329" s="12" t="s">
        <v>532</v>
      </c>
      <c r="D1329" t="s">
        <v>5314</v>
      </c>
      <c r="E1329" s="12" t="s">
        <v>3176</v>
      </c>
      <c r="F1329" s="12" t="s">
        <v>79</v>
      </c>
      <c r="G1329" s="12" t="s">
        <v>5419</v>
      </c>
      <c r="H1329" s="12" t="s">
        <v>531</v>
      </c>
      <c r="I1329" s="84">
        <v>27002101</v>
      </c>
      <c r="J1329" s="12" t="s">
        <v>5102</v>
      </c>
      <c r="L1329" s="12" t="str">
        <f>IF(OR(ISBLANK(tblSites[[#This Row],[Implementing Partner]]), tblSites[[#This Row],[Implementing Partner]]="-"), tblSites[[#This Row],[Site Agency]], tblSites[[#This Row],[Implementing Partner]])</f>
        <v>No SMA</v>
      </c>
      <c r="M1329" s="12" t="s">
        <v>55</v>
      </c>
      <c r="N1329" s="12" t="str">
        <f>tblSites[[#This Row],[FinalImplementingPartner]]</f>
        <v>No SMA</v>
      </c>
    </row>
    <row r="1330" spans="1:14" x14ac:dyDescent="0.25">
      <c r="A1330" s="12" t="s">
        <v>554</v>
      </c>
      <c r="B1330" s="12" t="s">
        <v>555</v>
      </c>
      <c r="C1330" s="12" t="s">
        <v>556</v>
      </c>
      <c r="D1330" t="s">
        <v>5314</v>
      </c>
      <c r="E1330" s="12" t="s">
        <v>3176</v>
      </c>
      <c r="F1330" s="12" t="s">
        <v>53</v>
      </c>
      <c r="G1330" s="12" t="s">
        <v>5412</v>
      </c>
      <c r="H1330" s="12" t="s">
        <v>555</v>
      </c>
      <c r="I1330" s="84">
        <v>27002154</v>
      </c>
      <c r="J1330" s="12" t="s">
        <v>35</v>
      </c>
      <c r="L1330" s="12" t="str">
        <f>IF(OR(ISBLANK(tblSites[[#This Row],[Implementing Partner]]), tblSites[[#This Row],[Implementing Partner]]="-"), tblSites[[#This Row],[Site Agency]], tblSites[[#This Row],[Implementing Partner]])</f>
        <v>NRC</v>
      </c>
      <c r="M1330" s="12" t="s">
        <v>55</v>
      </c>
      <c r="N1330" s="12" t="str">
        <f>tblSites[[#This Row],[FinalImplementingPartner]]</f>
        <v>NRC</v>
      </c>
    </row>
    <row r="1331" spans="1:14" x14ac:dyDescent="0.25">
      <c r="A1331" s="12" t="s">
        <v>498</v>
      </c>
      <c r="B1331" s="12" t="s">
        <v>499</v>
      </c>
      <c r="C1331" s="12" t="s">
        <v>500</v>
      </c>
      <c r="D1331" t="s">
        <v>5314</v>
      </c>
      <c r="E1331" s="12" t="s">
        <v>3176</v>
      </c>
      <c r="F1331" s="12" t="s">
        <v>79</v>
      </c>
      <c r="G1331" s="12" t="s">
        <v>5419</v>
      </c>
      <c r="H1331" s="12" t="s">
        <v>499</v>
      </c>
      <c r="I1331" s="84">
        <v>27002101</v>
      </c>
      <c r="J1331" s="12" t="s">
        <v>5102</v>
      </c>
      <c r="L1331" s="12" t="str">
        <f>IF(OR(ISBLANK(tblSites[[#This Row],[Implementing Partner]]), tblSites[[#This Row],[Implementing Partner]]="-"), tblSites[[#This Row],[Site Agency]], tblSites[[#This Row],[Implementing Partner]])</f>
        <v>No SMA</v>
      </c>
      <c r="M1331" s="12" t="s">
        <v>55</v>
      </c>
      <c r="N1331" s="12" t="str">
        <f>tblSites[[#This Row],[FinalImplementingPartner]]</f>
        <v>No SMA</v>
      </c>
    </row>
    <row r="1332" spans="1:14" x14ac:dyDescent="0.25">
      <c r="A1332" s="12" t="s">
        <v>1240</v>
      </c>
      <c r="B1332" s="12" t="s">
        <v>1241</v>
      </c>
      <c r="C1332" s="12" t="s">
        <v>1242</v>
      </c>
      <c r="D1332" t="s">
        <v>5314</v>
      </c>
      <c r="E1332" s="12" t="s">
        <v>3176</v>
      </c>
      <c r="F1332" s="12" t="s">
        <v>173</v>
      </c>
      <c r="G1332" s="12" t="s">
        <v>5414</v>
      </c>
      <c r="H1332" s="12" t="s">
        <v>1241</v>
      </c>
      <c r="I1332" s="84">
        <v>27002105</v>
      </c>
      <c r="J1332" s="12" t="s">
        <v>35</v>
      </c>
      <c r="L1332" s="12" t="str">
        <f>IF(OR(ISBLANK(tblSites[[#This Row],[Implementing Partner]]), tblSites[[#This Row],[Implementing Partner]]="-"), tblSites[[#This Row],[Site Agency]], tblSites[[#This Row],[Implementing Partner]])</f>
        <v>NRC</v>
      </c>
      <c r="M1332" s="12" t="s">
        <v>55</v>
      </c>
      <c r="N1332" s="12" t="str">
        <f>tblSites[[#This Row],[FinalImplementingPartner]]</f>
        <v>NRC</v>
      </c>
    </row>
    <row r="1333" spans="1:14" x14ac:dyDescent="0.25">
      <c r="A1333" s="12" t="s">
        <v>398</v>
      </c>
      <c r="B1333" s="12" t="s">
        <v>399</v>
      </c>
      <c r="C1333" s="12" t="s">
        <v>400</v>
      </c>
      <c r="D1333" t="s">
        <v>5314</v>
      </c>
      <c r="E1333" s="12" t="s">
        <v>3176</v>
      </c>
      <c r="F1333" s="12" t="s">
        <v>79</v>
      </c>
      <c r="G1333" s="12" t="s">
        <v>5419</v>
      </c>
      <c r="H1333" s="12" t="s">
        <v>399</v>
      </c>
      <c r="I1333" s="84">
        <v>27002101</v>
      </c>
      <c r="J1333" s="12" t="s">
        <v>5102</v>
      </c>
      <c r="L1333" s="12" t="str">
        <f>IF(OR(ISBLANK(tblSites[[#This Row],[Implementing Partner]]), tblSites[[#This Row],[Implementing Partner]]="-"), tblSites[[#This Row],[Site Agency]], tblSites[[#This Row],[Implementing Partner]])</f>
        <v>No SMA</v>
      </c>
      <c r="M1333" s="12" t="s">
        <v>55</v>
      </c>
      <c r="N1333" s="12" t="str">
        <f>tblSites[[#This Row],[FinalImplementingPartner]]</f>
        <v>No SMA</v>
      </c>
    </row>
    <row r="1334" spans="1:14" x14ac:dyDescent="0.25">
      <c r="A1334" s="12" t="s">
        <v>591</v>
      </c>
      <c r="B1334" s="12" t="s">
        <v>592</v>
      </c>
      <c r="C1334" s="12" t="s">
        <v>593</v>
      </c>
      <c r="D1334" t="s">
        <v>5314</v>
      </c>
      <c r="E1334" s="12" t="s">
        <v>3176</v>
      </c>
      <c r="F1334" s="12" t="s">
        <v>79</v>
      </c>
      <c r="G1334" s="12" t="s">
        <v>5432</v>
      </c>
      <c r="H1334" s="12" t="s">
        <v>592</v>
      </c>
      <c r="I1334" s="84">
        <v>27002101</v>
      </c>
      <c r="J1334" s="12" t="s">
        <v>35</v>
      </c>
      <c r="L1334" s="12" t="str">
        <f>IF(OR(ISBLANK(tblSites[[#This Row],[Implementing Partner]]), tblSites[[#This Row],[Implementing Partner]]="-"), tblSites[[#This Row],[Site Agency]], tblSites[[#This Row],[Implementing Partner]])</f>
        <v>NRC</v>
      </c>
      <c r="M1334" s="12" t="s">
        <v>55</v>
      </c>
      <c r="N1334" s="12" t="str">
        <f>tblSites[[#This Row],[FinalImplementingPartner]]</f>
        <v>NRC</v>
      </c>
    </row>
    <row r="1335" spans="1:14" x14ac:dyDescent="0.25">
      <c r="A1335" s="12" t="s">
        <v>603</v>
      </c>
      <c r="B1335" s="12" t="s">
        <v>604</v>
      </c>
      <c r="C1335" s="12" t="s">
        <v>605</v>
      </c>
      <c r="D1335" t="s">
        <v>5314</v>
      </c>
      <c r="E1335" s="12" t="s">
        <v>3176</v>
      </c>
      <c r="F1335" s="12" t="s">
        <v>79</v>
      </c>
      <c r="G1335" s="12" t="s">
        <v>5419</v>
      </c>
      <c r="H1335" s="12" t="s">
        <v>604</v>
      </c>
      <c r="I1335" s="84">
        <v>27002101</v>
      </c>
      <c r="J1335" s="12" t="s">
        <v>5102</v>
      </c>
      <c r="L1335" s="12" t="str">
        <f>IF(OR(ISBLANK(tblSites[[#This Row],[Implementing Partner]]), tblSites[[#This Row],[Implementing Partner]]="-"), tblSites[[#This Row],[Site Agency]], tblSites[[#This Row],[Implementing Partner]])</f>
        <v>No SMA</v>
      </c>
      <c r="M1335" s="12" t="s">
        <v>55</v>
      </c>
      <c r="N1335" s="12" t="str">
        <f>tblSites[[#This Row],[FinalImplementingPartner]]</f>
        <v>No SMA</v>
      </c>
    </row>
    <row r="1336" spans="1:14" x14ac:dyDescent="0.25">
      <c r="A1336" s="12" t="s">
        <v>1048</v>
      </c>
      <c r="B1336" s="12" t="s">
        <v>1049</v>
      </c>
      <c r="C1336" s="12" t="s">
        <v>1050</v>
      </c>
      <c r="D1336" t="s">
        <v>5314</v>
      </c>
      <c r="E1336" s="12" t="s">
        <v>3176</v>
      </c>
      <c r="F1336" s="12" t="s">
        <v>53</v>
      </c>
      <c r="G1336" s="12" t="s">
        <v>5413</v>
      </c>
      <c r="H1336" s="12" t="s">
        <v>1049</v>
      </c>
      <c r="I1336" s="84">
        <v>27002154</v>
      </c>
      <c r="J1336" s="12" t="s">
        <v>54</v>
      </c>
      <c r="L1336" s="12" t="str">
        <f>IF(OR(ISBLANK(tblSites[[#This Row],[Implementing Partner]]), tblSites[[#This Row],[Implementing Partner]]="-"), tblSites[[#This Row],[Site Agency]], tblSites[[#This Row],[Implementing Partner]])</f>
        <v>PHC</v>
      </c>
      <c r="M1336" s="12" t="s">
        <v>55</v>
      </c>
      <c r="N1336" s="12" t="str">
        <f>tblSites[[#This Row],[FinalImplementingPartner]]</f>
        <v>PHC</v>
      </c>
    </row>
    <row r="1337" spans="1:14" x14ac:dyDescent="0.25">
      <c r="A1337" s="12" t="s">
        <v>741</v>
      </c>
      <c r="B1337" s="12" t="s">
        <v>742</v>
      </c>
      <c r="C1337" s="12" t="s">
        <v>743</v>
      </c>
      <c r="D1337" t="s">
        <v>5314</v>
      </c>
      <c r="E1337" s="12" t="s">
        <v>3176</v>
      </c>
      <c r="F1337" s="12" t="s">
        <v>53</v>
      </c>
      <c r="G1337" s="12" t="s">
        <v>5413</v>
      </c>
      <c r="H1337" s="12" t="s">
        <v>742</v>
      </c>
      <c r="I1337" s="84">
        <v>27002154</v>
      </c>
      <c r="J1337" s="12" t="s">
        <v>5</v>
      </c>
      <c r="K1337" s="12" t="s">
        <v>54</v>
      </c>
      <c r="L1337" s="12" t="str">
        <f>IF(OR(ISBLANK(tblSites[[#This Row],[Implementing Partner]]), tblSites[[#This Row],[Implementing Partner]]="-"), tblSites[[#This Row],[Site Agency]], tblSites[[#This Row],[Implementing Partner]])</f>
        <v>PHC</v>
      </c>
      <c r="M1337" s="12" t="s">
        <v>55</v>
      </c>
      <c r="N1337" s="12" t="str">
        <f>tblSites[[#This Row],[FinalImplementingPartner]]</f>
        <v>PHC</v>
      </c>
    </row>
    <row r="1338" spans="1:14" x14ac:dyDescent="0.25">
      <c r="A1338" s="12" t="s">
        <v>842</v>
      </c>
      <c r="B1338" s="12" t="s">
        <v>843</v>
      </c>
      <c r="C1338" s="12" t="s">
        <v>844</v>
      </c>
      <c r="D1338" t="s">
        <v>5314</v>
      </c>
      <c r="E1338" s="12" t="s">
        <v>3176</v>
      </c>
      <c r="F1338" s="12" t="s">
        <v>53</v>
      </c>
      <c r="G1338" s="12" t="s">
        <v>5413</v>
      </c>
      <c r="H1338" s="12" t="s">
        <v>843</v>
      </c>
      <c r="I1338" s="84">
        <v>27002154</v>
      </c>
      <c r="J1338" s="12" t="s">
        <v>54</v>
      </c>
      <c r="L1338" s="12" t="str">
        <f>IF(OR(ISBLANK(tblSites[[#This Row],[Implementing Partner]]), tblSites[[#This Row],[Implementing Partner]]="-"), tblSites[[#This Row],[Site Agency]], tblSites[[#This Row],[Implementing Partner]])</f>
        <v>PHC</v>
      </c>
      <c r="M1338" s="12" t="s">
        <v>55</v>
      </c>
      <c r="N1338" s="12" t="str">
        <f>tblSites[[#This Row],[FinalImplementingPartner]]</f>
        <v>PHC</v>
      </c>
    </row>
    <row r="1339" spans="1:14" x14ac:dyDescent="0.25">
      <c r="A1339" s="12" t="s">
        <v>816</v>
      </c>
      <c r="B1339" s="12" t="s">
        <v>817</v>
      </c>
      <c r="C1339" s="12" t="s">
        <v>818</v>
      </c>
      <c r="D1339" t="s">
        <v>5314</v>
      </c>
      <c r="E1339" s="12" t="s">
        <v>3176</v>
      </c>
      <c r="F1339" s="12" t="s">
        <v>53</v>
      </c>
      <c r="G1339" s="12" t="s">
        <v>5413</v>
      </c>
      <c r="H1339" s="12" t="s">
        <v>817</v>
      </c>
      <c r="I1339" s="84">
        <v>27002154</v>
      </c>
      <c r="J1339" s="12" t="s">
        <v>54</v>
      </c>
      <c r="L1339" s="12" t="str">
        <f>IF(OR(ISBLANK(tblSites[[#This Row],[Implementing Partner]]), tblSites[[#This Row],[Implementing Partner]]="-"), tblSites[[#This Row],[Site Agency]], tblSites[[#This Row],[Implementing Partner]])</f>
        <v>PHC</v>
      </c>
      <c r="M1339" s="12" t="s">
        <v>55</v>
      </c>
      <c r="N1339" s="12" t="str">
        <f>tblSites[[#This Row],[FinalImplementingPartner]]</f>
        <v>PHC</v>
      </c>
    </row>
    <row r="1340" spans="1:14" x14ac:dyDescent="0.25">
      <c r="A1340" s="12" t="s">
        <v>987</v>
      </c>
      <c r="B1340" s="12" t="s">
        <v>988</v>
      </c>
      <c r="C1340" s="12" t="s">
        <v>989</v>
      </c>
      <c r="D1340" t="s">
        <v>5314</v>
      </c>
      <c r="E1340" s="12" t="s">
        <v>3176</v>
      </c>
      <c r="F1340" s="12" t="s">
        <v>53</v>
      </c>
      <c r="G1340" s="12" t="s">
        <v>5413</v>
      </c>
      <c r="H1340" s="12" t="s">
        <v>988</v>
      </c>
      <c r="I1340" s="84">
        <v>27002154</v>
      </c>
      <c r="J1340" s="12" t="s">
        <v>5</v>
      </c>
      <c r="K1340" s="12" t="s">
        <v>54</v>
      </c>
      <c r="L1340" s="12" t="str">
        <f>IF(OR(ISBLANK(tblSites[[#This Row],[Implementing Partner]]), tblSites[[#This Row],[Implementing Partner]]="-"), tblSites[[#This Row],[Site Agency]], tblSites[[#This Row],[Implementing Partner]])</f>
        <v>PHC</v>
      </c>
      <c r="M1340" s="12" t="s">
        <v>55</v>
      </c>
      <c r="N1340" s="12" t="str">
        <f>tblSites[[#This Row],[FinalImplementingPartner]]</f>
        <v>PHC</v>
      </c>
    </row>
    <row r="1341" spans="1:14" x14ac:dyDescent="0.25">
      <c r="A1341" s="12" t="s">
        <v>874</v>
      </c>
      <c r="B1341" s="12" t="s">
        <v>875</v>
      </c>
      <c r="C1341" s="12" t="s">
        <v>876</v>
      </c>
      <c r="D1341" t="s">
        <v>5314</v>
      </c>
      <c r="E1341" s="12" t="s">
        <v>3176</v>
      </c>
      <c r="F1341" s="12" t="s">
        <v>53</v>
      </c>
      <c r="G1341" s="12" t="s">
        <v>5413</v>
      </c>
      <c r="H1341" s="12" t="s">
        <v>875</v>
      </c>
      <c r="I1341" s="84">
        <v>27002154</v>
      </c>
      <c r="J1341" s="12" t="s">
        <v>54</v>
      </c>
      <c r="L1341" s="12" t="str">
        <f>IF(OR(ISBLANK(tblSites[[#This Row],[Implementing Partner]]), tblSites[[#This Row],[Implementing Partner]]="-"), tblSites[[#This Row],[Site Agency]], tblSites[[#This Row],[Implementing Partner]])</f>
        <v>PHC</v>
      </c>
      <c r="M1341" s="12" t="s">
        <v>55</v>
      </c>
      <c r="N1341" s="12" t="str">
        <f>tblSites[[#This Row],[FinalImplementingPartner]]</f>
        <v>PHC</v>
      </c>
    </row>
    <row r="1342" spans="1:14" x14ac:dyDescent="0.25">
      <c r="A1342" s="12" t="s">
        <v>952</v>
      </c>
      <c r="B1342" s="12" t="s">
        <v>655</v>
      </c>
      <c r="C1342" s="12" t="s">
        <v>271</v>
      </c>
      <c r="D1342" t="s">
        <v>5314</v>
      </c>
      <c r="E1342" s="12" t="s">
        <v>3176</v>
      </c>
      <c r="F1342" s="12" t="s">
        <v>53</v>
      </c>
      <c r="G1342" s="12" t="s">
        <v>5413</v>
      </c>
      <c r="H1342" s="12" t="s">
        <v>655</v>
      </c>
      <c r="I1342" s="84">
        <v>27002154</v>
      </c>
      <c r="J1342" s="12" t="s">
        <v>54</v>
      </c>
      <c r="L1342" s="12" t="str">
        <f>IF(OR(ISBLANK(tblSites[[#This Row],[Implementing Partner]]), tblSites[[#This Row],[Implementing Partner]]="-"), tblSites[[#This Row],[Site Agency]], tblSites[[#This Row],[Implementing Partner]])</f>
        <v>PHC</v>
      </c>
      <c r="M1342" s="12" t="s">
        <v>55</v>
      </c>
      <c r="N1342" s="12" t="str">
        <f>tblSites[[#This Row],[FinalImplementingPartner]]</f>
        <v>PHC</v>
      </c>
    </row>
    <row r="1343" spans="1:14" x14ac:dyDescent="0.25">
      <c r="A1343" s="12" t="s">
        <v>768</v>
      </c>
      <c r="B1343" s="12" t="s">
        <v>769</v>
      </c>
      <c r="C1343" s="12" t="s">
        <v>770</v>
      </c>
      <c r="D1343" t="s">
        <v>5314</v>
      </c>
      <c r="E1343" s="12" t="s">
        <v>3176</v>
      </c>
      <c r="F1343" s="12" t="s">
        <v>53</v>
      </c>
      <c r="G1343" s="12" t="s">
        <v>5413</v>
      </c>
      <c r="H1343" s="12" t="s">
        <v>769</v>
      </c>
      <c r="I1343" s="84">
        <v>27002154</v>
      </c>
      <c r="J1343" s="12" t="s">
        <v>54</v>
      </c>
      <c r="L1343" s="12" t="str">
        <f>IF(OR(ISBLANK(tblSites[[#This Row],[Implementing Partner]]), tblSites[[#This Row],[Implementing Partner]]="-"), tblSites[[#This Row],[Site Agency]], tblSites[[#This Row],[Implementing Partner]])</f>
        <v>PHC</v>
      </c>
      <c r="M1343" s="12" t="s">
        <v>55</v>
      </c>
      <c r="N1343" s="12" t="str">
        <f>tblSites[[#This Row],[FinalImplementingPartner]]</f>
        <v>PHC</v>
      </c>
    </row>
    <row r="1344" spans="1:14" x14ac:dyDescent="0.25">
      <c r="A1344" s="12" t="s">
        <v>810</v>
      </c>
      <c r="B1344" s="12" t="s">
        <v>811</v>
      </c>
      <c r="C1344" s="12" t="s">
        <v>812</v>
      </c>
      <c r="D1344" t="s">
        <v>5314</v>
      </c>
      <c r="E1344" s="12" t="s">
        <v>3176</v>
      </c>
      <c r="F1344" s="12" t="s">
        <v>53</v>
      </c>
      <c r="G1344" s="12" t="s">
        <v>5413</v>
      </c>
      <c r="H1344" s="12" t="s">
        <v>811</v>
      </c>
      <c r="I1344" s="84">
        <v>27002154</v>
      </c>
      <c r="J1344" s="12" t="s">
        <v>5</v>
      </c>
      <c r="K1344" s="12" t="s">
        <v>54</v>
      </c>
      <c r="L1344" s="12" t="str">
        <f>IF(OR(ISBLANK(tblSites[[#This Row],[Implementing Partner]]), tblSites[[#This Row],[Implementing Partner]]="-"), tblSites[[#This Row],[Site Agency]], tblSites[[#This Row],[Implementing Partner]])</f>
        <v>PHC</v>
      </c>
      <c r="M1344" s="12" t="s">
        <v>55</v>
      </c>
      <c r="N1344" s="12" t="str">
        <f>tblSites[[#This Row],[FinalImplementingPartner]]</f>
        <v>PHC</v>
      </c>
    </row>
    <row r="1345" spans="1:14" x14ac:dyDescent="0.25">
      <c r="A1345" s="12" t="s">
        <v>827</v>
      </c>
      <c r="B1345" s="12" t="s">
        <v>828</v>
      </c>
      <c r="C1345" s="12" t="s">
        <v>829</v>
      </c>
      <c r="D1345" t="s">
        <v>5314</v>
      </c>
      <c r="E1345" s="12" t="s">
        <v>3176</v>
      </c>
      <c r="F1345" s="12" t="s">
        <v>53</v>
      </c>
      <c r="G1345" s="12" t="s">
        <v>5413</v>
      </c>
      <c r="H1345" s="12" t="s">
        <v>828</v>
      </c>
      <c r="I1345" s="84">
        <v>27002154</v>
      </c>
      <c r="J1345" s="12" t="s">
        <v>34</v>
      </c>
      <c r="K1345" s="12" t="s">
        <v>54</v>
      </c>
      <c r="L1345" s="12" t="str">
        <f>IF(OR(ISBLANK(tblSites[[#This Row],[Implementing Partner]]), tblSites[[#This Row],[Implementing Partner]]="-"), tblSites[[#This Row],[Site Agency]], tblSites[[#This Row],[Implementing Partner]])</f>
        <v>PHC</v>
      </c>
      <c r="M1345" s="12" t="s">
        <v>55</v>
      </c>
      <c r="N1345" s="12" t="str">
        <f>tblSites[[#This Row],[FinalImplementingPartner]]</f>
        <v>PHC</v>
      </c>
    </row>
    <row r="1346" spans="1:14" x14ac:dyDescent="0.25">
      <c r="A1346" s="12" t="s">
        <v>1947</v>
      </c>
      <c r="B1346" s="12" t="s">
        <v>4349</v>
      </c>
      <c r="C1346" s="12" t="s">
        <v>4887</v>
      </c>
      <c r="D1346" t="s">
        <v>5314</v>
      </c>
      <c r="E1346" s="12" t="s">
        <v>3176</v>
      </c>
      <c r="F1346" s="12" t="s">
        <v>53</v>
      </c>
      <c r="G1346" s="12" t="s">
        <v>5413</v>
      </c>
      <c r="H1346" s="12" t="s">
        <v>4349</v>
      </c>
      <c r="I1346" s="84">
        <v>27002154</v>
      </c>
      <c r="J1346" s="12" t="s">
        <v>54</v>
      </c>
      <c r="L1346" s="12" t="str">
        <f>IF(OR(ISBLANK(tblSites[[#This Row],[Implementing Partner]]), tblSites[[#This Row],[Implementing Partner]]="-"), tblSites[[#This Row],[Site Agency]], tblSites[[#This Row],[Implementing Partner]])</f>
        <v>PHC</v>
      </c>
      <c r="M1346" s="12" t="s">
        <v>55</v>
      </c>
      <c r="N1346" s="12" t="str">
        <f>tblSites[[#This Row],[FinalImplementingPartner]]</f>
        <v>PHC</v>
      </c>
    </row>
    <row r="1347" spans="1:14" x14ac:dyDescent="0.25">
      <c r="A1347" s="12" t="s">
        <v>910</v>
      </c>
      <c r="B1347" s="12" t="s">
        <v>911</v>
      </c>
      <c r="C1347" s="12" t="s">
        <v>912</v>
      </c>
      <c r="D1347" t="s">
        <v>5314</v>
      </c>
      <c r="E1347" s="12" t="s">
        <v>3176</v>
      </c>
      <c r="F1347" s="12" t="s">
        <v>53</v>
      </c>
      <c r="G1347" s="12" t="s">
        <v>5413</v>
      </c>
      <c r="H1347" s="12" t="s">
        <v>911</v>
      </c>
      <c r="I1347" s="84">
        <v>27002154</v>
      </c>
      <c r="J1347" s="12" t="s">
        <v>54</v>
      </c>
      <c r="L1347" s="12" t="str">
        <f>IF(OR(ISBLANK(tblSites[[#This Row],[Implementing Partner]]), tblSites[[#This Row],[Implementing Partner]]="-"), tblSites[[#This Row],[Site Agency]], tblSites[[#This Row],[Implementing Partner]])</f>
        <v>PHC</v>
      </c>
      <c r="M1347" s="12" t="s">
        <v>55</v>
      </c>
      <c r="N1347" s="12" t="str">
        <f>tblSites[[#This Row],[FinalImplementingPartner]]</f>
        <v>PHC</v>
      </c>
    </row>
    <row r="1348" spans="1:14" x14ac:dyDescent="0.25">
      <c r="A1348" s="12" t="s">
        <v>1082</v>
      </c>
      <c r="B1348" s="12" t="s">
        <v>1083</v>
      </c>
      <c r="C1348" s="12" t="s">
        <v>1084</v>
      </c>
      <c r="D1348" t="s">
        <v>5314</v>
      </c>
      <c r="E1348" s="12" t="s">
        <v>3176</v>
      </c>
      <c r="F1348" s="12" t="s">
        <v>53</v>
      </c>
      <c r="G1348" s="12" t="s">
        <v>5413</v>
      </c>
      <c r="H1348" s="12" t="s">
        <v>1083</v>
      </c>
      <c r="I1348" s="84">
        <v>27002154</v>
      </c>
      <c r="J1348" s="12" t="s">
        <v>34</v>
      </c>
      <c r="K1348" s="12" t="s">
        <v>54</v>
      </c>
      <c r="L1348" s="12" t="str">
        <f>IF(OR(ISBLANK(tblSites[[#This Row],[Implementing Partner]]), tblSites[[#This Row],[Implementing Partner]]="-"), tblSites[[#This Row],[Site Agency]], tblSites[[#This Row],[Implementing Partner]])</f>
        <v>PHC</v>
      </c>
      <c r="M1348" s="12" t="s">
        <v>55</v>
      </c>
      <c r="N1348" s="12" t="str">
        <f>tblSites[[#This Row],[FinalImplementingPartner]]</f>
        <v>PHC</v>
      </c>
    </row>
    <row r="1349" spans="1:14" x14ac:dyDescent="0.25">
      <c r="A1349" s="12" t="s">
        <v>992</v>
      </c>
      <c r="B1349" s="12" t="s">
        <v>993</v>
      </c>
      <c r="C1349" s="12" t="s">
        <v>994</v>
      </c>
      <c r="D1349" t="s">
        <v>5314</v>
      </c>
      <c r="E1349" s="12" t="s">
        <v>3176</v>
      </c>
      <c r="F1349" s="12" t="s">
        <v>53</v>
      </c>
      <c r="G1349" s="12" t="s">
        <v>5413</v>
      </c>
      <c r="H1349" s="12" t="s">
        <v>993</v>
      </c>
      <c r="I1349" s="84">
        <v>27002154</v>
      </c>
      <c r="J1349" s="12" t="s">
        <v>5</v>
      </c>
      <c r="K1349" s="12" t="s">
        <v>54</v>
      </c>
      <c r="L1349" s="12" t="str">
        <f>IF(OR(ISBLANK(tblSites[[#This Row],[Implementing Partner]]), tblSites[[#This Row],[Implementing Partner]]="-"), tblSites[[#This Row],[Site Agency]], tblSites[[#This Row],[Implementing Partner]])</f>
        <v>PHC</v>
      </c>
      <c r="M1349" s="12" t="s">
        <v>55</v>
      </c>
      <c r="N1349" s="12" t="str">
        <f>tblSites[[#This Row],[FinalImplementingPartner]]</f>
        <v>PHC</v>
      </c>
    </row>
    <row r="1350" spans="1:14" x14ac:dyDescent="0.25">
      <c r="A1350" s="12" t="s">
        <v>990</v>
      </c>
      <c r="B1350" s="12" t="s">
        <v>307</v>
      </c>
      <c r="C1350" s="12" t="s">
        <v>991</v>
      </c>
      <c r="D1350" t="s">
        <v>5314</v>
      </c>
      <c r="E1350" s="12" t="s">
        <v>3176</v>
      </c>
      <c r="F1350" s="12" t="s">
        <v>53</v>
      </c>
      <c r="G1350" s="12" t="s">
        <v>5413</v>
      </c>
      <c r="H1350" s="12" t="s">
        <v>307</v>
      </c>
      <c r="I1350" s="84">
        <v>27002154</v>
      </c>
      <c r="J1350" s="12" t="s">
        <v>5</v>
      </c>
      <c r="K1350" s="12" t="s">
        <v>54</v>
      </c>
      <c r="L1350" s="12" t="str">
        <f>IF(OR(ISBLANK(tblSites[[#This Row],[Implementing Partner]]), tblSites[[#This Row],[Implementing Partner]]="-"), tblSites[[#This Row],[Site Agency]], tblSites[[#This Row],[Implementing Partner]])</f>
        <v>PHC</v>
      </c>
      <c r="M1350" s="12" t="s">
        <v>55</v>
      </c>
      <c r="N1350" s="12" t="str">
        <f>tblSites[[#This Row],[FinalImplementingPartner]]</f>
        <v>PHC</v>
      </c>
    </row>
    <row r="1351" spans="1:14" x14ac:dyDescent="0.25">
      <c r="A1351" s="12" t="s">
        <v>934</v>
      </c>
      <c r="B1351" s="12" t="s">
        <v>935</v>
      </c>
      <c r="C1351" s="12" t="s">
        <v>936</v>
      </c>
      <c r="D1351" t="s">
        <v>5314</v>
      </c>
      <c r="E1351" s="12" t="s">
        <v>3176</v>
      </c>
      <c r="F1351" s="12" t="s">
        <v>53</v>
      </c>
      <c r="G1351" s="12" t="s">
        <v>5413</v>
      </c>
      <c r="H1351" s="12" t="s">
        <v>935</v>
      </c>
      <c r="I1351" s="84">
        <v>27002154</v>
      </c>
      <c r="J1351" s="12" t="s">
        <v>5</v>
      </c>
      <c r="K1351" s="12" t="s">
        <v>54</v>
      </c>
      <c r="L1351" s="12" t="str">
        <f>IF(OR(ISBLANK(tblSites[[#This Row],[Implementing Partner]]), tblSites[[#This Row],[Implementing Partner]]="-"), tblSites[[#This Row],[Site Agency]], tblSites[[#This Row],[Implementing Partner]])</f>
        <v>PHC</v>
      </c>
      <c r="M1351" s="12" t="s">
        <v>55</v>
      </c>
      <c r="N1351" s="12" t="str">
        <f>tblSites[[#This Row],[FinalImplementingPartner]]</f>
        <v>PHC</v>
      </c>
    </row>
    <row r="1352" spans="1:14" x14ac:dyDescent="0.25">
      <c r="A1352" s="12" t="s">
        <v>865</v>
      </c>
      <c r="B1352" s="12" t="s">
        <v>866</v>
      </c>
      <c r="C1352" s="12" t="s">
        <v>867</v>
      </c>
      <c r="D1352" t="s">
        <v>5314</v>
      </c>
      <c r="E1352" s="12" t="s">
        <v>3176</v>
      </c>
      <c r="F1352" s="12" t="s">
        <v>53</v>
      </c>
      <c r="G1352" s="12" t="s">
        <v>5413</v>
      </c>
      <c r="H1352" s="12" t="s">
        <v>866</v>
      </c>
      <c r="I1352" s="84">
        <v>27002154</v>
      </c>
      <c r="J1352" s="12" t="s">
        <v>34</v>
      </c>
      <c r="K1352" s="12" t="s">
        <v>54</v>
      </c>
      <c r="L1352" s="12" t="str">
        <f>IF(OR(ISBLANK(tblSites[[#This Row],[Implementing Partner]]), tblSites[[#This Row],[Implementing Partner]]="-"), tblSites[[#This Row],[Site Agency]], tblSites[[#This Row],[Implementing Partner]])</f>
        <v>PHC</v>
      </c>
      <c r="M1352" s="12" t="s">
        <v>55</v>
      </c>
      <c r="N1352" s="12" t="str">
        <f>tblSites[[#This Row],[FinalImplementingPartner]]</f>
        <v>PHC</v>
      </c>
    </row>
    <row r="1353" spans="1:14" x14ac:dyDescent="0.25">
      <c r="A1353" s="12" t="s">
        <v>904</v>
      </c>
      <c r="B1353" s="12" t="s">
        <v>905</v>
      </c>
      <c r="C1353" s="12" t="s">
        <v>906</v>
      </c>
      <c r="D1353" t="s">
        <v>5314</v>
      </c>
      <c r="E1353" s="12" t="s">
        <v>3176</v>
      </c>
      <c r="F1353" s="12" t="s">
        <v>53</v>
      </c>
      <c r="G1353" s="12" t="s">
        <v>5413</v>
      </c>
      <c r="H1353" s="12" t="s">
        <v>905</v>
      </c>
      <c r="I1353" s="84">
        <v>27002154</v>
      </c>
      <c r="J1353" s="12" t="s">
        <v>5</v>
      </c>
      <c r="K1353" s="12" t="s">
        <v>54</v>
      </c>
      <c r="L1353" s="12" t="str">
        <f>IF(OR(ISBLANK(tblSites[[#This Row],[Implementing Partner]]), tblSites[[#This Row],[Implementing Partner]]="-"), tblSites[[#This Row],[Site Agency]], tblSites[[#This Row],[Implementing Partner]])</f>
        <v>PHC</v>
      </c>
      <c r="M1353" s="12" t="s">
        <v>55</v>
      </c>
      <c r="N1353" s="12" t="str">
        <f>tblSites[[#This Row],[FinalImplementingPartner]]</f>
        <v>PHC</v>
      </c>
    </row>
    <row r="1354" spans="1:14" x14ac:dyDescent="0.25">
      <c r="A1354" s="12" t="s">
        <v>796</v>
      </c>
      <c r="B1354" s="12" t="s">
        <v>797</v>
      </c>
      <c r="C1354" s="12" t="s">
        <v>798</v>
      </c>
      <c r="D1354" t="s">
        <v>5314</v>
      </c>
      <c r="E1354" s="12" t="s">
        <v>3176</v>
      </c>
      <c r="F1354" s="12" t="s">
        <v>53</v>
      </c>
      <c r="G1354" s="12" t="s">
        <v>5413</v>
      </c>
      <c r="H1354" s="12" t="s">
        <v>797</v>
      </c>
      <c r="I1354" s="84">
        <v>27002154</v>
      </c>
      <c r="J1354" s="12" t="s">
        <v>54</v>
      </c>
      <c r="L1354" s="12" t="str">
        <f>IF(OR(ISBLANK(tblSites[[#This Row],[Implementing Partner]]), tblSites[[#This Row],[Implementing Partner]]="-"), tblSites[[#This Row],[Site Agency]], tblSites[[#This Row],[Implementing Partner]])</f>
        <v>PHC</v>
      </c>
      <c r="M1354" s="12" t="s">
        <v>55</v>
      </c>
      <c r="N1354" s="12" t="str">
        <f>tblSites[[#This Row],[FinalImplementingPartner]]</f>
        <v>PHC</v>
      </c>
    </row>
    <row r="1355" spans="1:14" x14ac:dyDescent="0.25">
      <c r="A1355" s="12" t="s">
        <v>868</v>
      </c>
      <c r="B1355" s="12" t="s">
        <v>869</v>
      </c>
      <c r="C1355" s="12" t="s">
        <v>870</v>
      </c>
      <c r="D1355" t="s">
        <v>5314</v>
      </c>
      <c r="E1355" s="12" t="s">
        <v>3176</v>
      </c>
      <c r="F1355" s="12" t="s">
        <v>53</v>
      </c>
      <c r="G1355" s="12" t="s">
        <v>5413</v>
      </c>
      <c r="H1355" s="12" t="s">
        <v>869</v>
      </c>
      <c r="I1355" s="84">
        <v>27002154</v>
      </c>
      <c r="J1355" s="12" t="s">
        <v>5</v>
      </c>
      <c r="K1355" s="12" t="s">
        <v>54</v>
      </c>
      <c r="L1355" s="12" t="str">
        <f>IF(OR(ISBLANK(tblSites[[#This Row],[Implementing Partner]]), tblSites[[#This Row],[Implementing Partner]]="-"), tblSites[[#This Row],[Site Agency]], tblSites[[#This Row],[Implementing Partner]])</f>
        <v>PHC</v>
      </c>
      <c r="M1355" s="12" t="s">
        <v>55</v>
      </c>
      <c r="N1355" s="12" t="str">
        <f>tblSites[[#This Row],[FinalImplementingPartner]]</f>
        <v>PHC</v>
      </c>
    </row>
    <row r="1356" spans="1:14" x14ac:dyDescent="0.25">
      <c r="A1356" s="12" t="s">
        <v>871</v>
      </c>
      <c r="B1356" s="12" t="s">
        <v>872</v>
      </c>
      <c r="C1356" s="12" t="s">
        <v>873</v>
      </c>
      <c r="D1356" t="s">
        <v>5314</v>
      </c>
      <c r="E1356" s="12" t="s">
        <v>3176</v>
      </c>
      <c r="F1356" s="12" t="s">
        <v>53</v>
      </c>
      <c r="G1356" s="12" t="s">
        <v>5413</v>
      </c>
      <c r="H1356" s="12" t="s">
        <v>872</v>
      </c>
      <c r="I1356" s="84">
        <v>27002154</v>
      </c>
      <c r="J1356" s="12" t="s">
        <v>5</v>
      </c>
      <c r="K1356" s="12" t="s">
        <v>54</v>
      </c>
      <c r="L1356" s="12" t="str">
        <f>IF(OR(ISBLANK(tblSites[[#This Row],[Implementing Partner]]), tblSites[[#This Row],[Implementing Partner]]="-"), tblSites[[#This Row],[Site Agency]], tblSites[[#This Row],[Implementing Partner]])</f>
        <v>PHC</v>
      </c>
      <c r="M1356" s="12" t="s">
        <v>55</v>
      </c>
      <c r="N1356" s="12" t="str">
        <f>tblSites[[#This Row],[FinalImplementingPartner]]</f>
        <v>PHC</v>
      </c>
    </row>
    <row r="1357" spans="1:14" x14ac:dyDescent="0.25">
      <c r="A1357" s="12" t="s">
        <v>2988</v>
      </c>
      <c r="B1357" s="12" t="s">
        <v>2989</v>
      </c>
      <c r="C1357" s="12" t="s">
        <v>478</v>
      </c>
      <c r="D1357" t="s">
        <v>5314</v>
      </c>
      <c r="E1357" s="12" t="s">
        <v>3176</v>
      </c>
      <c r="F1357" s="12" t="s">
        <v>53</v>
      </c>
      <c r="G1357" s="12" t="s">
        <v>5406</v>
      </c>
      <c r="H1357" s="12" t="s">
        <v>2989</v>
      </c>
      <c r="I1357" s="84">
        <v>27002154</v>
      </c>
      <c r="J1357" s="12" t="s">
        <v>5102</v>
      </c>
      <c r="K1357" s="12" t="s">
        <v>389</v>
      </c>
      <c r="L1357" s="12" t="str">
        <f>IF(OR(ISBLANK(tblSites[[#This Row],[Implementing Partner]]), tblSites[[#This Row],[Implementing Partner]]="-"), tblSites[[#This Row],[Site Agency]], tblSites[[#This Row],[Implementing Partner]])</f>
        <v>No SMA</v>
      </c>
      <c r="M1357" s="12" t="s">
        <v>55</v>
      </c>
      <c r="N1357" s="12" t="str">
        <f>tblSites[[#This Row],[FinalImplementingPartner]]</f>
        <v>No SMA</v>
      </c>
    </row>
    <row r="1358" spans="1:14" x14ac:dyDescent="0.25">
      <c r="A1358" s="12" t="s">
        <v>744</v>
      </c>
      <c r="B1358" s="12" t="s">
        <v>745</v>
      </c>
      <c r="C1358" s="12" t="s">
        <v>746</v>
      </c>
      <c r="D1358" t="s">
        <v>5314</v>
      </c>
      <c r="E1358" s="12" t="s">
        <v>3176</v>
      </c>
      <c r="F1358" s="12" t="s">
        <v>53</v>
      </c>
      <c r="G1358" s="12" t="s">
        <v>5413</v>
      </c>
      <c r="H1358" s="12" t="s">
        <v>745</v>
      </c>
      <c r="I1358" s="84">
        <v>27002154</v>
      </c>
      <c r="J1358" s="12" t="s">
        <v>54</v>
      </c>
      <c r="K1358" s="12" t="s">
        <v>389</v>
      </c>
      <c r="L1358" s="12" t="str">
        <f>IF(OR(ISBLANK(tblSites[[#This Row],[Implementing Partner]]), tblSites[[#This Row],[Implementing Partner]]="-"), tblSites[[#This Row],[Site Agency]], tblSites[[#This Row],[Implementing Partner]])</f>
        <v>PHC</v>
      </c>
      <c r="M1358" s="12" t="s">
        <v>55</v>
      </c>
      <c r="N1358" s="12" t="str">
        <f>tblSites[[#This Row],[FinalImplementingPartner]]</f>
        <v>PHC</v>
      </c>
    </row>
    <row r="1359" spans="1:14" x14ac:dyDescent="0.25">
      <c r="A1359" s="12" t="s">
        <v>495</v>
      </c>
      <c r="B1359" s="12" t="s">
        <v>496</v>
      </c>
      <c r="C1359" s="12" t="s">
        <v>497</v>
      </c>
      <c r="D1359" t="s">
        <v>5314</v>
      </c>
      <c r="E1359" s="12" t="s">
        <v>3176</v>
      </c>
      <c r="F1359" s="12" t="s">
        <v>53</v>
      </c>
      <c r="G1359" s="12" t="s">
        <v>5433</v>
      </c>
      <c r="H1359" s="12" t="s">
        <v>496</v>
      </c>
      <c r="I1359" s="84">
        <v>27002154</v>
      </c>
      <c r="J1359" s="12" t="s">
        <v>5</v>
      </c>
      <c r="K1359" s="12" t="s">
        <v>83</v>
      </c>
      <c r="L1359" s="12" t="str">
        <f>IF(OR(ISBLANK(tblSites[[#This Row],[Implementing Partner]]), tblSites[[#This Row],[Implementing Partner]]="-"), tblSites[[#This Row],[Site Agency]], tblSites[[#This Row],[Implementing Partner]])</f>
        <v>CESVI</v>
      </c>
      <c r="M1359" s="12" t="s">
        <v>55</v>
      </c>
      <c r="N1359" s="12" t="str">
        <f>tblSites[[#This Row],[FinalImplementingPartner]]</f>
        <v>CESVI</v>
      </c>
    </row>
    <row r="1360" spans="1:14" x14ac:dyDescent="0.25">
      <c r="A1360" s="12" t="s">
        <v>5257</v>
      </c>
      <c r="B1360" s="12" t="s">
        <v>2700</v>
      </c>
      <c r="C1360" s="12" t="s">
        <v>1379</v>
      </c>
      <c r="D1360" t="s">
        <v>5314</v>
      </c>
      <c r="E1360" s="12" t="s">
        <v>3176</v>
      </c>
      <c r="F1360" s="12" t="s">
        <v>82</v>
      </c>
      <c r="G1360" s="12" t="s">
        <v>5434</v>
      </c>
      <c r="H1360" s="12" t="s">
        <v>2700</v>
      </c>
      <c r="I1360" s="84">
        <v>27001153</v>
      </c>
      <c r="J1360" s="12" t="s">
        <v>662</v>
      </c>
      <c r="K1360" s="12" t="s">
        <v>389</v>
      </c>
      <c r="L1360" s="12" t="str">
        <f>IF(OR(ISBLANK(tblSites[[#This Row],[Implementing Partner]]), tblSites[[#This Row],[Implementing Partner]]="-"), tblSites[[#This Row],[Site Agency]], tblSites[[#This Row],[Implementing Partner]])</f>
        <v>PARC</v>
      </c>
      <c r="M1360" s="12" t="s">
        <v>55</v>
      </c>
      <c r="N1360" s="12" t="str">
        <f>tblSites[[#This Row],[FinalImplementingPartner]]</f>
        <v>PARC</v>
      </c>
    </row>
    <row r="1361" spans="1:14" x14ac:dyDescent="0.25">
      <c r="A1361" s="12" t="s">
        <v>1126</v>
      </c>
      <c r="B1361" s="12" t="s">
        <v>1127</v>
      </c>
      <c r="C1361" s="12" t="s">
        <v>1128</v>
      </c>
      <c r="D1361" t="s">
        <v>5314</v>
      </c>
      <c r="E1361" s="12" t="s">
        <v>3176</v>
      </c>
      <c r="F1361" s="12" t="s">
        <v>53</v>
      </c>
      <c r="G1361" s="12" t="s">
        <v>5413</v>
      </c>
      <c r="H1361" s="12" t="s">
        <v>1127</v>
      </c>
      <c r="I1361" s="84">
        <v>27002154</v>
      </c>
      <c r="J1361" s="12" t="s">
        <v>54</v>
      </c>
      <c r="K1361" s="12" t="s">
        <v>389</v>
      </c>
      <c r="L1361" s="12" t="str">
        <f>IF(OR(ISBLANK(tblSites[[#This Row],[Implementing Partner]]), tblSites[[#This Row],[Implementing Partner]]="-"), tblSites[[#This Row],[Site Agency]], tblSites[[#This Row],[Implementing Partner]])</f>
        <v>PHC</v>
      </c>
      <c r="M1361" s="12" t="s">
        <v>55</v>
      </c>
      <c r="N1361" s="12" t="str">
        <f>tblSites[[#This Row],[FinalImplementingPartner]]</f>
        <v>PHC</v>
      </c>
    </row>
    <row r="1362" spans="1:14" x14ac:dyDescent="0.25">
      <c r="A1362" s="12" t="s">
        <v>750</v>
      </c>
      <c r="B1362" s="12" t="s">
        <v>751</v>
      </c>
      <c r="C1362" s="12" t="s">
        <v>752</v>
      </c>
      <c r="D1362" t="s">
        <v>5314</v>
      </c>
      <c r="E1362" s="12" t="s">
        <v>3176</v>
      </c>
      <c r="F1362" s="12" t="s">
        <v>53</v>
      </c>
      <c r="G1362" s="12" t="s">
        <v>5413</v>
      </c>
      <c r="H1362" s="12" t="s">
        <v>751</v>
      </c>
      <c r="I1362" s="84">
        <v>27002154</v>
      </c>
      <c r="J1362" s="12" t="s">
        <v>54</v>
      </c>
      <c r="L1362" s="12" t="str">
        <f>IF(OR(ISBLANK(tblSites[[#This Row],[Implementing Partner]]), tblSites[[#This Row],[Implementing Partner]]="-"), tblSites[[#This Row],[Site Agency]], tblSites[[#This Row],[Implementing Partner]])</f>
        <v>PHC</v>
      </c>
      <c r="M1362" s="12" t="s">
        <v>55</v>
      </c>
      <c r="N1362" s="12" t="str">
        <f>tblSites[[#This Row],[FinalImplementingPartner]]</f>
        <v>PHC</v>
      </c>
    </row>
    <row r="1363" spans="1:14" x14ac:dyDescent="0.25">
      <c r="A1363" s="12" t="s">
        <v>756</v>
      </c>
      <c r="B1363" s="12" t="s">
        <v>757</v>
      </c>
      <c r="C1363" s="12" t="s">
        <v>758</v>
      </c>
      <c r="D1363" t="s">
        <v>5314</v>
      </c>
      <c r="E1363" s="12" t="s">
        <v>3176</v>
      </c>
      <c r="F1363" s="12" t="s">
        <v>53</v>
      </c>
      <c r="G1363" s="12" t="s">
        <v>5413</v>
      </c>
      <c r="H1363" s="12" t="s">
        <v>757</v>
      </c>
      <c r="I1363" s="84">
        <v>27002154</v>
      </c>
      <c r="J1363" s="12" t="s">
        <v>5</v>
      </c>
      <c r="K1363" s="12" t="s">
        <v>54</v>
      </c>
      <c r="L1363" s="12" t="str">
        <f>IF(OR(ISBLANK(tblSites[[#This Row],[Implementing Partner]]), tblSites[[#This Row],[Implementing Partner]]="-"), tblSites[[#This Row],[Site Agency]], tblSites[[#This Row],[Implementing Partner]])</f>
        <v>PHC</v>
      </c>
      <c r="M1363" s="12" t="s">
        <v>55</v>
      </c>
      <c r="N1363" s="12" t="str">
        <f>tblSites[[#This Row],[FinalImplementingPartner]]</f>
        <v>PHC</v>
      </c>
    </row>
    <row r="1364" spans="1:14" x14ac:dyDescent="0.25">
      <c r="A1364" s="12" t="s">
        <v>514</v>
      </c>
      <c r="B1364" s="12" t="s">
        <v>515</v>
      </c>
      <c r="C1364" s="12" t="s">
        <v>516</v>
      </c>
      <c r="D1364" t="s">
        <v>5314</v>
      </c>
      <c r="E1364" s="12" t="s">
        <v>3176</v>
      </c>
      <c r="F1364" s="12" t="s">
        <v>53</v>
      </c>
      <c r="G1364" s="12" t="s">
        <v>5406</v>
      </c>
      <c r="H1364" s="12" t="s">
        <v>515</v>
      </c>
      <c r="I1364" s="84">
        <v>27002154</v>
      </c>
      <c r="J1364" s="12" t="s">
        <v>5102</v>
      </c>
      <c r="L1364" s="12" t="str">
        <f>IF(OR(ISBLANK(tblSites[[#This Row],[Implementing Partner]]), tblSites[[#This Row],[Implementing Partner]]="-"), tblSites[[#This Row],[Site Agency]], tblSites[[#This Row],[Implementing Partner]])</f>
        <v>No SMA</v>
      </c>
      <c r="M1364" s="12" t="s">
        <v>55</v>
      </c>
      <c r="N1364" s="12" t="str">
        <f>tblSites[[#This Row],[FinalImplementingPartner]]</f>
        <v>No SMA</v>
      </c>
    </row>
    <row r="1365" spans="1:14" x14ac:dyDescent="0.25">
      <c r="A1365" s="12" t="s">
        <v>615</v>
      </c>
      <c r="B1365" s="12" t="s">
        <v>616</v>
      </c>
      <c r="C1365" s="12" t="s">
        <v>617</v>
      </c>
      <c r="D1365" t="s">
        <v>5314</v>
      </c>
      <c r="E1365" s="12" t="s">
        <v>3176</v>
      </c>
      <c r="F1365" s="12" t="s">
        <v>53</v>
      </c>
      <c r="G1365" s="12" t="s">
        <v>5433</v>
      </c>
      <c r="H1365" s="12" t="s">
        <v>616</v>
      </c>
      <c r="I1365" s="84">
        <v>27002154</v>
      </c>
      <c r="J1365" s="12" t="s">
        <v>5</v>
      </c>
      <c r="K1365" s="12" t="s">
        <v>83</v>
      </c>
      <c r="L1365" s="12" t="str">
        <f>IF(OR(ISBLANK(tblSites[[#This Row],[Implementing Partner]]), tblSites[[#This Row],[Implementing Partner]]="-"), tblSites[[#This Row],[Site Agency]], tblSites[[#This Row],[Implementing Partner]])</f>
        <v>CESVI</v>
      </c>
      <c r="M1365" s="12" t="s">
        <v>55</v>
      </c>
      <c r="N1365" s="12" t="str">
        <f>tblSites[[#This Row],[FinalImplementingPartner]]</f>
        <v>CESVI</v>
      </c>
    </row>
    <row r="1366" spans="1:14" x14ac:dyDescent="0.25">
      <c r="A1366" s="12" t="s">
        <v>728</v>
      </c>
      <c r="B1366" s="12" t="s">
        <v>729</v>
      </c>
      <c r="C1366" s="12" t="s">
        <v>730</v>
      </c>
      <c r="D1366" t="s">
        <v>5314</v>
      </c>
      <c r="E1366" s="12" t="s">
        <v>3176</v>
      </c>
      <c r="F1366" s="12" t="s">
        <v>79</v>
      </c>
      <c r="G1366" s="12" t="s">
        <v>5435</v>
      </c>
      <c r="H1366" s="12" t="s">
        <v>729</v>
      </c>
      <c r="I1366" s="84">
        <v>27002101</v>
      </c>
      <c r="J1366" s="12" t="s">
        <v>5</v>
      </c>
      <c r="K1366" s="12" t="s">
        <v>731</v>
      </c>
      <c r="L1366" s="12" t="str">
        <f>IF(OR(ISBLANK(tblSites[[#This Row],[Implementing Partner]]), tblSites[[#This Row],[Implementing Partner]]="-"), tblSites[[#This Row],[Site Agency]], tblSites[[#This Row],[Implementing Partner]])</f>
        <v>MAAN</v>
      </c>
      <c r="M1366" s="12" t="s">
        <v>55</v>
      </c>
      <c r="N1366" s="12" t="str">
        <f>tblSites[[#This Row],[FinalImplementingPartner]]</f>
        <v>MAAN</v>
      </c>
    </row>
    <row r="1367" spans="1:14" x14ac:dyDescent="0.25">
      <c r="A1367" s="12" t="s">
        <v>808</v>
      </c>
      <c r="B1367" s="12" t="s">
        <v>809</v>
      </c>
      <c r="C1367" s="12" t="s">
        <v>5302</v>
      </c>
      <c r="D1367" t="s">
        <v>5314</v>
      </c>
      <c r="E1367" s="12" t="s">
        <v>3176</v>
      </c>
      <c r="F1367" s="12" t="s">
        <v>79</v>
      </c>
      <c r="G1367" s="12" t="s">
        <v>5435</v>
      </c>
      <c r="H1367" s="12" t="s">
        <v>809</v>
      </c>
      <c r="I1367" s="84">
        <v>27002101</v>
      </c>
      <c r="J1367" s="12" t="s">
        <v>5</v>
      </c>
      <c r="K1367" s="12" t="s">
        <v>731</v>
      </c>
      <c r="L1367" s="12" t="str">
        <f>IF(OR(ISBLANK(tblSites[[#This Row],[Implementing Partner]]), tblSites[[#This Row],[Implementing Partner]]="-"), tblSites[[#This Row],[Site Agency]], tblSites[[#This Row],[Implementing Partner]])</f>
        <v>MAAN</v>
      </c>
      <c r="M1367" s="12" t="s">
        <v>55</v>
      </c>
      <c r="N1367" s="12" t="str">
        <f>tblSites[[#This Row],[FinalImplementingPartner]]</f>
        <v>MAAN</v>
      </c>
    </row>
    <row r="1368" spans="1:14" x14ac:dyDescent="0.25">
      <c r="A1368" s="12" t="s">
        <v>624</v>
      </c>
      <c r="B1368" s="12" t="s">
        <v>625</v>
      </c>
      <c r="C1368" s="12" t="s">
        <v>626</v>
      </c>
      <c r="D1368" t="s">
        <v>5314</v>
      </c>
      <c r="E1368" s="12" t="s">
        <v>3176</v>
      </c>
      <c r="F1368" s="12" t="s">
        <v>173</v>
      </c>
      <c r="G1368" s="12" t="s">
        <v>5418</v>
      </c>
      <c r="H1368" s="12" t="s">
        <v>625</v>
      </c>
      <c r="I1368" s="84">
        <v>27002105</v>
      </c>
      <c r="J1368" s="12" t="s">
        <v>5</v>
      </c>
      <c r="K1368" s="12" t="s">
        <v>83</v>
      </c>
      <c r="L1368" s="12" t="str">
        <f>IF(OR(ISBLANK(tblSites[[#This Row],[Implementing Partner]]), tblSites[[#This Row],[Implementing Partner]]="-"), tblSites[[#This Row],[Site Agency]], tblSites[[#This Row],[Implementing Partner]])</f>
        <v>CESVI</v>
      </c>
      <c r="M1368" s="12" t="s">
        <v>55</v>
      </c>
      <c r="N1368" s="12" t="str">
        <f>tblSites[[#This Row],[FinalImplementingPartner]]</f>
        <v>CESVI</v>
      </c>
    </row>
    <row r="1369" spans="1:14" x14ac:dyDescent="0.25">
      <c r="A1369" s="12" t="s">
        <v>612</v>
      </c>
      <c r="B1369" s="12" t="s">
        <v>613</v>
      </c>
      <c r="C1369" s="12" t="s">
        <v>614</v>
      </c>
      <c r="D1369" t="s">
        <v>5314</v>
      </c>
      <c r="E1369" s="12" t="s">
        <v>3176</v>
      </c>
      <c r="F1369" s="12" t="s">
        <v>82</v>
      </c>
      <c r="G1369" s="12" t="s">
        <v>5436</v>
      </c>
      <c r="H1369" s="12" t="s">
        <v>613</v>
      </c>
      <c r="I1369" s="84">
        <v>27001153</v>
      </c>
      <c r="J1369" s="12" t="s">
        <v>5</v>
      </c>
      <c r="K1369" s="12" t="s">
        <v>83</v>
      </c>
      <c r="L1369" s="12" t="str">
        <f>IF(OR(ISBLANK(tblSites[[#This Row],[Implementing Partner]]), tblSites[[#This Row],[Implementing Partner]]="-"), tblSites[[#This Row],[Site Agency]], tblSites[[#This Row],[Implementing Partner]])</f>
        <v>CESVI</v>
      </c>
      <c r="M1369" s="12" t="s">
        <v>55</v>
      </c>
      <c r="N1369" s="12" t="str">
        <f>tblSites[[#This Row],[FinalImplementingPartner]]</f>
        <v>CESVI</v>
      </c>
    </row>
    <row r="1370" spans="1:14" x14ac:dyDescent="0.25">
      <c r="A1370" s="12" t="s">
        <v>1138</v>
      </c>
      <c r="B1370" s="12" t="s">
        <v>1139</v>
      </c>
      <c r="C1370" s="12" t="s">
        <v>1140</v>
      </c>
      <c r="D1370" t="s">
        <v>5314</v>
      </c>
      <c r="E1370" s="12" t="s">
        <v>3176</v>
      </c>
      <c r="F1370" s="12" t="s">
        <v>53</v>
      </c>
      <c r="G1370" s="12" t="s">
        <v>5437</v>
      </c>
      <c r="H1370" s="12" t="s">
        <v>1139</v>
      </c>
      <c r="I1370" s="84">
        <v>27002154</v>
      </c>
      <c r="J1370" s="12" t="s">
        <v>5</v>
      </c>
      <c r="K1370" s="12" t="s">
        <v>731</v>
      </c>
      <c r="L1370" s="12" t="str">
        <f>IF(OR(ISBLANK(tblSites[[#This Row],[Implementing Partner]]), tblSites[[#This Row],[Implementing Partner]]="-"), tblSites[[#This Row],[Site Agency]], tblSites[[#This Row],[Implementing Partner]])</f>
        <v>MAAN</v>
      </c>
      <c r="M1370" s="12" t="s">
        <v>55</v>
      </c>
      <c r="N1370" s="12" t="str">
        <f>tblSites[[#This Row],[FinalImplementingPartner]]</f>
        <v>MAAN</v>
      </c>
    </row>
    <row r="1371" spans="1:14" x14ac:dyDescent="0.25">
      <c r="A1371" s="12" t="s">
        <v>80</v>
      </c>
      <c r="B1371" s="12" t="s">
        <v>81</v>
      </c>
      <c r="C1371" s="12" t="s">
        <v>81</v>
      </c>
      <c r="D1371" t="s">
        <v>5314</v>
      </c>
      <c r="E1371" s="12" t="s">
        <v>3176</v>
      </c>
      <c r="F1371" s="12" t="s">
        <v>82</v>
      </c>
      <c r="G1371" s="12" t="s">
        <v>5428</v>
      </c>
      <c r="H1371" s="12" t="s">
        <v>81</v>
      </c>
      <c r="I1371" s="84">
        <v>27001153</v>
      </c>
      <c r="J1371" s="12" t="s">
        <v>5102</v>
      </c>
      <c r="L1371" s="12" t="str">
        <f>IF(OR(ISBLANK(tblSites[[#This Row],[Implementing Partner]]), tblSites[[#This Row],[Implementing Partner]]="-"), tblSites[[#This Row],[Site Agency]], tblSites[[#This Row],[Implementing Partner]])</f>
        <v>No SMA</v>
      </c>
      <c r="M1371" s="12" t="s">
        <v>55</v>
      </c>
      <c r="N1371" s="12" t="str">
        <f>tblSites[[#This Row],[FinalImplementingPartner]]</f>
        <v>No SMA</v>
      </c>
    </row>
    <row r="1372" spans="1:14" x14ac:dyDescent="0.25">
      <c r="A1372" s="12" t="s">
        <v>998</v>
      </c>
      <c r="B1372" s="12" t="s">
        <v>999</v>
      </c>
      <c r="C1372" s="12" t="s">
        <v>1000</v>
      </c>
      <c r="D1372" t="s">
        <v>5314</v>
      </c>
      <c r="E1372" s="12" t="s">
        <v>3176</v>
      </c>
      <c r="F1372" s="12" t="s">
        <v>53</v>
      </c>
      <c r="G1372" s="12" t="s">
        <v>5437</v>
      </c>
      <c r="H1372" s="12" t="s">
        <v>999</v>
      </c>
      <c r="I1372" s="84">
        <v>27002154</v>
      </c>
      <c r="J1372" s="12" t="s">
        <v>5</v>
      </c>
      <c r="K1372" s="12" t="s">
        <v>731</v>
      </c>
      <c r="L1372" s="12" t="str">
        <f>IF(OR(ISBLANK(tblSites[[#This Row],[Implementing Partner]]), tblSites[[#This Row],[Implementing Partner]]="-"), tblSites[[#This Row],[Site Agency]], tblSites[[#This Row],[Implementing Partner]])</f>
        <v>MAAN</v>
      </c>
      <c r="M1372" s="12" t="s">
        <v>55</v>
      </c>
      <c r="N1372" s="12" t="str">
        <f>tblSites[[#This Row],[FinalImplementingPartner]]</f>
        <v>MAAN</v>
      </c>
    </row>
    <row r="1373" spans="1:14" x14ac:dyDescent="0.25">
      <c r="A1373" s="12" t="s">
        <v>1161</v>
      </c>
      <c r="B1373" s="12" t="s">
        <v>1162</v>
      </c>
      <c r="C1373" s="12" t="s">
        <v>1163</v>
      </c>
      <c r="D1373" t="s">
        <v>5314</v>
      </c>
      <c r="E1373" s="12" t="s">
        <v>3176</v>
      </c>
      <c r="F1373" s="12" t="s">
        <v>79</v>
      </c>
      <c r="G1373" s="12" t="s">
        <v>5435</v>
      </c>
      <c r="H1373" s="12" t="s">
        <v>1162</v>
      </c>
      <c r="I1373" s="84">
        <v>27002101</v>
      </c>
      <c r="J1373" s="12" t="s">
        <v>5</v>
      </c>
      <c r="K1373" s="12" t="s">
        <v>731</v>
      </c>
      <c r="L1373" s="12" t="str">
        <f>IF(OR(ISBLANK(tblSites[[#This Row],[Implementing Partner]]), tblSites[[#This Row],[Implementing Partner]]="-"), tblSites[[#This Row],[Site Agency]], tblSites[[#This Row],[Implementing Partner]])</f>
        <v>MAAN</v>
      </c>
      <c r="M1373" s="12" t="s">
        <v>55</v>
      </c>
      <c r="N1373" s="12" t="str">
        <f>tblSites[[#This Row],[FinalImplementingPartner]]</f>
        <v>MAAN</v>
      </c>
    </row>
    <row r="1374" spans="1:14" x14ac:dyDescent="0.25">
      <c r="A1374" s="12" t="s">
        <v>2990</v>
      </c>
      <c r="B1374" s="12" t="s">
        <v>2991</v>
      </c>
      <c r="C1374" s="12" t="s">
        <v>212</v>
      </c>
      <c r="D1374" t="s">
        <v>5314</v>
      </c>
      <c r="E1374" s="12" t="s">
        <v>3176</v>
      </c>
      <c r="F1374" s="12" t="s">
        <v>79</v>
      </c>
      <c r="G1374" s="12" t="s">
        <v>5419</v>
      </c>
      <c r="H1374" s="12" t="s">
        <v>2991</v>
      </c>
      <c r="I1374" s="84">
        <v>27002101</v>
      </c>
      <c r="J1374" s="12" t="s">
        <v>5102</v>
      </c>
      <c r="L1374" s="12" t="str">
        <f>IF(OR(ISBLANK(tblSites[[#This Row],[Implementing Partner]]), tblSites[[#This Row],[Implementing Partner]]="-"), tblSites[[#This Row],[Site Agency]], tblSites[[#This Row],[Implementing Partner]])</f>
        <v>No SMA</v>
      </c>
      <c r="M1374" s="12" t="s">
        <v>55</v>
      </c>
      <c r="N1374" s="12" t="str">
        <f>tblSites[[#This Row],[FinalImplementingPartner]]</f>
        <v>No SMA</v>
      </c>
    </row>
    <row r="1375" spans="1:14" x14ac:dyDescent="0.25">
      <c r="A1375" s="12" t="s">
        <v>2992</v>
      </c>
      <c r="B1375" s="12" t="s">
        <v>2993</v>
      </c>
      <c r="C1375" s="12" t="s">
        <v>2994</v>
      </c>
      <c r="D1375" t="s">
        <v>5314</v>
      </c>
      <c r="E1375" s="12" t="s">
        <v>3176</v>
      </c>
      <c r="F1375" s="12" t="s">
        <v>79</v>
      </c>
      <c r="G1375" s="12" t="s">
        <v>5419</v>
      </c>
      <c r="H1375" s="12" t="s">
        <v>2993</v>
      </c>
      <c r="I1375" s="84">
        <v>27002101</v>
      </c>
      <c r="J1375" s="12" t="s">
        <v>5102</v>
      </c>
      <c r="L1375" s="12" t="str">
        <f>IF(OR(ISBLANK(tblSites[[#This Row],[Implementing Partner]]), tblSites[[#This Row],[Implementing Partner]]="-"), tblSites[[#This Row],[Site Agency]], tblSites[[#This Row],[Implementing Partner]])</f>
        <v>No SMA</v>
      </c>
      <c r="M1375" s="12" t="s">
        <v>55</v>
      </c>
      <c r="N1375" s="12" t="str">
        <f>tblSites[[#This Row],[FinalImplementingPartner]]</f>
        <v>No SMA</v>
      </c>
    </row>
    <row r="1376" spans="1:14" x14ac:dyDescent="0.25">
      <c r="A1376" s="12" t="s">
        <v>2995</v>
      </c>
      <c r="B1376" s="12" t="s">
        <v>2996</v>
      </c>
      <c r="C1376" s="12" t="s">
        <v>1470</v>
      </c>
      <c r="D1376" t="s">
        <v>5314</v>
      </c>
      <c r="E1376" s="12" t="s">
        <v>3176</v>
      </c>
      <c r="F1376" s="12" t="s">
        <v>79</v>
      </c>
      <c r="G1376" s="12" t="s">
        <v>5419</v>
      </c>
      <c r="H1376" s="12" t="s">
        <v>2996</v>
      </c>
      <c r="I1376" s="84">
        <v>27002101</v>
      </c>
      <c r="J1376" s="12" t="s">
        <v>5102</v>
      </c>
      <c r="L1376" s="12" t="str">
        <f>IF(OR(ISBLANK(tblSites[[#This Row],[Implementing Partner]]), tblSites[[#This Row],[Implementing Partner]]="-"), tblSites[[#This Row],[Site Agency]], tblSites[[#This Row],[Implementing Partner]])</f>
        <v>No SMA</v>
      </c>
      <c r="M1376" s="12" t="s">
        <v>55</v>
      </c>
      <c r="N1376" s="12" t="str">
        <f>tblSites[[#This Row],[FinalImplementingPartner]]</f>
        <v>No SMA</v>
      </c>
    </row>
    <row r="1377" spans="1:14" x14ac:dyDescent="0.25">
      <c r="A1377" s="12" t="s">
        <v>5258</v>
      </c>
      <c r="B1377" s="12" t="s">
        <v>420</v>
      </c>
      <c r="C1377" s="12" t="s">
        <v>5303</v>
      </c>
      <c r="D1377" t="s">
        <v>5314</v>
      </c>
      <c r="E1377" s="12" t="s">
        <v>3176</v>
      </c>
      <c r="F1377" s="12" t="s">
        <v>82</v>
      </c>
      <c r="G1377" s="12" t="s">
        <v>5428</v>
      </c>
      <c r="H1377" s="12" t="s">
        <v>420</v>
      </c>
      <c r="I1377" s="84">
        <v>27001153</v>
      </c>
      <c r="J1377" s="12" t="s">
        <v>5102</v>
      </c>
      <c r="L1377" s="12" t="str">
        <f>IF(OR(ISBLANK(tblSites[[#This Row],[Implementing Partner]]), tblSites[[#This Row],[Implementing Partner]]="-"), tblSites[[#This Row],[Site Agency]], tblSites[[#This Row],[Implementing Partner]])</f>
        <v>No SMA</v>
      </c>
      <c r="M1377" s="12" t="s">
        <v>55</v>
      </c>
      <c r="N1377" s="12" t="str">
        <f>tblSites[[#This Row],[FinalImplementingPartner]]</f>
        <v>No SMA</v>
      </c>
    </row>
    <row r="1378" spans="1:14" x14ac:dyDescent="0.25">
      <c r="A1378" s="12" t="s">
        <v>2997</v>
      </c>
      <c r="B1378" s="12" t="s">
        <v>2998</v>
      </c>
      <c r="C1378" s="12" t="s">
        <v>2999</v>
      </c>
      <c r="D1378" t="s">
        <v>5314</v>
      </c>
      <c r="E1378" s="12" t="s">
        <v>3176</v>
      </c>
      <c r="F1378" s="12" t="s">
        <v>53</v>
      </c>
      <c r="G1378" s="12" t="s">
        <v>5406</v>
      </c>
      <c r="H1378" s="12" t="s">
        <v>2998</v>
      </c>
      <c r="I1378" s="84">
        <v>27002154</v>
      </c>
      <c r="J1378" s="12" t="s">
        <v>5102</v>
      </c>
      <c r="L1378" s="12" t="str">
        <f>IF(OR(ISBLANK(tblSites[[#This Row],[Implementing Partner]]), tblSites[[#This Row],[Implementing Partner]]="-"), tblSites[[#This Row],[Site Agency]], tblSites[[#This Row],[Implementing Partner]])</f>
        <v>No SMA</v>
      </c>
      <c r="M1378" s="12" t="s">
        <v>55</v>
      </c>
      <c r="N1378" s="12" t="str">
        <f>tblSites[[#This Row],[FinalImplementingPartner]]</f>
        <v>No SMA</v>
      </c>
    </row>
    <row r="1379" spans="1:14" x14ac:dyDescent="0.25">
      <c r="A1379" s="12" t="s">
        <v>266</v>
      </c>
      <c r="B1379" s="12" t="s">
        <v>267</v>
      </c>
      <c r="C1379" s="12" t="s">
        <v>268</v>
      </c>
      <c r="D1379" t="s">
        <v>5314</v>
      </c>
      <c r="E1379" s="12" t="s">
        <v>3176</v>
      </c>
      <c r="F1379" s="12" t="s">
        <v>53</v>
      </c>
      <c r="G1379" s="12" t="s">
        <v>5406</v>
      </c>
      <c r="H1379" s="12" t="s">
        <v>267</v>
      </c>
      <c r="I1379" s="84">
        <v>27002154</v>
      </c>
      <c r="J1379" s="12" t="s">
        <v>5102</v>
      </c>
      <c r="L1379" s="12" t="str">
        <f>IF(OR(ISBLANK(tblSites[[#This Row],[Implementing Partner]]), tblSites[[#This Row],[Implementing Partner]]="-"), tblSites[[#This Row],[Site Agency]], tblSites[[#This Row],[Implementing Partner]])</f>
        <v>No SMA</v>
      </c>
      <c r="M1379" s="12" t="s">
        <v>55</v>
      </c>
      <c r="N1379" s="12" t="str">
        <f>tblSites[[#This Row],[FinalImplementingPartner]]</f>
        <v>No SMA</v>
      </c>
    </row>
    <row r="1380" spans="1:14" x14ac:dyDescent="0.25">
      <c r="A1380" s="12" t="s">
        <v>1246</v>
      </c>
      <c r="B1380" s="12" t="s">
        <v>1247</v>
      </c>
      <c r="C1380" s="12" t="s">
        <v>1248</v>
      </c>
      <c r="D1380" t="s">
        <v>5314</v>
      </c>
      <c r="E1380" s="12" t="s">
        <v>3176</v>
      </c>
      <c r="F1380" s="12" t="s">
        <v>440</v>
      </c>
      <c r="G1380" s="12" t="s">
        <v>5410</v>
      </c>
      <c r="H1380" s="12" t="s">
        <v>1247</v>
      </c>
      <c r="I1380" s="84">
        <v>27003176</v>
      </c>
      <c r="J1380" s="12" t="s">
        <v>5102</v>
      </c>
      <c r="L1380" s="12" t="str">
        <f>IF(OR(ISBLANK(tblSites[[#This Row],[Implementing Partner]]), tblSites[[#This Row],[Implementing Partner]]="-"), tblSites[[#This Row],[Site Agency]], tblSites[[#This Row],[Implementing Partner]])</f>
        <v>No SMA</v>
      </c>
      <c r="M1380" s="12" t="s">
        <v>55</v>
      </c>
      <c r="N1380" s="12" t="str">
        <f>tblSites[[#This Row],[FinalImplementingPartner]]</f>
        <v>No SMA</v>
      </c>
    </row>
    <row r="1381" spans="1:14" x14ac:dyDescent="0.25">
      <c r="A1381" s="12" t="s">
        <v>3000</v>
      </c>
      <c r="B1381" s="12" t="s">
        <v>3001</v>
      </c>
      <c r="C1381" s="12" t="s">
        <v>3002</v>
      </c>
      <c r="D1381" t="s">
        <v>5314</v>
      </c>
      <c r="E1381" s="12" t="s">
        <v>3176</v>
      </c>
      <c r="F1381" s="12" t="s">
        <v>135</v>
      </c>
      <c r="G1381" s="12" t="s">
        <v>5408</v>
      </c>
      <c r="H1381" s="12" t="s">
        <v>3001</v>
      </c>
      <c r="I1381" s="84">
        <v>27002100</v>
      </c>
      <c r="J1381" s="12" t="s">
        <v>5102</v>
      </c>
      <c r="L1381" s="12" t="str">
        <f>IF(OR(ISBLANK(tblSites[[#This Row],[Implementing Partner]]), tblSites[[#This Row],[Implementing Partner]]="-"), tblSites[[#This Row],[Site Agency]], tblSites[[#This Row],[Implementing Partner]])</f>
        <v>No SMA</v>
      </c>
      <c r="M1381" s="12" t="s">
        <v>55</v>
      </c>
      <c r="N1381" s="12" t="str">
        <f>tblSites[[#This Row],[FinalImplementingPartner]]</f>
        <v>No SMA</v>
      </c>
    </row>
    <row r="1382" spans="1:14" x14ac:dyDescent="0.25">
      <c r="A1382" s="12" t="s">
        <v>3003</v>
      </c>
      <c r="B1382" s="12" t="s">
        <v>3004</v>
      </c>
      <c r="C1382" s="12" t="s">
        <v>1258</v>
      </c>
      <c r="D1382" t="s">
        <v>5314</v>
      </c>
      <c r="E1382" s="12" t="s">
        <v>3176</v>
      </c>
      <c r="F1382" s="12" t="s">
        <v>79</v>
      </c>
      <c r="G1382" s="12" t="s">
        <v>5419</v>
      </c>
      <c r="H1382" s="12" t="s">
        <v>3004</v>
      </c>
      <c r="I1382" s="84">
        <v>27002101</v>
      </c>
      <c r="J1382" s="12" t="s">
        <v>5102</v>
      </c>
      <c r="L1382" s="12" t="str">
        <f>IF(OR(ISBLANK(tblSites[[#This Row],[Implementing Partner]]), tblSites[[#This Row],[Implementing Partner]]="-"), tblSites[[#This Row],[Site Agency]], tblSites[[#This Row],[Implementing Partner]])</f>
        <v>No SMA</v>
      </c>
      <c r="M1382" s="12" t="s">
        <v>55</v>
      </c>
      <c r="N1382" s="12" t="str">
        <f>tblSites[[#This Row],[FinalImplementingPartner]]</f>
        <v>No SMA</v>
      </c>
    </row>
    <row r="1383" spans="1:14" x14ac:dyDescent="0.25">
      <c r="A1383" s="12" t="s">
        <v>3005</v>
      </c>
      <c r="B1383" s="12" t="s">
        <v>3006</v>
      </c>
      <c r="C1383" s="12" t="s">
        <v>380</v>
      </c>
      <c r="D1383" t="s">
        <v>5314</v>
      </c>
      <c r="E1383" s="12" t="s">
        <v>3176</v>
      </c>
      <c r="F1383" s="12" t="s">
        <v>82</v>
      </c>
      <c r="G1383" s="12" t="s">
        <v>5428</v>
      </c>
      <c r="H1383" s="12" t="s">
        <v>3006</v>
      </c>
      <c r="I1383" s="84">
        <v>27001153</v>
      </c>
      <c r="J1383" s="12" t="s">
        <v>5102</v>
      </c>
      <c r="L1383" s="12" t="str">
        <f>IF(OR(ISBLANK(tblSites[[#This Row],[Implementing Partner]]), tblSites[[#This Row],[Implementing Partner]]="-"), tblSites[[#This Row],[Site Agency]], tblSites[[#This Row],[Implementing Partner]])</f>
        <v>No SMA</v>
      </c>
      <c r="M1383" s="12" t="s">
        <v>55</v>
      </c>
      <c r="N1383" s="12" t="str">
        <f>tblSites[[#This Row],[FinalImplementingPartner]]</f>
        <v>No SMA</v>
      </c>
    </row>
    <row r="1384" spans="1:14" x14ac:dyDescent="0.25">
      <c r="A1384" s="12" t="s">
        <v>3007</v>
      </c>
      <c r="B1384" s="12" t="s">
        <v>3008</v>
      </c>
      <c r="C1384" s="12" t="s">
        <v>3009</v>
      </c>
      <c r="D1384" t="s">
        <v>5314</v>
      </c>
      <c r="E1384" s="12" t="s">
        <v>3176</v>
      </c>
      <c r="F1384" s="12" t="s">
        <v>325</v>
      </c>
      <c r="G1384" s="12" t="s">
        <v>5411</v>
      </c>
      <c r="H1384" s="12" t="s">
        <v>3008</v>
      </c>
      <c r="I1384" s="84">
        <v>27002104</v>
      </c>
      <c r="J1384" s="12" t="s">
        <v>5102</v>
      </c>
      <c r="L1384" s="12" t="str">
        <f>IF(OR(ISBLANK(tblSites[[#This Row],[Implementing Partner]]), tblSites[[#This Row],[Implementing Partner]]="-"), tblSites[[#This Row],[Site Agency]], tblSites[[#This Row],[Implementing Partner]])</f>
        <v>No SMA</v>
      </c>
      <c r="M1384" s="12" t="s">
        <v>55</v>
      </c>
      <c r="N1384" s="12" t="str">
        <f>tblSites[[#This Row],[FinalImplementingPartner]]</f>
        <v>No SMA</v>
      </c>
    </row>
    <row r="1385" spans="1:14" x14ac:dyDescent="0.25">
      <c r="A1385" s="12" t="s">
        <v>3010</v>
      </c>
      <c r="B1385" s="12" t="s">
        <v>3011</v>
      </c>
      <c r="C1385" s="12" t="s">
        <v>3012</v>
      </c>
      <c r="D1385" t="s">
        <v>5314</v>
      </c>
      <c r="E1385" s="12" t="s">
        <v>3176</v>
      </c>
      <c r="F1385" s="12" t="s">
        <v>82</v>
      </c>
      <c r="G1385" s="12" t="s">
        <v>5428</v>
      </c>
      <c r="H1385" s="12" t="s">
        <v>3011</v>
      </c>
      <c r="I1385" s="84">
        <v>27001153</v>
      </c>
      <c r="J1385" s="12" t="s">
        <v>5102</v>
      </c>
      <c r="L1385" s="12" t="str">
        <f>IF(OR(ISBLANK(tblSites[[#This Row],[Implementing Partner]]), tblSites[[#This Row],[Implementing Partner]]="-"), tblSites[[#This Row],[Site Agency]], tblSites[[#This Row],[Implementing Partner]])</f>
        <v>No SMA</v>
      </c>
      <c r="M1385" s="12" t="s">
        <v>55</v>
      </c>
      <c r="N1385" s="12" t="str">
        <f>tblSites[[#This Row],[FinalImplementingPartner]]</f>
        <v>No SMA</v>
      </c>
    </row>
    <row r="1386" spans="1:14" x14ac:dyDescent="0.25">
      <c r="A1386" s="12" t="s">
        <v>3013</v>
      </c>
      <c r="B1386" s="12" t="s">
        <v>3014</v>
      </c>
      <c r="C1386" s="12" t="s">
        <v>3015</v>
      </c>
      <c r="D1386" t="s">
        <v>5314</v>
      </c>
      <c r="E1386" s="12" t="s">
        <v>3176</v>
      </c>
      <c r="F1386" s="12" t="s">
        <v>53</v>
      </c>
      <c r="G1386" s="12" t="s">
        <v>5406</v>
      </c>
      <c r="H1386" s="12" t="s">
        <v>3014</v>
      </c>
      <c r="I1386" s="84">
        <v>27002154</v>
      </c>
      <c r="J1386" s="12" t="s">
        <v>5102</v>
      </c>
      <c r="L1386" s="12" t="str">
        <f>IF(OR(ISBLANK(tblSites[[#This Row],[Implementing Partner]]), tblSites[[#This Row],[Implementing Partner]]="-"), tblSites[[#This Row],[Site Agency]], tblSites[[#This Row],[Implementing Partner]])</f>
        <v>No SMA</v>
      </c>
      <c r="M1386" s="12" t="s">
        <v>55</v>
      </c>
      <c r="N1386" s="12" t="str">
        <f>tblSites[[#This Row],[FinalImplementingPartner]]</f>
        <v>No SMA</v>
      </c>
    </row>
    <row r="1387" spans="1:14" x14ac:dyDescent="0.25">
      <c r="A1387" s="12" t="s">
        <v>3016</v>
      </c>
      <c r="B1387" s="12" t="s">
        <v>3017</v>
      </c>
      <c r="C1387" s="12" t="s">
        <v>3018</v>
      </c>
      <c r="D1387" t="s">
        <v>5314</v>
      </c>
      <c r="E1387" s="12" t="s">
        <v>3176</v>
      </c>
      <c r="F1387" s="12" t="s">
        <v>82</v>
      </c>
      <c r="G1387" s="12" t="s">
        <v>5428</v>
      </c>
      <c r="H1387" s="12" t="s">
        <v>3017</v>
      </c>
      <c r="I1387" s="84">
        <v>27001153</v>
      </c>
      <c r="J1387" s="12" t="s">
        <v>5102</v>
      </c>
      <c r="L1387" s="12" t="str">
        <f>IF(OR(ISBLANK(tblSites[[#This Row],[Implementing Partner]]), tblSites[[#This Row],[Implementing Partner]]="-"), tblSites[[#This Row],[Site Agency]], tblSites[[#This Row],[Implementing Partner]])</f>
        <v>No SMA</v>
      </c>
      <c r="M1387" s="12" t="s">
        <v>55</v>
      </c>
      <c r="N1387" s="12" t="str">
        <f>tblSites[[#This Row],[FinalImplementingPartner]]</f>
        <v>No SMA</v>
      </c>
    </row>
    <row r="1388" spans="1:14" x14ac:dyDescent="0.25">
      <c r="A1388" s="12" t="s">
        <v>3019</v>
      </c>
      <c r="B1388" s="12" t="s">
        <v>3020</v>
      </c>
      <c r="C1388" s="12" t="s">
        <v>3021</v>
      </c>
      <c r="D1388" t="s">
        <v>5314</v>
      </c>
      <c r="E1388" s="12" t="s">
        <v>3176</v>
      </c>
      <c r="F1388" s="12" t="s">
        <v>135</v>
      </c>
      <c r="G1388" s="12" t="s">
        <v>5408</v>
      </c>
      <c r="H1388" s="12" t="s">
        <v>3020</v>
      </c>
      <c r="I1388" s="84">
        <v>27002100</v>
      </c>
      <c r="J1388" s="12" t="s">
        <v>5102</v>
      </c>
      <c r="L1388" s="12" t="str">
        <f>IF(OR(ISBLANK(tblSites[[#This Row],[Implementing Partner]]), tblSites[[#This Row],[Implementing Partner]]="-"), tblSites[[#This Row],[Site Agency]], tblSites[[#This Row],[Implementing Partner]])</f>
        <v>No SMA</v>
      </c>
      <c r="M1388" s="12" t="s">
        <v>55</v>
      </c>
      <c r="N1388" s="12" t="str">
        <f>tblSites[[#This Row],[FinalImplementingPartner]]</f>
        <v>No SMA</v>
      </c>
    </row>
    <row r="1389" spans="1:14" x14ac:dyDescent="0.25">
      <c r="A1389" s="12" t="s">
        <v>3022</v>
      </c>
      <c r="B1389" s="12" t="s">
        <v>3023</v>
      </c>
      <c r="C1389" s="12" t="s">
        <v>3024</v>
      </c>
      <c r="D1389" t="s">
        <v>5314</v>
      </c>
      <c r="E1389" s="12" t="s">
        <v>3176</v>
      </c>
      <c r="F1389" s="12" t="s">
        <v>53</v>
      </c>
      <c r="G1389" s="12" t="s">
        <v>5406</v>
      </c>
      <c r="H1389" s="12" t="s">
        <v>3023</v>
      </c>
      <c r="I1389" s="84">
        <v>27002154</v>
      </c>
      <c r="J1389" s="12" t="s">
        <v>5102</v>
      </c>
      <c r="L1389" s="12" t="str">
        <f>IF(OR(ISBLANK(tblSites[[#This Row],[Implementing Partner]]), tblSites[[#This Row],[Implementing Partner]]="-"), tblSites[[#This Row],[Site Agency]], tblSites[[#This Row],[Implementing Partner]])</f>
        <v>No SMA</v>
      </c>
      <c r="M1389" s="12" t="s">
        <v>55</v>
      </c>
      <c r="N1389" s="12" t="str">
        <f>tblSites[[#This Row],[FinalImplementingPartner]]</f>
        <v>No SMA</v>
      </c>
    </row>
    <row r="1390" spans="1:14" x14ac:dyDescent="0.25">
      <c r="A1390" s="12" t="s">
        <v>3025</v>
      </c>
      <c r="B1390" s="12" t="s">
        <v>432</v>
      </c>
      <c r="C1390" s="12" t="s">
        <v>3026</v>
      </c>
      <c r="D1390" t="s">
        <v>5314</v>
      </c>
      <c r="E1390" s="12" t="s">
        <v>3176</v>
      </c>
      <c r="F1390" s="12" t="s">
        <v>135</v>
      </c>
      <c r="G1390" s="12" t="s">
        <v>5408</v>
      </c>
      <c r="H1390" s="12" t="s">
        <v>432</v>
      </c>
      <c r="I1390" s="84">
        <v>27002100</v>
      </c>
      <c r="J1390" s="12" t="s">
        <v>5102</v>
      </c>
      <c r="L1390" s="12" t="str">
        <f>IF(OR(ISBLANK(tblSites[[#This Row],[Implementing Partner]]), tblSites[[#This Row],[Implementing Partner]]="-"), tblSites[[#This Row],[Site Agency]], tblSites[[#This Row],[Implementing Partner]])</f>
        <v>No SMA</v>
      </c>
      <c r="M1390" s="12" t="s">
        <v>55</v>
      </c>
      <c r="N1390" s="12" t="str">
        <f>tblSites[[#This Row],[FinalImplementingPartner]]</f>
        <v>No SMA</v>
      </c>
    </row>
    <row r="1391" spans="1:14" x14ac:dyDescent="0.25">
      <c r="A1391" s="12" t="s">
        <v>3027</v>
      </c>
      <c r="B1391" s="12" t="s">
        <v>3028</v>
      </c>
      <c r="C1391" s="12" t="s">
        <v>3029</v>
      </c>
      <c r="D1391" t="s">
        <v>5314</v>
      </c>
      <c r="E1391" s="12" t="s">
        <v>3176</v>
      </c>
      <c r="F1391" s="12" t="s">
        <v>135</v>
      </c>
      <c r="G1391" s="12" t="s">
        <v>5408</v>
      </c>
      <c r="H1391" s="12" t="s">
        <v>3028</v>
      </c>
      <c r="I1391" s="84">
        <v>27002100</v>
      </c>
      <c r="J1391" s="12" t="s">
        <v>5102</v>
      </c>
      <c r="L1391" s="12" t="str">
        <f>IF(OR(ISBLANK(tblSites[[#This Row],[Implementing Partner]]), tblSites[[#This Row],[Implementing Partner]]="-"), tblSites[[#This Row],[Site Agency]], tblSites[[#This Row],[Implementing Partner]])</f>
        <v>No SMA</v>
      </c>
      <c r="M1391" s="12" t="s">
        <v>55</v>
      </c>
      <c r="N1391" s="12" t="str">
        <f>tblSites[[#This Row],[FinalImplementingPartner]]</f>
        <v>No SMA</v>
      </c>
    </row>
    <row r="1392" spans="1:14" x14ac:dyDescent="0.25">
      <c r="A1392" s="12" t="s">
        <v>3030</v>
      </c>
      <c r="B1392" s="12" t="s">
        <v>2698</v>
      </c>
      <c r="C1392" s="12" t="s">
        <v>3031</v>
      </c>
      <c r="D1392" t="s">
        <v>5314</v>
      </c>
      <c r="E1392" s="12" t="s">
        <v>3176</v>
      </c>
      <c r="F1392" s="12" t="s">
        <v>2312</v>
      </c>
      <c r="G1392" s="12" t="s">
        <v>5438</v>
      </c>
      <c r="H1392" s="12" t="s">
        <v>2698</v>
      </c>
      <c r="I1392" s="84">
        <v>27001174</v>
      </c>
      <c r="J1392" s="12" t="s">
        <v>662</v>
      </c>
      <c r="L1392" s="12" t="str">
        <f>IF(OR(ISBLANK(tblSites[[#This Row],[Implementing Partner]]), tblSites[[#This Row],[Implementing Partner]]="-"), tblSites[[#This Row],[Site Agency]], tblSites[[#This Row],[Implementing Partner]])</f>
        <v>PARC</v>
      </c>
      <c r="M1392" s="12" t="s">
        <v>55</v>
      </c>
      <c r="N1392" s="12" t="str">
        <f>tblSites[[#This Row],[FinalImplementingPartner]]</f>
        <v>PARC</v>
      </c>
    </row>
    <row r="1393" spans="1:14" x14ac:dyDescent="0.25">
      <c r="A1393" s="12" t="s">
        <v>3032</v>
      </c>
      <c r="B1393" s="12" t="s">
        <v>3033</v>
      </c>
      <c r="C1393" s="12" t="s">
        <v>3034</v>
      </c>
      <c r="D1393" t="s">
        <v>5314</v>
      </c>
      <c r="E1393" s="12" t="s">
        <v>3176</v>
      </c>
      <c r="F1393" s="12" t="s">
        <v>82</v>
      </c>
      <c r="G1393" s="12" t="s">
        <v>5434</v>
      </c>
      <c r="H1393" s="12" t="s">
        <v>3033</v>
      </c>
      <c r="I1393" s="84">
        <v>27001153</v>
      </c>
      <c r="J1393" s="12" t="s">
        <v>662</v>
      </c>
      <c r="L1393" s="12" t="str">
        <f>IF(OR(ISBLANK(tblSites[[#This Row],[Implementing Partner]]), tblSites[[#This Row],[Implementing Partner]]="-"), tblSites[[#This Row],[Site Agency]], tblSites[[#This Row],[Implementing Partner]])</f>
        <v>PARC</v>
      </c>
      <c r="M1393" s="12" t="s">
        <v>55</v>
      </c>
      <c r="N1393" s="12" t="str">
        <f>tblSites[[#This Row],[FinalImplementingPartner]]</f>
        <v>PARC</v>
      </c>
    </row>
    <row r="1394" spans="1:14" x14ac:dyDescent="0.25">
      <c r="A1394" s="12" t="s">
        <v>3035</v>
      </c>
      <c r="B1394" s="12" t="s">
        <v>3036</v>
      </c>
      <c r="C1394" s="12" t="s">
        <v>3037</v>
      </c>
      <c r="D1394" t="s">
        <v>5314</v>
      </c>
      <c r="E1394" s="12" t="s">
        <v>3176</v>
      </c>
      <c r="F1394" s="12" t="s">
        <v>53</v>
      </c>
      <c r="G1394" s="12" t="s">
        <v>5439</v>
      </c>
      <c r="H1394" s="12" t="s">
        <v>3036</v>
      </c>
      <c r="I1394" s="84">
        <v>27002154</v>
      </c>
      <c r="J1394" s="12" t="s">
        <v>662</v>
      </c>
      <c r="L1394" s="12" t="str">
        <f>IF(OR(ISBLANK(tblSites[[#This Row],[Implementing Partner]]), tblSites[[#This Row],[Implementing Partner]]="-"), tblSites[[#This Row],[Site Agency]], tblSites[[#This Row],[Implementing Partner]])</f>
        <v>PARC</v>
      </c>
      <c r="M1394" s="12" t="s">
        <v>55</v>
      </c>
      <c r="N1394" s="12" t="str">
        <f>tblSites[[#This Row],[FinalImplementingPartner]]</f>
        <v>PARC</v>
      </c>
    </row>
    <row r="1395" spans="1:14" x14ac:dyDescent="0.25">
      <c r="A1395" s="12" t="s">
        <v>3038</v>
      </c>
      <c r="B1395" s="12" t="s">
        <v>1875</v>
      </c>
      <c r="C1395" s="12" t="s">
        <v>212</v>
      </c>
      <c r="D1395" t="s">
        <v>5314</v>
      </c>
      <c r="E1395" s="12" t="s">
        <v>3176</v>
      </c>
      <c r="F1395" s="12" t="s">
        <v>135</v>
      </c>
      <c r="G1395" s="12" t="s">
        <v>5440</v>
      </c>
      <c r="H1395" s="12" t="s">
        <v>1875</v>
      </c>
      <c r="I1395" s="84">
        <v>27002100</v>
      </c>
      <c r="J1395" s="12" t="s">
        <v>662</v>
      </c>
      <c r="L1395" s="12" t="str">
        <f>IF(OR(ISBLANK(tblSites[[#This Row],[Implementing Partner]]), tblSites[[#This Row],[Implementing Partner]]="-"), tblSites[[#This Row],[Site Agency]], tblSites[[#This Row],[Implementing Partner]])</f>
        <v>PARC</v>
      </c>
      <c r="M1395" s="12" t="s">
        <v>55</v>
      </c>
      <c r="N1395" s="12" t="str">
        <f>tblSites[[#This Row],[FinalImplementingPartner]]</f>
        <v>PARC</v>
      </c>
    </row>
    <row r="1396" spans="1:14" x14ac:dyDescent="0.25">
      <c r="A1396" s="12" t="s">
        <v>735</v>
      </c>
      <c r="B1396" s="12" t="s">
        <v>736</v>
      </c>
      <c r="C1396" s="12" t="s">
        <v>737</v>
      </c>
      <c r="D1396" t="s">
        <v>5314</v>
      </c>
      <c r="E1396" s="12" t="s">
        <v>3176</v>
      </c>
      <c r="F1396" s="12" t="s">
        <v>79</v>
      </c>
      <c r="G1396" s="12" t="s">
        <v>5435</v>
      </c>
      <c r="H1396" s="12" t="s">
        <v>736</v>
      </c>
      <c r="I1396" s="84">
        <v>27002101</v>
      </c>
      <c r="J1396" s="12" t="s">
        <v>5</v>
      </c>
      <c r="K1396" s="12" t="s">
        <v>731</v>
      </c>
      <c r="L1396" s="12" t="str">
        <f>IF(OR(ISBLANK(tblSites[[#This Row],[Implementing Partner]]), tblSites[[#This Row],[Implementing Partner]]="-"), tblSites[[#This Row],[Site Agency]], tblSites[[#This Row],[Implementing Partner]])</f>
        <v>MAAN</v>
      </c>
      <c r="M1396" s="12" t="s">
        <v>55</v>
      </c>
      <c r="N1396" s="12" t="str">
        <f>tblSites[[#This Row],[FinalImplementingPartner]]</f>
        <v>MAAN</v>
      </c>
    </row>
    <row r="1397" spans="1:14" x14ac:dyDescent="0.25">
      <c r="A1397" s="12" t="s">
        <v>3039</v>
      </c>
      <c r="B1397" s="12" t="s">
        <v>3040</v>
      </c>
      <c r="C1397" s="12" t="s">
        <v>3041</v>
      </c>
      <c r="D1397" t="s">
        <v>5314</v>
      </c>
      <c r="E1397" s="12" t="s">
        <v>3176</v>
      </c>
      <c r="F1397" s="12" t="s">
        <v>82</v>
      </c>
      <c r="G1397" s="12" t="s">
        <v>5434</v>
      </c>
      <c r="H1397" s="12" t="s">
        <v>3040</v>
      </c>
      <c r="I1397" s="84">
        <v>27001153</v>
      </c>
      <c r="J1397" s="12" t="s">
        <v>662</v>
      </c>
      <c r="K1397" s="12" t="s">
        <v>389</v>
      </c>
      <c r="L1397" s="12" t="str">
        <f>IF(OR(ISBLANK(tblSites[[#This Row],[Implementing Partner]]), tblSites[[#This Row],[Implementing Partner]]="-"), tblSites[[#This Row],[Site Agency]], tblSites[[#This Row],[Implementing Partner]])</f>
        <v>PARC</v>
      </c>
      <c r="M1397" s="12" t="s">
        <v>55</v>
      </c>
      <c r="N1397" s="12" t="str">
        <f>tblSites[[#This Row],[FinalImplementingPartner]]</f>
        <v>PARC</v>
      </c>
    </row>
    <row r="1398" spans="1:14" x14ac:dyDescent="0.25">
      <c r="A1398" s="12" t="s">
        <v>3042</v>
      </c>
      <c r="B1398" s="12" t="s">
        <v>3043</v>
      </c>
      <c r="C1398" s="12" t="s">
        <v>1208</v>
      </c>
      <c r="D1398" t="s">
        <v>5314</v>
      </c>
      <c r="E1398" s="12" t="s">
        <v>3176</v>
      </c>
      <c r="F1398" s="12" t="s">
        <v>135</v>
      </c>
      <c r="G1398" s="12" t="s">
        <v>5440</v>
      </c>
      <c r="H1398" s="12" t="s">
        <v>3043</v>
      </c>
      <c r="I1398" s="84">
        <v>27002100</v>
      </c>
      <c r="J1398" s="12" t="s">
        <v>662</v>
      </c>
      <c r="K1398" s="12" t="s">
        <v>389</v>
      </c>
      <c r="L1398" s="12" t="str">
        <f>IF(OR(ISBLANK(tblSites[[#This Row],[Implementing Partner]]), tblSites[[#This Row],[Implementing Partner]]="-"), tblSites[[#This Row],[Site Agency]], tblSites[[#This Row],[Implementing Partner]])</f>
        <v>PARC</v>
      </c>
      <c r="M1398" s="12" t="s">
        <v>55</v>
      </c>
      <c r="N1398" s="12" t="str">
        <f>tblSites[[#This Row],[FinalImplementingPartner]]</f>
        <v>PARC</v>
      </c>
    </row>
    <row r="1399" spans="1:14" x14ac:dyDescent="0.25">
      <c r="A1399" s="12" t="s">
        <v>3044</v>
      </c>
      <c r="B1399" s="12" t="s">
        <v>3045</v>
      </c>
      <c r="C1399" s="12" t="s">
        <v>497</v>
      </c>
      <c r="D1399" t="s">
        <v>5314</v>
      </c>
      <c r="E1399" s="12" t="s">
        <v>3176</v>
      </c>
      <c r="F1399" s="12" t="s">
        <v>53</v>
      </c>
      <c r="G1399" s="12" t="s">
        <v>5439</v>
      </c>
      <c r="H1399" s="12" t="s">
        <v>3045</v>
      </c>
      <c r="I1399" s="84">
        <v>27002154</v>
      </c>
      <c r="J1399" s="12" t="s">
        <v>662</v>
      </c>
      <c r="K1399" s="12" t="s">
        <v>389</v>
      </c>
      <c r="L1399" s="12" t="str">
        <f>IF(OR(ISBLANK(tblSites[[#This Row],[Implementing Partner]]), tblSites[[#This Row],[Implementing Partner]]="-"), tblSites[[#This Row],[Site Agency]], tblSites[[#This Row],[Implementing Partner]])</f>
        <v>PARC</v>
      </c>
      <c r="M1399" s="12" t="s">
        <v>55</v>
      </c>
      <c r="N1399" s="12" t="str">
        <f>tblSites[[#This Row],[FinalImplementingPartner]]</f>
        <v>PARC</v>
      </c>
    </row>
    <row r="1400" spans="1:14" x14ac:dyDescent="0.25">
      <c r="A1400" s="12" t="s">
        <v>3046</v>
      </c>
      <c r="B1400" s="12" t="s">
        <v>3047</v>
      </c>
      <c r="C1400" s="12" t="s">
        <v>2417</v>
      </c>
      <c r="D1400" t="s">
        <v>5314</v>
      </c>
      <c r="E1400" s="12" t="s">
        <v>3176</v>
      </c>
      <c r="F1400" s="12" t="s">
        <v>135</v>
      </c>
      <c r="G1400" s="12" t="s">
        <v>5440</v>
      </c>
      <c r="H1400" s="12" t="s">
        <v>3047</v>
      </c>
      <c r="I1400" s="84">
        <v>27002100</v>
      </c>
      <c r="J1400" s="12" t="s">
        <v>662</v>
      </c>
      <c r="K1400" s="12" t="s">
        <v>389</v>
      </c>
      <c r="L1400" s="12" t="str">
        <f>IF(OR(ISBLANK(tblSites[[#This Row],[Implementing Partner]]), tblSites[[#This Row],[Implementing Partner]]="-"), tblSites[[#This Row],[Site Agency]], tblSites[[#This Row],[Implementing Partner]])</f>
        <v>PARC</v>
      </c>
      <c r="M1400" s="12" t="s">
        <v>55</v>
      </c>
      <c r="N1400" s="12" t="str">
        <f>tblSites[[#This Row],[FinalImplementingPartner]]</f>
        <v>PARC</v>
      </c>
    </row>
    <row r="1401" spans="1:14" x14ac:dyDescent="0.25">
      <c r="A1401" s="12" t="s">
        <v>3048</v>
      </c>
      <c r="B1401" s="12" t="s">
        <v>3049</v>
      </c>
      <c r="C1401" s="12" t="s">
        <v>3050</v>
      </c>
      <c r="D1401" t="s">
        <v>5314</v>
      </c>
      <c r="E1401" s="12" t="s">
        <v>3176</v>
      </c>
      <c r="F1401" s="12" t="s">
        <v>82</v>
      </c>
      <c r="G1401" s="12" t="s">
        <v>5434</v>
      </c>
      <c r="H1401" s="12" t="s">
        <v>3049</v>
      </c>
      <c r="I1401" s="84">
        <v>27001153</v>
      </c>
      <c r="J1401" s="12" t="s">
        <v>662</v>
      </c>
      <c r="K1401" s="12" t="s">
        <v>389</v>
      </c>
      <c r="L1401" s="12" t="str">
        <f>IF(OR(ISBLANK(tblSites[[#This Row],[Implementing Partner]]), tblSites[[#This Row],[Implementing Partner]]="-"), tblSites[[#This Row],[Site Agency]], tblSites[[#This Row],[Implementing Partner]])</f>
        <v>PARC</v>
      </c>
      <c r="M1401" s="12" t="s">
        <v>55</v>
      </c>
      <c r="N1401" s="12" t="str">
        <f>tblSites[[#This Row],[FinalImplementingPartner]]</f>
        <v>PARC</v>
      </c>
    </row>
    <row r="1402" spans="1:14" x14ac:dyDescent="0.25">
      <c r="A1402" s="12" t="s">
        <v>3051</v>
      </c>
      <c r="B1402" s="12" t="s">
        <v>3052</v>
      </c>
      <c r="C1402" s="12" t="s">
        <v>3053</v>
      </c>
      <c r="D1402" t="s">
        <v>5314</v>
      </c>
      <c r="E1402" s="12" t="s">
        <v>3176</v>
      </c>
      <c r="F1402" s="12" t="s">
        <v>53</v>
      </c>
      <c r="G1402" s="12" t="s">
        <v>5412</v>
      </c>
      <c r="H1402" s="12" t="s">
        <v>3052</v>
      </c>
      <c r="I1402" s="84">
        <v>27002154</v>
      </c>
      <c r="J1402" s="12" t="s">
        <v>35</v>
      </c>
      <c r="L1402" s="12" t="str">
        <f>IF(OR(ISBLANK(tblSites[[#This Row],[Implementing Partner]]), tblSites[[#This Row],[Implementing Partner]]="-"), tblSites[[#This Row],[Site Agency]], tblSites[[#This Row],[Implementing Partner]])</f>
        <v>NRC</v>
      </c>
      <c r="M1402" s="12" t="s">
        <v>55</v>
      </c>
      <c r="N1402" s="12" t="str">
        <f>tblSites[[#This Row],[FinalImplementingPartner]]</f>
        <v>NRC</v>
      </c>
    </row>
    <row r="1403" spans="1:14" x14ac:dyDescent="0.25">
      <c r="A1403" s="12" t="s">
        <v>3054</v>
      </c>
      <c r="B1403" s="12" t="s">
        <v>3055</v>
      </c>
      <c r="C1403" s="12" t="s">
        <v>2703</v>
      </c>
      <c r="D1403" t="s">
        <v>5314</v>
      </c>
      <c r="E1403" s="12" t="s">
        <v>3176</v>
      </c>
      <c r="F1403" s="12" t="s">
        <v>135</v>
      </c>
      <c r="G1403" s="12" t="s">
        <v>5440</v>
      </c>
      <c r="H1403" s="12" t="s">
        <v>3055</v>
      </c>
      <c r="I1403" s="84">
        <v>27002100</v>
      </c>
      <c r="J1403" s="12" t="s">
        <v>662</v>
      </c>
      <c r="K1403" s="12" t="s">
        <v>389</v>
      </c>
      <c r="L1403" s="12" t="str">
        <f>IF(OR(ISBLANK(tblSites[[#This Row],[Implementing Partner]]), tblSites[[#This Row],[Implementing Partner]]="-"), tblSites[[#This Row],[Site Agency]], tblSites[[#This Row],[Implementing Partner]])</f>
        <v>PARC</v>
      </c>
      <c r="M1403" s="12" t="s">
        <v>55</v>
      </c>
      <c r="N1403" s="12" t="str">
        <f>tblSites[[#This Row],[FinalImplementingPartner]]</f>
        <v>PARC</v>
      </c>
    </row>
    <row r="1404" spans="1:14" x14ac:dyDescent="0.25">
      <c r="A1404" s="12" t="s">
        <v>3056</v>
      </c>
      <c r="B1404" s="12" t="s">
        <v>3057</v>
      </c>
      <c r="C1404" s="12" t="s">
        <v>3058</v>
      </c>
      <c r="D1404" t="s">
        <v>5314</v>
      </c>
      <c r="E1404" s="12" t="s">
        <v>3176</v>
      </c>
      <c r="F1404" s="12" t="s">
        <v>82</v>
      </c>
      <c r="G1404" s="12" t="s">
        <v>5434</v>
      </c>
      <c r="H1404" s="12" t="s">
        <v>3057</v>
      </c>
      <c r="I1404" s="84">
        <v>27001153</v>
      </c>
      <c r="J1404" s="12" t="s">
        <v>662</v>
      </c>
      <c r="K1404" s="12" t="s">
        <v>389</v>
      </c>
      <c r="L1404" s="12" t="str">
        <f>IF(OR(ISBLANK(tblSites[[#This Row],[Implementing Partner]]), tblSites[[#This Row],[Implementing Partner]]="-"), tblSites[[#This Row],[Site Agency]], tblSites[[#This Row],[Implementing Partner]])</f>
        <v>PARC</v>
      </c>
      <c r="M1404" s="12" t="s">
        <v>55</v>
      </c>
      <c r="N1404" s="12" t="str">
        <f>tblSites[[#This Row],[FinalImplementingPartner]]</f>
        <v>PARC</v>
      </c>
    </row>
    <row r="1405" spans="1:14" x14ac:dyDescent="0.25">
      <c r="A1405" s="12" t="s">
        <v>3059</v>
      </c>
      <c r="B1405" s="12" t="s">
        <v>3060</v>
      </c>
      <c r="C1405" s="12" t="s">
        <v>3061</v>
      </c>
      <c r="D1405" t="s">
        <v>5314</v>
      </c>
      <c r="E1405" s="12" t="s">
        <v>3176</v>
      </c>
      <c r="F1405" s="12" t="s">
        <v>82</v>
      </c>
      <c r="G1405" s="12" t="s">
        <v>5434</v>
      </c>
      <c r="H1405" s="12" t="s">
        <v>3060</v>
      </c>
      <c r="I1405" s="84">
        <v>27001153</v>
      </c>
      <c r="J1405" s="12" t="s">
        <v>662</v>
      </c>
      <c r="K1405" s="12" t="s">
        <v>389</v>
      </c>
      <c r="L1405" s="12" t="str">
        <f>IF(OR(ISBLANK(tblSites[[#This Row],[Implementing Partner]]), tblSites[[#This Row],[Implementing Partner]]="-"), tblSites[[#This Row],[Site Agency]], tblSites[[#This Row],[Implementing Partner]])</f>
        <v>PARC</v>
      </c>
      <c r="M1405" s="12" t="s">
        <v>55</v>
      </c>
      <c r="N1405" s="12" t="str">
        <f>tblSites[[#This Row],[FinalImplementingPartner]]</f>
        <v>PARC</v>
      </c>
    </row>
    <row r="1406" spans="1:14" x14ac:dyDescent="0.25">
      <c r="A1406" s="12" t="s">
        <v>3062</v>
      </c>
      <c r="B1406" s="12" t="s">
        <v>376</v>
      </c>
      <c r="C1406" s="12" t="s">
        <v>3063</v>
      </c>
      <c r="D1406" t="s">
        <v>5314</v>
      </c>
      <c r="E1406" s="12" t="s">
        <v>3176</v>
      </c>
      <c r="F1406" s="12" t="s">
        <v>79</v>
      </c>
      <c r="G1406" s="12" t="s">
        <v>5419</v>
      </c>
      <c r="H1406" s="12" t="s">
        <v>376</v>
      </c>
      <c r="I1406" s="84">
        <v>27002101</v>
      </c>
      <c r="J1406" s="12" t="s">
        <v>5102</v>
      </c>
      <c r="L1406" s="12" t="str">
        <f>IF(OR(ISBLANK(tblSites[[#This Row],[Implementing Partner]]), tblSites[[#This Row],[Implementing Partner]]="-"), tblSites[[#This Row],[Site Agency]], tblSites[[#This Row],[Implementing Partner]])</f>
        <v>No SMA</v>
      </c>
      <c r="M1406" s="12" t="s">
        <v>55</v>
      </c>
      <c r="N1406" s="12" t="str">
        <f>tblSites[[#This Row],[FinalImplementingPartner]]</f>
        <v>No SMA</v>
      </c>
    </row>
    <row r="1407" spans="1:14" x14ac:dyDescent="0.25">
      <c r="A1407" s="12" t="s">
        <v>3064</v>
      </c>
      <c r="B1407" s="12" t="s">
        <v>3065</v>
      </c>
      <c r="C1407" s="12" t="s">
        <v>191</v>
      </c>
      <c r="D1407" t="s">
        <v>5314</v>
      </c>
      <c r="E1407" s="12" t="s">
        <v>3176</v>
      </c>
      <c r="F1407" s="12" t="s">
        <v>2312</v>
      </c>
      <c r="G1407" s="12" t="s">
        <v>5438</v>
      </c>
      <c r="H1407" s="12" t="s">
        <v>3065</v>
      </c>
      <c r="I1407" s="84">
        <v>27001174</v>
      </c>
      <c r="J1407" s="12" t="s">
        <v>662</v>
      </c>
      <c r="L1407" s="12" t="str">
        <f>IF(OR(ISBLANK(tblSites[[#This Row],[Implementing Partner]]), tblSites[[#This Row],[Implementing Partner]]="-"), tblSites[[#This Row],[Site Agency]], tblSites[[#This Row],[Implementing Partner]])</f>
        <v>PARC</v>
      </c>
      <c r="M1407" s="12" t="s">
        <v>55</v>
      </c>
      <c r="N1407" s="12" t="str">
        <f>tblSites[[#This Row],[FinalImplementingPartner]]</f>
        <v>PARC</v>
      </c>
    </row>
    <row r="1408" spans="1:14" x14ac:dyDescent="0.25">
      <c r="A1408" s="12" t="s">
        <v>3066</v>
      </c>
      <c r="B1408" s="12" t="s">
        <v>109</v>
      </c>
      <c r="C1408" s="12" t="s">
        <v>3067</v>
      </c>
      <c r="D1408" t="s">
        <v>5314</v>
      </c>
      <c r="E1408" s="12" t="s">
        <v>3176</v>
      </c>
      <c r="F1408" s="12" t="s">
        <v>53</v>
      </c>
      <c r="G1408" s="12" t="s">
        <v>5439</v>
      </c>
      <c r="H1408" s="12" t="s">
        <v>109</v>
      </c>
      <c r="I1408" s="84">
        <v>27002154</v>
      </c>
      <c r="J1408" s="12" t="s">
        <v>662</v>
      </c>
      <c r="L1408" s="12" t="str">
        <f>IF(OR(ISBLANK(tblSites[[#This Row],[Implementing Partner]]), tblSites[[#This Row],[Implementing Partner]]="-"), tblSites[[#This Row],[Site Agency]], tblSites[[#This Row],[Implementing Partner]])</f>
        <v>PARC</v>
      </c>
      <c r="M1408" s="12" t="s">
        <v>55</v>
      </c>
      <c r="N1408" s="12" t="str">
        <f>tblSites[[#This Row],[FinalImplementingPartner]]</f>
        <v>PARC</v>
      </c>
    </row>
    <row r="1409" spans="1:14" x14ac:dyDescent="0.25">
      <c r="A1409" s="12" t="s">
        <v>3068</v>
      </c>
      <c r="B1409" s="12" t="s">
        <v>3069</v>
      </c>
      <c r="C1409" s="12" t="s">
        <v>110</v>
      </c>
      <c r="D1409" t="s">
        <v>5314</v>
      </c>
      <c r="E1409" s="12" t="s">
        <v>3176</v>
      </c>
      <c r="F1409" s="12" t="s">
        <v>53</v>
      </c>
      <c r="G1409" s="12" t="s">
        <v>5439</v>
      </c>
      <c r="H1409" s="12" t="s">
        <v>3069</v>
      </c>
      <c r="I1409" s="84">
        <v>27002154</v>
      </c>
      <c r="J1409" s="12" t="s">
        <v>662</v>
      </c>
      <c r="L1409" s="12" t="str">
        <f>IF(OR(ISBLANK(tblSites[[#This Row],[Implementing Partner]]), tblSites[[#This Row],[Implementing Partner]]="-"), tblSites[[#This Row],[Site Agency]], tblSites[[#This Row],[Implementing Partner]])</f>
        <v>PARC</v>
      </c>
      <c r="M1409" s="12" t="s">
        <v>55</v>
      </c>
      <c r="N1409" s="12" t="str">
        <f>tblSites[[#This Row],[FinalImplementingPartner]]</f>
        <v>PARC</v>
      </c>
    </row>
    <row r="1410" spans="1:14" x14ac:dyDescent="0.25">
      <c r="A1410" s="12" t="s">
        <v>3070</v>
      </c>
      <c r="B1410" s="12" t="s">
        <v>3071</v>
      </c>
      <c r="C1410" s="12" t="s">
        <v>3072</v>
      </c>
      <c r="D1410" t="s">
        <v>5314</v>
      </c>
      <c r="E1410" s="12" t="s">
        <v>3176</v>
      </c>
      <c r="F1410" s="12" t="s">
        <v>135</v>
      </c>
      <c r="G1410" s="12" t="s">
        <v>5440</v>
      </c>
      <c r="H1410" s="12" t="s">
        <v>3071</v>
      </c>
      <c r="I1410" s="84">
        <v>27002100</v>
      </c>
      <c r="J1410" s="12" t="s">
        <v>662</v>
      </c>
      <c r="K1410" s="12" t="s">
        <v>389</v>
      </c>
      <c r="L1410" s="12" t="str">
        <f>IF(OR(ISBLANK(tblSites[[#This Row],[Implementing Partner]]), tblSites[[#This Row],[Implementing Partner]]="-"), tblSites[[#This Row],[Site Agency]], tblSites[[#This Row],[Implementing Partner]])</f>
        <v>PARC</v>
      </c>
      <c r="M1410" s="12" t="s">
        <v>55</v>
      </c>
      <c r="N1410" s="12" t="str">
        <f>tblSites[[#This Row],[FinalImplementingPartner]]</f>
        <v>PARC</v>
      </c>
    </row>
    <row r="1411" spans="1:14" x14ac:dyDescent="0.25">
      <c r="A1411" s="12" t="s">
        <v>3073</v>
      </c>
      <c r="B1411" s="12" t="s">
        <v>3074</v>
      </c>
      <c r="C1411" s="12" t="s">
        <v>3075</v>
      </c>
      <c r="D1411" t="s">
        <v>5314</v>
      </c>
      <c r="E1411" s="12" t="s">
        <v>3176</v>
      </c>
      <c r="F1411" s="12" t="s">
        <v>135</v>
      </c>
      <c r="G1411" s="12" t="s">
        <v>5440</v>
      </c>
      <c r="H1411" s="12" t="s">
        <v>3074</v>
      </c>
      <c r="I1411" s="84">
        <v>27002100</v>
      </c>
      <c r="J1411" s="12" t="s">
        <v>662</v>
      </c>
      <c r="K1411" s="12" t="s">
        <v>389</v>
      </c>
      <c r="L1411" s="12" t="str">
        <f>IF(OR(ISBLANK(tblSites[[#This Row],[Implementing Partner]]), tblSites[[#This Row],[Implementing Partner]]="-"), tblSites[[#This Row],[Site Agency]], tblSites[[#This Row],[Implementing Partner]])</f>
        <v>PARC</v>
      </c>
      <c r="M1411" s="12" t="s">
        <v>55</v>
      </c>
      <c r="N1411" s="12" t="str">
        <f>tblSites[[#This Row],[FinalImplementingPartner]]</f>
        <v>PARC</v>
      </c>
    </row>
    <row r="1412" spans="1:14" x14ac:dyDescent="0.25">
      <c r="A1412" s="12" t="s">
        <v>877</v>
      </c>
      <c r="B1412" s="12" t="s">
        <v>878</v>
      </c>
      <c r="C1412" s="12" t="s">
        <v>879</v>
      </c>
      <c r="D1412" t="s">
        <v>5314</v>
      </c>
      <c r="E1412" s="12" t="s">
        <v>3176</v>
      </c>
      <c r="F1412" s="12" t="s">
        <v>53</v>
      </c>
      <c r="G1412" s="12" t="s">
        <v>5406</v>
      </c>
      <c r="H1412" s="12" t="s">
        <v>878</v>
      </c>
      <c r="I1412" s="84">
        <v>27002154</v>
      </c>
      <c r="J1412" s="12" t="s">
        <v>5102</v>
      </c>
      <c r="L1412" s="12" t="str">
        <f>IF(OR(ISBLANK(tblSites[[#This Row],[Implementing Partner]]), tblSites[[#This Row],[Implementing Partner]]="-"), tblSites[[#This Row],[Site Agency]], tblSites[[#This Row],[Implementing Partner]])</f>
        <v>No SMA</v>
      </c>
      <c r="M1412" s="12" t="s">
        <v>55</v>
      </c>
      <c r="N1412" s="12" t="str">
        <f>tblSites[[#This Row],[FinalImplementingPartner]]</f>
        <v>No SMA</v>
      </c>
    </row>
    <row r="1413" spans="1:14" x14ac:dyDescent="0.25">
      <c r="A1413" s="12" t="s">
        <v>836</v>
      </c>
      <c r="B1413" s="12" t="s">
        <v>837</v>
      </c>
      <c r="C1413" s="12" t="s">
        <v>838</v>
      </c>
      <c r="D1413" t="s">
        <v>5314</v>
      </c>
      <c r="E1413" s="12" t="s">
        <v>3176</v>
      </c>
      <c r="F1413" s="12" t="s">
        <v>53</v>
      </c>
      <c r="G1413" s="12" t="s">
        <v>5406</v>
      </c>
      <c r="H1413" s="12" t="s">
        <v>837</v>
      </c>
      <c r="I1413" s="84">
        <v>27002154</v>
      </c>
      <c r="J1413" s="12" t="s">
        <v>5102</v>
      </c>
      <c r="L1413" s="12" t="str">
        <f>IF(OR(ISBLANK(tblSites[[#This Row],[Implementing Partner]]), tblSites[[#This Row],[Implementing Partner]]="-"), tblSites[[#This Row],[Site Agency]], tblSites[[#This Row],[Implementing Partner]])</f>
        <v>No SMA</v>
      </c>
      <c r="M1413" s="12" t="s">
        <v>55</v>
      </c>
      <c r="N1413" s="12" t="str">
        <f>tblSites[[#This Row],[FinalImplementingPartner]]</f>
        <v>No SMA</v>
      </c>
    </row>
    <row r="1414" spans="1:14" x14ac:dyDescent="0.25">
      <c r="A1414" s="12" t="s">
        <v>3076</v>
      </c>
      <c r="B1414" s="12" t="s">
        <v>3077</v>
      </c>
      <c r="C1414" s="12" t="s">
        <v>507</v>
      </c>
      <c r="D1414" t="s">
        <v>5314</v>
      </c>
      <c r="E1414" s="12" t="s">
        <v>3176</v>
      </c>
      <c r="F1414" s="12" t="s">
        <v>53</v>
      </c>
      <c r="G1414" s="12" t="s">
        <v>5439</v>
      </c>
      <c r="H1414" s="12" t="s">
        <v>3077</v>
      </c>
      <c r="I1414" s="84">
        <v>27002154</v>
      </c>
      <c r="J1414" s="12" t="s">
        <v>662</v>
      </c>
      <c r="K1414" s="12" t="s">
        <v>389</v>
      </c>
      <c r="L1414" s="12" t="str">
        <f>IF(OR(ISBLANK(tblSites[[#This Row],[Implementing Partner]]), tblSites[[#This Row],[Implementing Partner]]="-"), tblSites[[#This Row],[Site Agency]], tblSites[[#This Row],[Implementing Partner]])</f>
        <v>PARC</v>
      </c>
      <c r="M1414" s="12" t="s">
        <v>55</v>
      </c>
      <c r="N1414" s="12" t="str">
        <f>tblSites[[#This Row],[FinalImplementingPartner]]</f>
        <v>PARC</v>
      </c>
    </row>
    <row r="1415" spans="1:14" x14ac:dyDescent="0.25">
      <c r="A1415" s="12" t="s">
        <v>3078</v>
      </c>
      <c r="B1415" s="12" t="s">
        <v>3079</v>
      </c>
      <c r="C1415" s="12" t="s">
        <v>3080</v>
      </c>
      <c r="D1415" t="s">
        <v>5314</v>
      </c>
      <c r="E1415" s="12" t="s">
        <v>3176</v>
      </c>
      <c r="F1415" s="12" t="s">
        <v>53</v>
      </c>
      <c r="G1415" s="12" t="s">
        <v>5439</v>
      </c>
      <c r="H1415" s="12" t="s">
        <v>3079</v>
      </c>
      <c r="I1415" s="84">
        <v>27002154</v>
      </c>
      <c r="J1415" s="12" t="s">
        <v>662</v>
      </c>
      <c r="K1415" s="12" t="s">
        <v>389</v>
      </c>
      <c r="L1415" s="12" t="str">
        <f>IF(OR(ISBLANK(tblSites[[#This Row],[Implementing Partner]]), tblSites[[#This Row],[Implementing Partner]]="-"), tblSites[[#This Row],[Site Agency]], tblSites[[#This Row],[Implementing Partner]])</f>
        <v>PARC</v>
      </c>
      <c r="M1415" s="12" t="s">
        <v>55</v>
      </c>
      <c r="N1415" s="12" t="str">
        <f>tblSites[[#This Row],[FinalImplementingPartner]]</f>
        <v>PARC</v>
      </c>
    </row>
    <row r="1416" spans="1:14" x14ac:dyDescent="0.25">
      <c r="A1416" s="12" t="s">
        <v>3081</v>
      </c>
      <c r="B1416" s="12" t="s">
        <v>3082</v>
      </c>
      <c r="C1416" s="12" t="s">
        <v>1012</v>
      </c>
      <c r="D1416" t="s">
        <v>5314</v>
      </c>
      <c r="E1416" s="12" t="s">
        <v>3176</v>
      </c>
      <c r="F1416" s="12" t="s">
        <v>135</v>
      </c>
      <c r="G1416" s="12" t="s">
        <v>5440</v>
      </c>
      <c r="H1416" s="12" t="s">
        <v>3082</v>
      </c>
      <c r="I1416" s="84">
        <v>27002100</v>
      </c>
      <c r="J1416" s="12" t="s">
        <v>662</v>
      </c>
      <c r="K1416" s="12" t="s">
        <v>389</v>
      </c>
      <c r="L1416" s="12" t="str">
        <f>IF(OR(ISBLANK(tblSites[[#This Row],[Implementing Partner]]), tblSites[[#This Row],[Implementing Partner]]="-"), tblSites[[#This Row],[Site Agency]], tblSites[[#This Row],[Implementing Partner]])</f>
        <v>PARC</v>
      </c>
      <c r="M1416" s="12" t="s">
        <v>55</v>
      </c>
      <c r="N1416" s="12" t="str">
        <f>tblSites[[#This Row],[FinalImplementingPartner]]</f>
        <v>PARC</v>
      </c>
    </row>
    <row r="1417" spans="1:14" x14ac:dyDescent="0.25">
      <c r="A1417" s="12" t="s">
        <v>3083</v>
      </c>
      <c r="B1417" s="12" t="s">
        <v>3084</v>
      </c>
      <c r="C1417" s="12" t="s">
        <v>3085</v>
      </c>
      <c r="D1417" t="s">
        <v>5314</v>
      </c>
      <c r="E1417" s="12" t="s">
        <v>3176</v>
      </c>
      <c r="F1417" s="12" t="s">
        <v>79</v>
      </c>
      <c r="G1417" s="12" t="s">
        <v>5419</v>
      </c>
      <c r="H1417" s="12" t="s">
        <v>3084</v>
      </c>
      <c r="I1417" s="84">
        <v>27002101</v>
      </c>
      <c r="J1417" s="12" t="s">
        <v>5102</v>
      </c>
      <c r="L1417" s="12" t="str">
        <f>IF(OR(ISBLANK(tblSites[[#This Row],[Implementing Partner]]), tblSites[[#This Row],[Implementing Partner]]="-"), tblSites[[#This Row],[Site Agency]], tblSites[[#This Row],[Implementing Partner]])</f>
        <v>No SMA</v>
      </c>
      <c r="M1417" s="12" t="s">
        <v>55</v>
      </c>
      <c r="N1417" s="12" t="str">
        <f>tblSites[[#This Row],[FinalImplementingPartner]]</f>
        <v>No SMA</v>
      </c>
    </row>
    <row r="1418" spans="1:14" x14ac:dyDescent="0.25">
      <c r="A1418" s="12" t="s">
        <v>3086</v>
      </c>
      <c r="B1418" s="12" t="s">
        <v>2586</v>
      </c>
      <c r="C1418" s="12" t="s">
        <v>3087</v>
      </c>
      <c r="D1418" t="s">
        <v>5314</v>
      </c>
      <c r="E1418" s="12" t="s">
        <v>3176</v>
      </c>
      <c r="F1418" s="12" t="s">
        <v>173</v>
      </c>
      <c r="G1418" s="12" t="s">
        <v>5404</v>
      </c>
      <c r="H1418" s="12" t="s">
        <v>2586</v>
      </c>
      <c r="I1418" s="84">
        <v>27002105</v>
      </c>
      <c r="J1418" s="12" t="s">
        <v>5102</v>
      </c>
      <c r="L1418" s="12" t="str">
        <f>IF(OR(ISBLANK(tblSites[[#This Row],[Implementing Partner]]), tblSites[[#This Row],[Implementing Partner]]="-"), tblSites[[#This Row],[Site Agency]], tblSites[[#This Row],[Implementing Partner]])</f>
        <v>No SMA</v>
      </c>
      <c r="M1418" s="12" t="s">
        <v>55</v>
      </c>
      <c r="N1418" s="12" t="str">
        <f>tblSites[[#This Row],[FinalImplementingPartner]]</f>
        <v>No SMA</v>
      </c>
    </row>
    <row r="1419" spans="1:14" x14ac:dyDescent="0.25">
      <c r="A1419" s="12" t="s">
        <v>3088</v>
      </c>
      <c r="B1419" s="12" t="s">
        <v>3089</v>
      </c>
      <c r="C1419" s="12" t="s">
        <v>3090</v>
      </c>
      <c r="D1419" t="s">
        <v>5314</v>
      </c>
      <c r="E1419" s="12" t="s">
        <v>3176</v>
      </c>
      <c r="F1419" s="12" t="s">
        <v>173</v>
      </c>
      <c r="G1419" s="12" t="s">
        <v>5404</v>
      </c>
      <c r="H1419" s="12" t="s">
        <v>3089</v>
      </c>
      <c r="I1419" s="84">
        <v>27002105</v>
      </c>
      <c r="J1419" s="12" t="s">
        <v>5102</v>
      </c>
      <c r="L1419" s="12" t="str">
        <f>IF(OR(ISBLANK(tblSites[[#This Row],[Implementing Partner]]), tblSites[[#This Row],[Implementing Partner]]="-"), tblSites[[#This Row],[Site Agency]], tblSites[[#This Row],[Implementing Partner]])</f>
        <v>No SMA</v>
      </c>
      <c r="M1419" s="12" t="s">
        <v>55</v>
      </c>
      <c r="N1419" s="12" t="str">
        <f>tblSites[[#This Row],[FinalImplementingPartner]]</f>
        <v>No SMA</v>
      </c>
    </row>
    <row r="1420" spans="1:14" x14ac:dyDescent="0.25">
      <c r="A1420" s="12" t="s">
        <v>3091</v>
      </c>
      <c r="B1420" s="12" t="s">
        <v>3092</v>
      </c>
      <c r="C1420" s="12" t="s">
        <v>3093</v>
      </c>
      <c r="D1420" t="s">
        <v>5314</v>
      </c>
      <c r="E1420" s="12" t="s">
        <v>3176</v>
      </c>
      <c r="F1420" s="12" t="s">
        <v>79</v>
      </c>
      <c r="G1420" s="12" t="s">
        <v>5419</v>
      </c>
      <c r="H1420" s="12" t="s">
        <v>3092</v>
      </c>
      <c r="I1420" s="84">
        <v>27002101</v>
      </c>
      <c r="J1420" s="12" t="s">
        <v>5102</v>
      </c>
      <c r="L1420" s="12" t="str">
        <f>IF(OR(ISBLANK(tblSites[[#This Row],[Implementing Partner]]), tblSites[[#This Row],[Implementing Partner]]="-"), tblSites[[#This Row],[Site Agency]], tblSites[[#This Row],[Implementing Partner]])</f>
        <v>No SMA</v>
      </c>
      <c r="M1420" s="12" t="s">
        <v>55</v>
      </c>
      <c r="N1420" s="12" t="str">
        <f>tblSites[[#This Row],[FinalImplementingPartner]]</f>
        <v>No SMA</v>
      </c>
    </row>
    <row r="1421" spans="1:14" x14ac:dyDescent="0.25">
      <c r="A1421" s="12" t="s">
        <v>3094</v>
      </c>
      <c r="B1421" s="12" t="s">
        <v>3095</v>
      </c>
      <c r="C1421" s="12" t="s">
        <v>3096</v>
      </c>
      <c r="D1421" t="s">
        <v>5314</v>
      </c>
      <c r="E1421" s="12" t="s">
        <v>3176</v>
      </c>
      <c r="F1421" s="12" t="s">
        <v>82</v>
      </c>
      <c r="G1421" s="12" t="s">
        <v>5434</v>
      </c>
      <c r="H1421" s="12" t="s">
        <v>3095</v>
      </c>
      <c r="I1421" s="84">
        <v>27001153</v>
      </c>
      <c r="J1421" s="12" t="s">
        <v>662</v>
      </c>
      <c r="K1421" s="12" t="s">
        <v>389</v>
      </c>
      <c r="L1421" s="12" t="str">
        <f>IF(OR(ISBLANK(tblSites[[#This Row],[Implementing Partner]]), tblSites[[#This Row],[Implementing Partner]]="-"), tblSites[[#This Row],[Site Agency]], tblSites[[#This Row],[Implementing Partner]])</f>
        <v>PARC</v>
      </c>
      <c r="M1421" s="12" t="s">
        <v>55</v>
      </c>
      <c r="N1421" s="12" t="str">
        <f>tblSites[[#This Row],[FinalImplementingPartner]]</f>
        <v>PARC</v>
      </c>
    </row>
    <row r="1422" spans="1:14" x14ac:dyDescent="0.25">
      <c r="A1422" s="12" t="s">
        <v>3097</v>
      </c>
      <c r="B1422" s="12" t="s">
        <v>2124</v>
      </c>
      <c r="C1422" s="12" t="s">
        <v>1137</v>
      </c>
      <c r="D1422" t="s">
        <v>5314</v>
      </c>
      <c r="E1422" s="12" t="s">
        <v>3176</v>
      </c>
      <c r="F1422" s="47" t="s">
        <v>82</v>
      </c>
      <c r="G1422" s="12" t="s">
        <v>5434</v>
      </c>
      <c r="H1422" s="12" t="s">
        <v>2124</v>
      </c>
      <c r="I1422" s="84">
        <v>27001153</v>
      </c>
      <c r="J1422" s="12" t="s">
        <v>662</v>
      </c>
      <c r="K1422" s="12" t="s">
        <v>389</v>
      </c>
      <c r="L1422" s="12" t="str">
        <f>IF(OR(ISBLANK(tblSites[[#This Row],[Implementing Partner]]), tblSites[[#This Row],[Implementing Partner]]="-"), tblSites[[#This Row],[Site Agency]], tblSites[[#This Row],[Implementing Partner]])</f>
        <v>PARC</v>
      </c>
      <c r="M1422" s="12" t="s">
        <v>55</v>
      </c>
      <c r="N1422" s="12" t="str">
        <f>tblSites[[#This Row],[FinalImplementingPartner]]</f>
        <v>PARC</v>
      </c>
    </row>
    <row r="1423" spans="1:14" x14ac:dyDescent="0.25">
      <c r="A1423" s="12" t="s">
        <v>3098</v>
      </c>
      <c r="B1423" s="12" t="s">
        <v>1976</v>
      </c>
      <c r="C1423" s="12" t="s">
        <v>1191</v>
      </c>
      <c r="D1423" t="s">
        <v>5314</v>
      </c>
      <c r="E1423" s="12" t="s">
        <v>3176</v>
      </c>
      <c r="F1423" s="12" t="s">
        <v>82</v>
      </c>
      <c r="G1423" s="12" t="s">
        <v>5434</v>
      </c>
      <c r="H1423" s="12" t="s">
        <v>1976</v>
      </c>
      <c r="I1423" s="84">
        <v>27001153</v>
      </c>
      <c r="J1423" s="12" t="s">
        <v>662</v>
      </c>
      <c r="K1423" s="12" t="s">
        <v>389</v>
      </c>
      <c r="L1423" s="12" t="str">
        <f>IF(OR(ISBLANK(tblSites[[#This Row],[Implementing Partner]]), tblSites[[#This Row],[Implementing Partner]]="-"), tblSites[[#This Row],[Site Agency]], tblSites[[#This Row],[Implementing Partner]])</f>
        <v>PARC</v>
      </c>
      <c r="M1423" s="12" t="s">
        <v>55</v>
      </c>
      <c r="N1423" s="12" t="str">
        <f>tblSites[[#This Row],[FinalImplementingPartner]]</f>
        <v>PARC</v>
      </c>
    </row>
    <row r="1424" spans="1:14" x14ac:dyDescent="0.25">
      <c r="A1424" s="12" t="s">
        <v>3100</v>
      </c>
      <c r="B1424" s="12" t="s">
        <v>3101</v>
      </c>
      <c r="C1424" s="12" t="s">
        <v>3102</v>
      </c>
      <c r="D1424" t="s">
        <v>5314</v>
      </c>
      <c r="E1424" s="12" t="s">
        <v>3176</v>
      </c>
      <c r="F1424" s="12" t="s">
        <v>135</v>
      </c>
      <c r="G1424" s="12" t="s">
        <v>5440</v>
      </c>
      <c r="H1424" s="12" t="s">
        <v>3101</v>
      </c>
      <c r="I1424" s="84">
        <v>27002100</v>
      </c>
      <c r="J1424" s="12" t="s">
        <v>662</v>
      </c>
      <c r="K1424" s="12" t="s">
        <v>389</v>
      </c>
      <c r="L1424" s="12" t="str">
        <f>IF(OR(ISBLANK(tblSites[[#This Row],[Implementing Partner]]), tblSites[[#This Row],[Implementing Partner]]="-"), tblSites[[#This Row],[Site Agency]], tblSites[[#This Row],[Implementing Partner]])</f>
        <v>PARC</v>
      </c>
      <c r="M1424" s="12" t="s">
        <v>55</v>
      </c>
      <c r="N1424" s="12" t="str">
        <f>tblSites[[#This Row],[FinalImplementingPartner]]</f>
        <v>PARC</v>
      </c>
    </row>
    <row r="1425" spans="1:14" x14ac:dyDescent="0.25">
      <c r="A1425" s="12" t="s">
        <v>3103</v>
      </c>
      <c r="B1425" s="12" t="s">
        <v>3104</v>
      </c>
      <c r="C1425" s="12" t="s">
        <v>3105</v>
      </c>
      <c r="D1425" t="s">
        <v>5314</v>
      </c>
      <c r="E1425" s="12" t="s">
        <v>3176</v>
      </c>
      <c r="F1425" s="12" t="s">
        <v>135</v>
      </c>
      <c r="G1425" s="12" t="s">
        <v>5440</v>
      </c>
      <c r="H1425" s="12" t="s">
        <v>3104</v>
      </c>
      <c r="I1425" s="84">
        <v>27002100</v>
      </c>
      <c r="J1425" s="12" t="s">
        <v>662</v>
      </c>
      <c r="K1425" s="12" t="s">
        <v>389</v>
      </c>
      <c r="L1425" s="12" t="str">
        <f>IF(OR(ISBLANK(tblSites[[#This Row],[Implementing Partner]]), tblSites[[#This Row],[Implementing Partner]]="-"), tblSites[[#This Row],[Site Agency]], tblSites[[#This Row],[Implementing Partner]])</f>
        <v>PARC</v>
      </c>
      <c r="M1425" s="12" t="s">
        <v>55</v>
      </c>
      <c r="N1425" s="12" t="str">
        <f>tblSites[[#This Row],[FinalImplementingPartner]]</f>
        <v>PARC</v>
      </c>
    </row>
    <row r="1426" spans="1:14" x14ac:dyDescent="0.25">
      <c r="A1426" s="12" t="s">
        <v>3106</v>
      </c>
      <c r="B1426" s="12" t="s">
        <v>3107</v>
      </c>
      <c r="C1426" s="12" t="s">
        <v>3108</v>
      </c>
      <c r="D1426" t="s">
        <v>5314</v>
      </c>
      <c r="E1426" s="12" t="s">
        <v>3176</v>
      </c>
      <c r="F1426" s="12" t="s">
        <v>82</v>
      </c>
      <c r="G1426" s="12" t="s">
        <v>5434</v>
      </c>
      <c r="H1426" s="12" t="s">
        <v>3107</v>
      </c>
      <c r="I1426" s="84">
        <v>27001153</v>
      </c>
      <c r="J1426" s="12" t="s">
        <v>662</v>
      </c>
      <c r="K1426" s="12" t="s">
        <v>389</v>
      </c>
      <c r="L1426" s="12" t="str">
        <f>IF(OR(ISBLANK(tblSites[[#This Row],[Implementing Partner]]), tblSites[[#This Row],[Implementing Partner]]="-"), tblSites[[#This Row],[Site Agency]], tblSites[[#This Row],[Implementing Partner]])</f>
        <v>PARC</v>
      </c>
      <c r="M1426" s="12" t="s">
        <v>55</v>
      </c>
      <c r="N1426" s="12" t="str">
        <f>tblSites[[#This Row],[FinalImplementingPartner]]</f>
        <v>PARC</v>
      </c>
    </row>
    <row r="1427" spans="1:14" x14ac:dyDescent="0.25">
      <c r="A1427" s="12" t="s">
        <v>3109</v>
      </c>
      <c r="B1427" s="12" t="s">
        <v>3110</v>
      </c>
      <c r="C1427" s="12" t="s">
        <v>3111</v>
      </c>
      <c r="D1427" t="s">
        <v>5314</v>
      </c>
      <c r="E1427" s="12" t="s">
        <v>3176</v>
      </c>
      <c r="F1427" s="12" t="s">
        <v>53</v>
      </c>
      <c r="G1427" s="12" t="s">
        <v>5439</v>
      </c>
      <c r="H1427" s="12" t="s">
        <v>3110</v>
      </c>
      <c r="I1427" s="84">
        <v>27002154</v>
      </c>
      <c r="J1427" s="12" t="s">
        <v>662</v>
      </c>
      <c r="K1427" s="12" t="s">
        <v>389</v>
      </c>
      <c r="L1427" s="12" t="str">
        <f>IF(OR(ISBLANK(tblSites[[#This Row],[Implementing Partner]]), tblSites[[#This Row],[Implementing Partner]]="-"), tblSites[[#This Row],[Site Agency]], tblSites[[#This Row],[Implementing Partner]])</f>
        <v>PARC</v>
      </c>
      <c r="M1427" s="12" t="s">
        <v>55</v>
      </c>
      <c r="N1427" s="12" t="str">
        <f>tblSites[[#This Row],[FinalImplementingPartner]]</f>
        <v>PARC</v>
      </c>
    </row>
    <row r="1428" spans="1:14" x14ac:dyDescent="0.25">
      <c r="A1428" s="12" t="s">
        <v>3112</v>
      </c>
      <c r="B1428" s="12" t="s">
        <v>3113</v>
      </c>
      <c r="C1428" s="12" t="s">
        <v>3114</v>
      </c>
      <c r="D1428" t="s">
        <v>5314</v>
      </c>
      <c r="E1428" s="12" t="s">
        <v>3176</v>
      </c>
      <c r="F1428" s="12" t="s">
        <v>53</v>
      </c>
      <c r="G1428" s="12" t="s">
        <v>5439</v>
      </c>
      <c r="H1428" s="12" t="s">
        <v>3113</v>
      </c>
      <c r="I1428" s="84">
        <v>27002154</v>
      </c>
      <c r="J1428" s="12" t="s">
        <v>662</v>
      </c>
      <c r="K1428" s="12" t="s">
        <v>389</v>
      </c>
      <c r="L1428" s="12" t="str">
        <f>IF(OR(ISBLANK(tblSites[[#This Row],[Implementing Partner]]), tblSites[[#This Row],[Implementing Partner]]="-"), tblSites[[#This Row],[Site Agency]], tblSites[[#This Row],[Implementing Partner]])</f>
        <v>PARC</v>
      </c>
      <c r="M1428" s="12" t="s">
        <v>55</v>
      </c>
      <c r="N1428" s="12" t="str">
        <f>tblSites[[#This Row],[FinalImplementingPartner]]</f>
        <v>PARC</v>
      </c>
    </row>
    <row r="1429" spans="1:14" x14ac:dyDescent="0.25">
      <c r="A1429" s="12" t="s">
        <v>3115</v>
      </c>
      <c r="B1429" s="12" t="s">
        <v>3116</v>
      </c>
      <c r="C1429" s="12" t="s">
        <v>3117</v>
      </c>
      <c r="D1429" t="s">
        <v>5314</v>
      </c>
      <c r="E1429" s="12" t="s">
        <v>3176</v>
      </c>
      <c r="F1429" s="12" t="s">
        <v>53</v>
      </c>
      <c r="G1429" s="12" t="s">
        <v>5439</v>
      </c>
      <c r="H1429" s="12" t="s">
        <v>3116</v>
      </c>
      <c r="I1429" s="84">
        <v>27002154</v>
      </c>
      <c r="J1429" s="12" t="s">
        <v>662</v>
      </c>
      <c r="K1429" s="12" t="s">
        <v>389</v>
      </c>
      <c r="L1429" s="12" t="str">
        <f>IF(OR(ISBLANK(tblSites[[#This Row],[Implementing Partner]]), tblSites[[#This Row],[Implementing Partner]]="-"), tblSites[[#This Row],[Site Agency]], tblSites[[#This Row],[Implementing Partner]])</f>
        <v>PARC</v>
      </c>
      <c r="M1429" s="12" t="s">
        <v>55</v>
      </c>
      <c r="N1429" s="12" t="str">
        <f>tblSites[[#This Row],[FinalImplementingPartner]]</f>
        <v>PARC</v>
      </c>
    </row>
    <row r="1430" spans="1:14" x14ac:dyDescent="0.25">
      <c r="A1430" s="12" t="s">
        <v>3118</v>
      </c>
      <c r="B1430" s="12" t="s">
        <v>3119</v>
      </c>
      <c r="C1430" s="12" t="s">
        <v>3120</v>
      </c>
      <c r="D1430" t="s">
        <v>5314</v>
      </c>
      <c r="E1430" s="12" t="s">
        <v>3176</v>
      </c>
      <c r="F1430" s="12" t="s">
        <v>53</v>
      </c>
      <c r="G1430" s="12" t="s">
        <v>5439</v>
      </c>
      <c r="H1430" s="12" t="s">
        <v>3119</v>
      </c>
      <c r="I1430" s="84">
        <v>27002154</v>
      </c>
      <c r="J1430" s="12" t="s">
        <v>662</v>
      </c>
      <c r="K1430" s="12" t="s">
        <v>389</v>
      </c>
      <c r="L1430" s="12" t="str">
        <f>IF(OR(ISBLANK(tblSites[[#This Row],[Implementing Partner]]), tblSites[[#This Row],[Implementing Partner]]="-"), tblSites[[#This Row],[Site Agency]], tblSites[[#This Row],[Implementing Partner]])</f>
        <v>PARC</v>
      </c>
      <c r="M1430" s="12" t="s">
        <v>55</v>
      </c>
      <c r="N1430" s="12" t="str">
        <f>tblSites[[#This Row],[FinalImplementingPartner]]</f>
        <v>PARC</v>
      </c>
    </row>
    <row r="1431" spans="1:14" x14ac:dyDescent="0.25">
      <c r="A1431" s="12" t="s">
        <v>3121</v>
      </c>
      <c r="B1431" s="12" t="s">
        <v>3122</v>
      </c>
      <c r="C1431" s="12" t="s">
        <v>3123</v>
      </c>
      <c r="D1431" t="s">
        <v>5314</v>
      </c>
      <c r="E1431" s="12" t="s">
        <v>3176</v>
      </c>
      <c r="F1431" s="12" t="s">
        <v>53</v>
      </c>
      <c r="G1431" s="12" t="s">
        <v>5439</v>
      </c>
      <c r="H1431" s="12" t="s">
        <v>3122</v>
      </c>
      <c r="I1431" s="84">
        <v>27002154</v>
      </c>
      <c r="J1431" s="12" t="s">
        <v>662</v>
      </c>
      <c r="K1431" s="12" t="s">
        <v>389</v>
      </c>
      <c r="L1431" s="12" t="str">
        <f>IF(OR(ISBLANK(tblSites[[#This Row],[Implementing Partner]]), tblSites[[#This Row],[Implementing Partner]]="-"), tblSites[[#This Row],[Site Agency]], tblSites[[#This Row],[Implementing Partner]])</f>
        <v>PARC</v>
      </c>
      <c r="M1431" s="12" t="s">
        <v>55</v>
      </c>
      <c r="N1431" s="12" t="str">
        <f>tblSites[[#This Row],[FinalImplementingPartner]]</f>
        <v>PARC</v>
      </c>
    </row>
    <row r="1432" spans="1:14" x14ac:dyDescent="0.25">
      <c r="A1432" s="12" t="s">
        <v>3124</v>
      </c>
      <c r="B1432" s="12" t="s">
        <v>3125</v>
      </c>
      <c r="C1432" s="12" t="s">
        <v>3126</v>
      </c>
      <c r="D1432" t="s">
        <v>5314</v>
      </c>
      <c r="E1432" s="12" t="s">
        <v>3176</v>
      </c>
      <c r="F1432" s="12" t="s">
        <v>82</v>
      </c>
      <c r="G1432" s="12" t="s">
        <v>5434</v>
      </c>
      <c r="H1432" s="12" t="s">
        <v>3125</v>
      </c>
      <c r="I1432" s="84">
        <v>27001153</v>
      </c>
      <c r="J1432" s="12" t="s">
        <v>662</v>
      </c>
      <c r="K1432" s="12" t="s">
        <v>389</v>
      </c>
      <c r="L1432" s="12" t="str">
        <f>IF(OR(ISBLANK(tblSites[[#This Row],[Implementing Partner]]), tblSites[[#This Row],[Implementing Partner]]="-"), tblSites[[#This Row],[Site Agency]], tblSites[[#This Row],[Implementing Partner]])</f>
        <v>PARC</v>
      </c>
      <c r="M1432" s="12" t="s">
        <v>55</v>
      </c>
      <c r="N1432" s="12" t="str">
        <f>tblSites[[#This Row],[FinalImplementingPartner]]</f>
        <v>PARC</v>
      </c>
    </row>
    <row r="1433" spans="1:14" x14ac:dyDescent="0.25">
      <c r="A1433" s="12" t="s">
        <v>3127</v>
      </c>
      <c r="B1433" s="12" t="s">
        <v>3128</v>
      </c>
      <c r="C1433" s="12" t="s">
        <v>3129</v>
      </c>
      <c r="D1433" t="s">
        <v>5314</v>
      </c>
      <c r="E1433" s="12" t="s">
        <v>3176</v>
      </c>
      <c r="F1433" s="12" t="s">
        <v>135</v>
      </c>
      <c r="G1433" s="12" t="s">
        <v>5440</v>
      </c>
      <c r="H1433" s="12" t="s">
        <v>3128</v>
      </c>
      <c r="I1433" s="84">
        <v>27002100</v>
      </c>
      <c r="J1433" s="12" t="s">
        <v>662</v>
      </c>
      <c r="K1433" s="12" t="s">
        <v>389</v>
      </c>
      <c r="L1433" s="12" t="str">
        <f>IF(OR(ISBLANK(tblSites[[#This Row],[Implementing Partner]]), tblSites[[#This Row],[Implementing Partner]]="-"), tblSites[[#This Row],[Site Agency]], tblSites[[#This Row],[Implementing Partner]])</f>
        <v>PARC</v>
      </c>
      <c r="M1433" s="12" t="s">
        <v>55</v>
      </c>
      <c r="N1433" s="12" t="str">
        <f>tblSites[[#This Row],[FinalImplementingPartner]]</f>
        <v>PARC</v>
      </c>
    </row>
    <row r="1434" spans="1:14" x14ac:dyDescent="0.25">
      <c r="A1434" s="12" t="s">
        <v>3130</v>
      </c>
      <c r="B1434" s="12" t="s">
        <v>1193</v>
      </c>
      <c r="C1434" s="12" t="s">
        <v>3131</v>
      </c>
      <c r="D1434" t="s">
        <v>5314</v>
      </c>
      <c r="E1434" s="12" t="s">
        <v>3176</v>
      </c>
      <c r="F1434" s="12" t="s">
        <v>53</v>
      </c>
      <c r="G1434" s="12" t="s">
        <v>5439</v>
      </c>
      <c r="H1434" s="12" t="s">
        <v>1193</v>
      </c>
      <c r="I1434" s="84">
        <v>27002154</v>
      </c>
      <c r="J1434" s="12" t="s">
        <v>662</v>
      </c>
      <c r="K1434" s="12" t="s">
        <v>389</v>
      </c>
      <c r="L1434" s="12" t="str">
        <f>IF(OR(ISBLANK(tblSites[[#This Row],[Implementing Partner]]), tblSites[[#This Row],[Implementing Partner]]="-"), tblSites[[#This Row],[Site Agency]], tblSites[[#This Row],[Implementing Partner]])</f>
        <v>PARC</v>
      </c>
      <c r="M1434" s="12" t="s">
        <v>55</v>
      </c>
      <c r="N1434" s="12" t="str">
        <f>tblSites[[#This Row],[FinalImplementingPartner]]</f>
        <v>PARC</v>
      </c>
    </row>
    <row r="1435" spans="1:14" x14ac:dyDescent="0.25">
      <c r="A1435" s="12" t="s">
        <v>3756</v>
      </c>
      <c r="B1435" s="12" t="s">
        <v>4350</v>
      </c>
      <c r="C1435" s="12" t="s">
        <v>4888</v>
      </c>
      <c r="D1435" t="s">
        <v>5314</v>
      </c>
      <c r="E1435" s="12" t="s">
        <v>3176</v>
      </c>
      <c r="F1435" s="12" t="s">
        <v>173</v>
      </c>
      <c r="G1435" s="12" t="s">
        <v>5404</v>
      </c>
      <c r="H1435" s="12" t="s">
        <v>4350</v>
      </c>
      <c r="I1435" s="84">
        <v>27002105</v>
      </c>
      <c r="J1435" s="12" t="s">
        <v>5102</v>
      </c>
      <c r="L1435" s="12" t="str">
        <f>IF(OR(ISBLANK(tblSites[[#This Row],[Implementing Partner]]), tblSites[[#This Row],[Implementing Partner]]="-"), tblSites[[#This Row],[Site Agency]], tblSites[[#This Row],[Implementing Partner]])</f>
        <v>No SMA</v>
      </c>
      <c r="M1435" s="12" t="s">
        <v>55</v>
      </c>
      <c r="N1435" s="12" t="str">
        <f>tblSites[[#This Row],[FinalImplementingPartner]]</f>
        <v>No SMA</v>
      </c>
    </row>
    <row r="1436" spans="1:14" x14ac:dyDescent="0.25">
      <c r="A1436" s="12" t="s">
        <v>3757</v>
      </c>
      <c r="B1436" s="12" t="s">
        <v>4351</v>
      </c>
      <c r="C1436" s="12" t="s">
        <v>4889</v>
      </c>
      <c r="D1436" t="s">
        <v>5314</v>
      </c>
      <c r="E1436" s="12" t="s">
        <v>3176</v>
      </c>
      <c r="F1436" s="12" t="s">
        <v>79</v>
      </c>
      <c r="G1436" s="12" t="s">
        <v>5419</v>
      </c>
      <c r="H1436" s="12" t="s">
        <v>4351</v>
      </c>
      <c r="I1436" s="84">
        <v>27002101</v>
      </c>
      <c r="J1436" s="12" t="s">
        <v>5102</v>
      </c>
      <c r="L1436" s="12" t="str">
        <f>IF(OR(ISBLANK(tblSites[[#This Row],[Implementing Partner]]), tblSites[[#This Row],[Implementing Partner]]="-"), tblSites[[#This Row],[Site Agency]], tblSites[[#This Row],[Implementing Partner]])</f>
        <v>No SMA</v>
      </c>
      <c r="M1436" s="12" t="s">
        <v>55</v>
      </c>
      <c r="N1436" s="12" t="str">
        <f>tblSites[[#This Row],[FinalImplementingPartner]]</f>
        <v>No SMA</v>
      </c>
    </row>
    <row r="1437" spans="1:14" x14ac:dyDescent="0.25">
      <c r="A1437" s="12" t="s">
        <v>3758</v>
      </c>
      <c r="B1437" s="12" t="s">
        <v>4352</v>
      </c>
      <c r="C1437" s="12" t="s">
        <v>2068</v>
      </c>
      <c r="D1437" t="s">
        <v>5314</v>
      </c>
      <c r="E1437" s="12" t="s">
        <v>3176</v>
      </c>
      <c r="F1437" t="s">
        <v>53</v>
      </c>
      <c r="G1437" s="12" t="s">
        <v>5413</v>
      </c>
      <c r="H1437" s="12" t="s">
        <v>4352</v>
      </c>
      <c r="I1437" s="84">
        <v>27002154</v>
      </c>
      <c r="J1437" s="12" t="s">
        <v>54</v>
      </c>
      <c r="L1437" s="12" t="str">
        <f>IF(OR(ISBLANK(tblSites[[#This Row],[Implementing Partner]]), tblSites[[#This Row],[Implementing Partner]]="-"), tblSites[[#This Row],[Site Agency]], tblSites[[#This Row],[Implementing Partner]])</f>
        <v>PHC</v>
      </c>
      <c r="M1437" s="12" t="s">
        <v>55</v>
      </c>
      <c r="N1437" s="12" t="str">
        <f>tblSites[[#This Row],[FinalImplementingPartner]]</f>
        <v>PHC</v>
      </c>
    </row>
    <row r="1438" spans="1:14" x14ac:dyDescent="0.25">
      <c r="A1438" s="12" t="s">
        <v>3759</v>
      </c>
      <c r="B1438" s="12" t="s">
        <v>4353</v>
      </c>
      <c r="C1438" s="12" t="s">
        <v>4890</v>
      </c>
      <c r="D1438" t="s">
        <v>5314</v>
      </c>
      <c r="E1438" s="12" t="s">
        <v>3176</v>
      </c>
      <c r="F1438" s="12" t="s">
        <v>53</v>
      </c>
      <c r="G1438" s="12" t="s">
        <v>5413</v>
      </c>
      <c r="H1438" s="12" t="s">
        <v>4353</v>
      </c>
      <c r="I1438" s="84">
        <v>27002154</v>
      </c>
      <c r="J1438" s="12" t="s">
        <v>54</v>
      </c>
      <c r="K1438" s="12" t="s">
        <v>389</v>
      </c>
      <c r="L1438" s="12" t="str">
        <f>IF(OR(ISBLANK(tblSites[[#This Row],[Implementing Partner]]), tblSites[[#This Row],[Implementing Partner]]="-"), tblSites[[#This Row],[Site Agency]], tblSites[[#This Row],[Implementing Partner]])</f>
        <v>PHC</v>
      </c>
      <c r="M1438" s="12" t="s">
        <v>55</v>
      </c>
      <c r="N1438" s="12" t="str">
        <f>tblSites[[#This Row],[FinalImplementingPartner]]</f>
        <v>PHC</v>
      </c>
    </row>
    <row r="1439" spans="1:14" x14ac:dyDescent="0.25">
      <c r="A1439" s="12" t="s">
        <v>3760</v>
      </c>
      <c r="B1439" s="12" t="s">
        <v>4354</v>
      </c>
      <c r="C1439" s="12" t="s">
        <v>4891</v>
      </c>
      <c r="D1439" t="s">
        <v>5314</v>
      </c>
      <c r="E1439" s="12" t="s">
        <v>3176</v>
      </c>
      <c r="F1439" s="12" t="s">
        <v>135</v>
      </c>
      <c r="G1439" s="12" t="s">
        <v>5440</v>
      </c>
      <c r="H1439" s="12" t="s">
        <v>4354</v>
      </c>
      <c r="I1439" s="84">
        <v>27002100</v>
      </c>
      <c r="J1439" s="12" t="s">
        <v>662</v>
      </c>
      <c r="K1439" s="12" t="s">
        <v>389</v>
      </c>
      <c r="L1439" s="12" t="str">
        <f>IF(OR(ISBLANK(tblSites[[#This Row],[Implementing Partner]]), tblSites[[#This Row],[Implementing Partner]]="-"), tblSites[[#This Row],[Site Agency]], tblSites[[#This Row],[Implementing Partner]])</f>
        <v>PARC</v>
      </c>
      <c r="M1439" s="12" t="s">
        <v>55</v>
      </c>
      <c r="N1439" s="12" t="str">
        <f>tblSites[[#This Row],[FinalImplementingPartner]]</f>
        <v>PARC</v>
      </c>
    </row>
    <row r="1440" spans="1:14" x14ac:dyDescent="0.25">
      <c r="A1440" s="12" t="s">
        <v>3761</v>
      </c>
      <c r="B1440" s="12" t="s">
        <v>4355</v>
      </c>
      <c r="C1440" s="12" t="s">
        <v>4892</v>
      </c>
      <c r="D1440" t="s">
        <v>5314</v>
      </c>
      <c r="E1440" s="12" t="s">
        <v>3176</v>
      </c>
      <c r="F1440" s="12" t="s">
        <v>53</v>
      </c>
      <c r="G1440" s="12" t="s">
        <v>5413</v>
      </c>
      <c r="H1440" s="12" t="s">
        <v>4355</v>
      </c>
      <c r="I1440" s="84">
        <v>27002154</v>
      </c>
      <c r="J1440" s="12" t="s">
        <v>54</v>
      </c>
      <c r="L1440" s="12" t="str">
        <f>IF(OR(ISBLANK(tblSites[[#This Row],[Implementing Partner]]), tblSites[[#This Row],[Implementing Partner]]="-"), tblSites[[#This Row],[Site Agency]], tblSites[[#This Row],[Implementing Partner]])</f>
        <v>PHC</v>
      </c>
      <c r="M1440" s="12" t="s">
        <v>55</v>
      </c>
      <c r="N1440" s="12" t="str">
        <f>tblSites[[#This Row],[FinalImplementingPartner]]</f>
        <v>PHC</v>
      </c>
    </row>
    <row r="1441" spans="1:14" x14ac:dyDescent="0.25">
      <c r="A1441" s="12" t="s">
        <v>3762</v>
      </c>
      <c r="B1441" s="12" t="s">
        <v>4356</v>
      </c>
      <c r="C1441" s="12" t="s">
        <v>4893</v>
      </c>
      <c r="D1441" t="s">
        <v>5314</v>
      </c>
      <c r="E1441" s="12" t="s">
        <v>3176</v>
      </c>
      <c r="F1441" s="12" t="s">
        <v>82</v>
      </c>
      <c r="G1441" s="12" t="s">
        <v>5428</v>
      </c>
      <c r="H1441" s="12" t="s">
        <v>4356</v>
      </c>
      <c r="I1441" s="84">
        <v>27001153</v>
      </c>
      <c r="J1441" s="12" t="s">
        <v>5102</v>
      </c>
      <c r="L1441" s="12" t="str">
        <f>IF(OR(ISBLANK(tblSites[[#This Row],[Implementing Partner]]), tblSites[[#This Row],[Implementing Partner]]="-"), tblSites[[#This Row],[Site Agency]], tblSites[[#This Row],[Implementing Partner]])</f>
        <v>No SMA</v>
      </c>
      <c r="M1441" s="12" t="s">
        <v>55</v>
      </c>
      <c r="N1441" s="12" t="str">
        <f>tblSites[[#This Row],[FinalImplementingPartner]]</f>
        <v>No SMA</v>
      </c>
    </row>
    <row r="1442" spans="1:14" x14ac:dyDescent="0.25">
      <c r="A1442" s="12" t="s">
        <v>3763</v>
      </c>
      <c r="B1442" s="12" t="s">
        <v>4357</v>
      </c>
      <c r="C1442" s="12" t="s">
        <v>4894</v>
      </c>
      <c r="D1442" t="s">
        <v>5314</v>
      </c>
      <c r="E1442" s="12" t="s">
        <v>3176</v>
      </c>
      <c r="F1442" s="12" t="s">
        <v>53</v>
      </c>
      <c r="G1442" s="12" t="s">
        <v>5406</v>
      </c>
      <c r="H1442" s="12" t="s">
        <v>4357</v>
      </c>
      <c r="I1442" s="84">
        <v>27002154</v>
      </c>
      <c r="J1442" s="12" t="s">
        <v>5102</v>
      </c>
      <c r="L1442" s="12" t="str">
        <f>IF(OR(ISBLANK(tblSites[[#This Row],[Implementing Partner]]), tblSites[[#This Row],[Implementing Partner]]="-"), tblSites[[#This Row],[Site Agency]], tblSites[[#This Row],[Implementing Partner]])</f>
        <v>No SMA</v>
      </c>
      <c r="M1442" s="12" t="s">
        <v>55</v>
      </c>
      <c r="N1442" s="12" t="str">
        <f>tblSites[[#This Row],[FinalImplementingPartner]]</f>
        <v>No SMA</v>
      </c>
    </row>
    <row r="1443" spans="1:14" x14ac:dyDescent="0.25">
      <c r="A1443" s="12" t="s">
        <v>3764</v>
      </c>
      <c r="B1443" s="12" t="s">
        <v>4358</v>
      </c>
      <c r="C1443" s="12" t="s">
        <v>401</v>
      </c>
      <c r="D1443" t="s">
        <v>5314</v>
      </c>
      <c r="E1443" s="12" t="s">
        <v>3176</v>
      </c>
      <c r="F1443" s="12" t="s">
        <v>53</v>
      </c>
      <c r="G1443" s="12" t="s">
        <v>5406</v>
      </c>
      <c r="H1443" s="12" t="s">
        <v>4358</v>
      </c>
      <c r="I1443" s="84">
        <v>27002154</v>
      </c>
      <c r="J1443" s="12" t="s">
        <v>5102</v>
      </c>
      <c r="L1443" s="12" t="str">
        <f>IF(OR(ISBLANK(tblSites[[#This Row],[Implementing Partner]]), tblSites[[#This Row],[Implementing Partner]]="-"), tblSites[[#This Row],[Site Agency]], tblSites[[#This Row],[Implementing Partner]])</f>
        <v>No SMA</v>
      </c>
      <c r="M1443" s="12" t="s">
        <v>55</v>
      </c>
      <c r="N1443" s="12" t="str">
        <f>tblSites[[#This Row],[FinalImplementingPartner]]</f>
        <v>No SMA</v>
      </c>
    </row>
    <row r="1444" spans="1:14" x14ac:dyDescent="0.25">
      <c r="A1444" s="12" t="s">
        <v>3765</v>
      </c>
      <c r="B1444" s="12" t="s">
        <v>4359</v>
      </c>
      <c r="C1444" s="12" t="s">
        <v>4895</v>
      </c>
      <c r="D1444" t="s">
        <v>5314</v>
      </c>
      <c r="E1444" s="12" t="s">
        <v>3176</v>
      </c>
      <c r="F1444" s="12" t="s">
        <v>53</v>
      </c>
      <c r="G1444" s="12" t="s">
        <v>5406</v>
      </c>
      <c r="H1444" s="12" t="s">
        <v>4359</v>
      </c>
      <c r="I1444" s="84">
        <v>27002154</v>
      </c>
      <c r="J1444" s="12" t="s">
        <v>5102</v>
      </c>
      <c r="L1444" s="12" t="str">
        <f>IF(OR(ISBLANK(tblSites[[#This Row],[Implementing Partner]]), tblSites[[#This Row],[Implementing Partner]]="-"), tblSites[[#This Row],[Site Agency]], tblSites[[#This Row],[Implementing Partner]])</f>
        <v>No SMA</v>
      </c>
      <c r="M1444" s="12" t="s">
        <v>55</v>
      </c>
      <c r="N1444" s="12" t="str">
        <f>tblSites[[#This Row],[FinalImplementingPartner]]</f>
        <v>No SMA</v>
      </c>
    </row>
    <row r="1445" spans="1:14" x14ac:dyDescent="0.25">
      <c r="A1445" s="12" t="s">
        <v>3766</v>
      </c>
      <c r="B1445" s="12" t="s">
        <v>4360</v>
      </c>
      <c r="C1445" s="12" t="s">
        <v>4896</v>
      </c>
      <c r="D1445" t="s">
        <v>5314</v>
      </c>
      <c r="E1445" s="12" t="s">
        <v>3176</v>
      </c>
      <c r="F1445" s="12" t="s">
        <v>53</v>
      </c>
      <c r="G1445" s="12" t="s">
        <v>5406</v>
      </c>
      <c r="H1445" s="12" t="s">
        <v>4360</v>
      </c>
      <c r="I1445" s="84">
        <v>27002154</v>
      </c>
      <c r="J1445" s="12" t="s">
        <v>5102</v>
      </c>
      <c r="L1445" s="12" t="str">
        <f>IF(OR(ISBLANK(tblSites[[#This Row],[Implementing Partner]]), tblSites[[#This Row],[Implementing Partner]]="-"), tblSites[[#This Row],[Site Agency]], tblSites[[#This Row],[Implementing Partner]])</f>
        <v>No SMA</v>
      </c>
      <c r="M1445" s="12" t="s">
        <v>55</v>
      </c>
      <c r="N1445" s="12" t="str">
        <f>tblSites[[#This Row],[FinalImplementingPartner]]</f>
        <v>No SMA</v>
      </c>
    </row>
    <row r="1446" spans="1:14" x14ac:dyDescent="0.25">
      <c r="A1446" s="12" t="s">
        <v>3767</v>
      </c>
      <c r="B1446" s="12" t="s">
        <v>4361</v>
      </c>
      <c r="C1446" s="12" t="s">
        <v>4838</v>
      </c>
      <c r="D1446" t="s">
        <v>5314</v>
      </c>
      <c r="E1446" s="12" t="s">
        <v>3176</v>
      </c>
      <c r="F1446" s="12" t="s">
        <v>135</v>
      </c>
      <c r="G1446" s="12" t="s">
        <v>5440</v>
      </c>
      <c r="H1446" s="12" t="s">
        <v>4361</v>
      </c>
      <c r="I1446" s="84">
        <v>27002100</v>
      </c>
      <c r="J1446" s="12" t="s">
        <v>662</v>
      </c>
      <c r="L1446" s="12" t="str">
        <f>IF(OR(ISBLANK(tblSites[[#This Row],[Implementing Partner]]), tblSites[[#This Row],[Implementing Partner]]="-"), tblSites[[#This Row],[Site Agency]], tblSites[[#This Row],[Implementing Partner]])</f>
        <v>PARC</v>
      </c>
      <c r="M1446" s="12" t="s">
        <v>55</v>
      </c>
      <c r="N1446" s="12" t="str">
        <f>tblSites[[#This Row],[FinalImplementingPartner]]</f>
        <v>PARC</v>
      </c>
    </row>
    <row r="1447" spans="1:14" x14ac:dyDescent="0.25">
      <c r="A1447" s="12" t="s">
        <v>3768</v>
      </c>
      <c r="B1447" s="12" t="s">
        <v>4362</v>
      </c>
      <c r="C1447" s="12" t="s">
        <v>4897</v>
      </c>
      <c r="D1447" t="s">
        <v>5314</v>
      </c>
      <c r="E1447" s="12" t="s">
        <v>3176</v>
      </c>
      <c r="F1447" s="12" t="s">
        <v>53</v>
      </c>
      <c r="G1447" s="12" t="s">
        <v>5441</v>
      </c>
      <c r="H1447" s="12" t="s">
        <v>4362</v>
      </c>
      <c r="I1447" s="84">
        <v>27002154</v>
      </c>
      <c r="J1447" s="47" t="s">
        <v>34</v>
      </c>
      <c r="L1447" s="12" t="str">
        <f>IF(OR(ISBLANK(tblSites[[#This Row],[Implementing Partner]]), tblSites[[#This Row],[Implementing Partner]]="-"), tblSites[[#This Row],[Site Agency]], tblSites[[#This Row],[Implementing Partner]])</f>
        <v>DRC</v>
      </c>
      <c r="M1447" s="12" t="s">
        <v>55</v>
      </c>
      <c r="N1447" s="12" t="str">
        <f>tblSites[[#This Row],[FinalImplementingPartner]]</f>
        <v>DRC</v>
      </c>
    </row>
    <row r="1448" spans="1:14" x14ac:dyDescent="0.25">
      <c r="A1448" s="12" t="s">
        <v>3769</v>
      </c>
      <c r="B1448" s="12" t="s">
        <v>1268</v>
      </c>
      <c r="C1448" s="12" t="s">
        <v>1269</v>
      </c>
      <c r="D1448" t="s">
        <v>5314</v>
      </c>
      <c r="E1448" s="12" t="s">
        <v>3176</v>
      </c>
      <c r="F1448" s="12" t="s">
        <v>135</v>
      </c>
      <c r="G1448" s="12" t="s">
        <v>5440</v>
      </c>
      <c r="H1448" s="12" t="s">
        <v>1268</v>
      </c>
      <c r="I1448" s="84">
        <v>27002100</v>
      </c>
      <c r="J1448" s="12" t="s">
        <v>662</v>
      </c>
      <c r="L1448" s="12" t="str">
        <f>IF(OR(ISBLANK(tblSites[[#This Row],[Implementing Partner]]), tblSites[[#This Row],[Implementing Partner]]="-"), tblSites[[#This Row],[Site Agency]], tblSites[[#This Row],[Implementing Partner]])</f>
        <v>PARC</v>
      </c>
      <c r="M1448" s="12" t="s">
        <v>55</v>
      </c>
      <c r="N1448" s="12" t="str">
        <f>tblSites[[#This Row],[FinalImplementingPartner]]</f>
        <v>PARC</v>
      </c>
    </row>
    <row r="1449" spans="1:14" x14ac:dyDescent="0.25">
      <c r="A1449" s="12" t="s">
        <v>3770</v>
      </c>
      <c r="B1449" s="12" t="s">
        <v>4363</v>
      </c>
      <c r="C1449" s="12" t="s">
        <v>4898</v>
      </c>
      <c r="D1449" t="s">
        <v>5314</v>
      </c>
      <c r="E1449" s="12" t="s">
        <v>3176</v>
      </c>
      <c r="F1449" s="12" t="s">
        <v>79</v>
      </c>
      <c r="G1449" s="12" t="s">
        <v>5419</v>
      </c>
      <c r="H1449" s="12" t="s">
        <v>4363</v>
      </c>
      <c r="I1449" s="84">
        <v>27002101</v>
      </c>
      <c r="J1449" s="12" t="s">
        <v>5102</v>
      </c>
      <c r="K1449" s="12" t="s">
        <v>389</v>
      </c>
      <c r="L1449" s="12" t="str">
        <f>IF(OR(ISBLANK(tblSites[[#This Row],[Implementing Partner]]), tblSites[[#This Row],[Implementing Partner]]="-"), tblSites[[#This Row],[Site Agency]], tblSites[[#This Row],[Implementing Partner]])</f>
        <v>No SMA</v>
      </c>
      <c r="M1449" s="12" t="s">
        <v>55</v>
      </c>
      <c r="N1449" s="12" t="str">
        <f>tblSites[[#This Row],[FinalImplementingPartner]]</f>
        <v>No SMA</v>
      </c>
    </row>
    <row r="1450" spans="1:14" x14ac:dyDescent="0.25">
      <c r="A1450" s="12" t="s">
        <v>3771</v>
      </c>
      <c r="B1450" s="12" t="s">
        <v>4364</v>
      </c>
      <c r="C1450" s="12" t="s">
        <v>4899</v>
      </c>
      <c r="D1450" t="s">
        <v>5314</v>
      </c>
      <c r="E1450" s="12" t="s">
        <v>3176</v>
      </c>
      <c r="F1450" s="12" t="s">
        <v>173</v>
      </c>
      <c r="G1450" s="12" t="s">
        <v>5404</v>
      </c>
      <c r="H1450" s="12" t="s">
        <v>4364</v>
      </c>
      <c r="I1450" s="84">
        <v>27002105</v>
      </c>
      <c r="J1450" s="12" t="s">
        <v>5102</v>
      </c>
      <c r="L1450" s="12" t="str">
        <f>IF(OR(ISBLANK(tblSites[[#This Row],[Implementing Partner]]), tblSites[[#This Row],[Implementing Partner]]="-"), tblSites[[#This Row],[Site Agency]], tblSites[[#This Row],[Implementing Partner]])</f>
        <v>No SMA</v>
      </c>
      <c r="M1450" s="12" t="s">
        <v>55</v>
      </c>
      <c r="N1450" s="12" t="str">
        <f>tblSites[[#This Row],[FinalImplementingPartner]]</f>
        <v>No SMA</v>
      </c>
    </row>
    <row r="1451" spans="1:14" x14ac:dyDescent="0.25">
      <c r="A1451" s="12" t="s">
        <v>3772</v>
      </c>
      <c r="B1451" s="12" t="s">
        <v>4365</v>
      </c>
      <c r="C1451" s="12" t="s">
        <v>4900</v>
      </c>
      <c r="D1451" t="s">
        <v>5314</v>
      </c>
      <c r="E1451" s="12" t="s">
        <v>3176</v>
      </c>
      <c r="F1451" s="12" t="s">
        <v>173</v>
      </c>
      <c r="G1451" s="12" t="s">
        <v>5404</v>
      </c>
      <c r="H1451" s="12" t="s">
        <v>4365</v>
      </c>
      <c r="I1451" s="84">
        <v>27002105</v>
      </c>
      <c r="J1451" s="12" t="s">
        <v>5102</v>
      </c>
      <c r="K1451" s="12" t="s">
        <v>389</v>
      </c>
      <c r="L1451" s="12" t="str">
        <f>IF(OR(ISBLANK(tblSites[[#This Row],[Implementing Partner]]), tblSites[[#This Row],[Implementing Partner]]="-"), tblSites[[#This Row],[Site Agency]], tblSites[[#This Row],[Implementing Partner]])</f>
        <v>No SMA</v>
      </c>
      <c r="M1451" s="12" t="s">
        <v>55</v>
      </c>
      <c r="N1451" s="12" t="str">
        <f>tblSites[[#This Row],[FinalImplementingPartner]]</f>
        <v>No SMA</v>
      </c>
    </row>
    <row r="1452" spans="1:14" x14ac:dyDescent="0.25">
      <c r="A1452" s="47" t="s">
        <v>3773</v>
      </c>
      <c r="B1452" s="12" t="s">
        <v>4366</v>
      </c>
      <c r="C1452" s="12" t="s">
        <v>4901</v>
      </c>
      <c r="D1452" t="s">
        <v>5314</v>
      </c>
      <c r="E1452" s="12" t="s">
        <v>3176</v>
      </c>
      <c r="F1452" s="47" t="s">
        <v>173</v>
      </c>
      <c r="G1452" s="12" t="s">
        <v>5404</v>
      </c>
      <c r="H1452" s="12" t="s">
        <v>4366</v>
      </c>
      <c r="I1452" s="84">
        <v>27002105</v>
      </c>
      <c r="J1452" s="12" t="s">
        <v>5102</v>
      </c>
      <c r="K1452" s="12" t="s">
        <v>389</v>
      </c>
      <c r="L1452" s="12" t="str">
        <f>IF(OR(ISBLANK(tblSites[[#This Row],[Implementing Partner]]), tblSites[[#This Row],[Implementing Partner]]="-"), tblSites[[#This Row],[Site Agency]], tblSites[[#This Row],[Implementing Partner]])</f>
        <v>No SMA</v>
      </c>
      <c r="M1452" s="12" t="s">
        <v>55</v>
      </c>
      <c r="N1452" s="12" t="str">
        <f>tblSites[[#This Row],[FinalImplementingPartner]]</f>
        <v>No SMA</v>
      </c>
    </row>
    <row r="1453" spans="1:14" x14ac:dyDescent="0.25">
      <c r="A1453" s="12" t="s">
        <v>3774</v>
      </c>
      <c r="B1453" s="12" t="s">
        <v>4368</v>
      </c>
      <c r="C1453" s="12" t="s">
        <v>4903</v>
      </c>
      <c r="D1453" t="s">
        <v>5314</v>
      </c>
      <c r="E1453" s="12" t="s">
        <v>3176</v>
      </c>
      <c r="F1453" s="12" t="s">
        <v>472</v>
      </c>
      <c r="G1453" s="12" t="s">
        <v>5409</v>
      </c>
      <c r="H1453" s="12" t="s">
        <v>4368</v>
      </c>
      <c r="I1453" s="84">
        <v>27002103</v>
      </c>
      <c r="J1453" s="12" t="s">
        <v>5102</v>
      </c>
      <c r="K1453" s="12" t="s">
        <v>389</v>
      </c>
      <c r="L1453" s="12" t="str">
        <f>IF(OR(ISBLANK(tblSites[[#This Row],[Implementing Partner]]), tblSites[[#This Row],[Implementing Partner]]="-"), tblSites[[#This Row],[Site Agency]], tblSites[[#This Row],[Implementing Partner]])</f>
        <v>No SMA</v>
      </c>
      <c r="M1453" s="12" t="s">
        <v>55</v>
      </c>
      <c r="N1453" s="12" t="str">
        <f>tblSites[[#This Row],[FinalImplementingPartner]]</f>
        <v>No SMA</v>
      </c>
    </row>
    <row r="1454" spans="1:14" x14ac:dyDescent="0.25">
      <c r="A1454" s="12" t="s">
        <v>3775</v>
      </c>
      <c r="B1454" s="12" t="s">
        <v>4369</v>
      </c>
      <c r="C1454" s="12" t="s">
        <v>5304</v>
      </c>
      <c r="D1454" t="s">
        <v>5314</v>
      </c>
      <c r="E1454" s="12" t="s">
        <v>3176</v>
      </c>
      <c r="F1454" s="12" t="s">
        <v>2952</v>
      </c>
      <c r="G1454" s="12" t="s">
        <v>5420</v>
      </c>
      <c r="H1454" s="12" t="s">
        <v>4369</v>
      </c>
      <c r="I1454" s="84">
        <v>27002106</v>
      </c>
      <c r="J1454" s="12" t="s">
        <v>5102</v>
      </c>
      <c r="L1454" s="12" t="str">
        <f>IF(OR(ISBLANK(tblSites[[#This Row],[Implementing Partner]]), tblSites[[#This Row],[Implementing Partner]]="-"), tblSites[[#This Row],[Site Agency]], tblSites[[#This Row],[Implementing Partner]])</f>
        <v>No SMA</v>
      </c>
      <c r="M1454" s="12" t="s">
        <v>55</v>
      </c>
      <c r="N1454" s="12" t="str">
        <f>tblSites[[#This Row],[FinalImplementingPartner]]</f>
        <v>No SMA</v>
      </c>
    </row>
    <row r="1455" spans="1:14" x14ac:dyDescent="0.25">
      <c r="A1455" s="12" t="s">
        <v>3776</v>
      </c>
      <c r="B1455" s="12" t="s">
        <v>4370</v>
      </c>
      <c r="C1455" s="12" t="s">
        <v>4904</v>
      </c>
      <c r="D1455" t="s">
        <v>5314</v>
      </c>
      <c r="E1455" s="12" t="s">
        <v>3176</v>
      </c>
      <c r="F1455" s="12" t="s">
        <v>173</v>
      </c>
      <c r="G1455" s="12" t="s">
        <v>5404</v>
      </c>
      <c r="H1455" s="12" t="s">
        <v>4370</v>
      </c>
      <c r="I1455" s="84">
        <v>27002105</v>
      </c>
      <c r="J1455" s="12" t="s">
        <v>5102</v>
      </c>
      <c r="L1455" s="12" t="str">
        <f>IF(OR(ISBLANK(tblSites[[#This Row],[Implementing Partner]]), tblSites[[#This Row],[Implementing Partner]]="-"), tblSites[[#This Row],[Site Agency]], tblSites[[#This Row],[Implementing Partner]])</f>
        <v>No SMA</v>
      </c>
      <c r="M1455" s="12" t="s">
        <v>55</v>
      </c>
      <c r="N1455" s="12" t="str">
        <f>tblSites[[#This Row],[FinalImplementingPartner]]</f>
        <v>No SMA</v>
      </c>
    </row>
    <row r="1456" spans="1:14" x14ac:dyDescent="0.25">
      <c r="A1456" s="12" t="s">
        <v>3777</v>
      </c>
      <c r="B1456" s="12" t="s">
        <v>4371</v>
      </c>
      <c r="C1456" s="12" t="s">
        <v>4905</v>
      </c>
      <c r="D1456" t="s">
        <v>5314</v>
      </c>
      <c r="E1456" s="12" t="s">
        <v>3176</v>
      </c>
      <c r="F1456" s="12" t="s">
        <v>173</v>
      </c>
      <c r="G1456" s="12" t="s">
        <v>5404</v>
      </c>
      <c r="H1456" s="12" t="s">
        <v>4371</v>
      </c>
      <c r="I1456" s="84">
        <v>27002105</v>
      </c>
      <c r="J1456" s="12" t="s">
        <v>5102</v>
      </c>
      <c r="L1456" s="12" t="str">
        <f>IF(OR(ISBLANK(tblSites[[#This Row],[Implementing Partner]]), tblSites[[#This Row],[Implementing Partner]]="-"), tblSites[[#This Row],[Site Agency]], tblSites[[#This Row],[Implementing Partner]])</f>
        <v>No SMA</v>
      </c>
      <c r="M1456" s="12" t="s">
        <v>55</v>
      </c>
      <c r="N1456" s="12" t="str">
        <f>tblSites[[#This Row],[FinalImplementingPartner]]</f>
        <v>No SMA</v>
      </c>
    </row>
    <row r="1457" spans="1:14" x14ac:dyDescent="0.25">
      <c r="A1457" s="12" t="s">
        <v>3778</v>
      </c>
      <c r="B1457" s="12" t="s">
        <v>4372</v>
      </c>
      <c r="C1457" s="12" t="s">
        <v>4906</v>
      </c>
      <c r="D1457" t="s">
        <v>5314</v>
      </c>
      <c r="E1457" s="12" t="s">
        <v>3176</v>
      </c>
      <c r="F1457" s="12" t="s">
        <v>173</v>
      </c>
      <c r="G1457" s="12" t="s">
        <v>5404</v>
      </c>
      <c r="H1457" s="12" t="s">
        <v>4372</v>
      </c>
      <c r="I1457" s="84">
        <v>27002105</v>
      </c>
      <c r="J1457" s="12" t="s">
        <v>5102</v>
      </c>
      <c r="L1457" s="12" t="str">
        <f>IF(OR(ISBLANK(tblSites[[#This Row],[Implementing Partner]]), tblSites[[#This Row],[Implementing Partner]]="-"), tblSites[[#This Row],[Site Agency]], tblSites[[#This Row],[Implementing Partner]])</f>
        <v>No SMA</v>
      </c>
      <c r="M1457" s="12" t="s">
        <v>55</v>
      </c>
      <c r="N1457" s="12" t="str">
        <f>tblSites[[#This Row],[FinalImplementingPartner]]</f>
        <v>No SMA</v>
      </c>
    </row>
    <row r="1458" spans="1:14" x14ac:dyDescent="0.25">
      <c r="A1458" s="12" t="s">
        <v>3779</v>
      </c>
      <c r="B1458" s="12" t="s">
        <v>4373</v>
      </c>
      <c r="C1458" s="12" t="s">
        <v>4907</v>
      </c>
      <c r="D1458" t="s">
        <v>5314</v>
      </c>
      <c r="E1458" s="12" t="s">
        <v>3176</v>
      </c>
      <c r="F1458" s="12" t="s">
        <v>173</v>
      </c>
      <c r="G1458" s="12" t="s">
        <v>5404</v>
      </c>
      <c r="H1458" s="12" t="s">
        <v>4373</v>
      </c>
      <c r="I1458" s="84">
        <v>27002105</v>
      </c>
      <c r="J1458" s="12" t="s">
        <v>5102</v>
      </c>
      <c r="L1458" s="12" t="str">
        <f>IF(OR(ISBLANK(tblSites[[#This Row],[Implementing Partner]]), tblSites[[#This Row],[Implementing Partner]]="-"), tblSites[[#This Row],[Site Agency]], tblSites[[#This Row],[Implementing Partner]])</f>
        <v>No SMA</v>
      </c>
      <c r="M1458" s="12" t="s">
        <v>55</v>
      </c>
      <c r="N1458" s="12" t="str">
        <f>tblSites[[#This Row],[FinalImplementingPartner]]</f>
        <v>No SMA</v>
      </c>
    </row>
    <row r="1459" spans="1:14" x14ac:dyDescent="0.25">
      <c r="A1459" s="12" t="s">
        <v>3780</v>
      </c>
      <c r="B1459" s="12" t="s">
        <v>4374</v>
      </c>
      <c r="C1459" s="12" t="s">
        <v>4908</v>
      </c>
      <c r="D1459" t="s">
        <v>5314</v>
      </c>
      <c r="E1459" s="12" t="s">
        <v>3176</v>
      </c>
      <c r="F1459" s="12" t="s">
        <v>173</v>
      </c>
      <c r="G1459" s="12" t="s">
        <v>5404</v>
      </c>
      <c r="H1459" s="12" t="s">
        <v>4374</v>
      </c>
      <c r="I1459" s="84">
        <v>27002105</v>
      </c>
      <c r="J1459" s="12" t="s">
        <v>5102</v>
      </c>
      <c r="L1459" s="12" t="str">
        <f>IF(OR(ISBLANK(tblSites[[#This Row],[Implementing Partner]]), tblSites[[#This Row],[Implementing Partner]]="-"), tblSites[[#This Row],[Site Agency]], tblSites[[#This Row],[Implementing Partner]])</f>
        <v>No SMA</v>
      </c>
      <c r="M1459" s="12" t="s">
        <v>55</v>
      </c>
      <c r="N1459" s="12" t="str">
        <f>tblSites[[#This Row],[FinalImplementingPartner]]</f>
        <v>No SMA</v>
      </c>
    </row>
    <row r="1460" spans="1:14" x14ac:dyDescent="0.25">
      <c r="A1460" s="12" t="s">
        <v>3781</v>
      </c>
      <c r="B1460" s="12" t="s">
        <v>4376</v>
      </c>
      <c r="C1460" s="12" t="s">
        <v>4910</v>
      </c>
      <c r="D1460" t="s">
        <v>5314</v>
      </c>
      <c r="E1460" s="12" t="s">
        <v>3176</v>
      </c>
      <c r="F1460" s="12" t="s">
        <v>2952</v>
      </c>
      <c r="G1460" s="12" t="s">
        <v>5420</v>
      </c>
      <c r="H1460" s="12" t="s">
        <v>4376</v>
      </c>
      <c r="I1460" s="84">
        <v>27002106</v>
      </c>
      <c r="J1460" s="12" t="s">
        <v>5102</v>
      </c>
      <c r="L1460" s="12" t="str">
        <f>IF(OR(ISBLANK(tblSites[[#This Row],[Implementing Partner]]), tblSites[[#This Row],[Implementing Partner]]="-"), tblSites[[#This Row],[Site Agency]], tblSites[[#This Row],[Implementing Partner]])</f>
        <v>No SMA</v>
      </c>
      <c r="M1460" s="12" t="s">
        <v>55</v>
      </c>
      <c r="N1460" s="12" t="str">
        <f>tblSites[[#This Row],[FinalImplementingPartner]]</f>
        <v>No SMA</v>
      </c>
    </row>
    <row r="1461" spans="1:14" x14ac:dyDescent="0.25">
      <c r="A1461" s="12" t="s">
        <v>3782</v>
      </c>
      <c r="B1461" s="12" t="s">
        <v>4377</v>
      </c>
      <c r="C1461" s="12" t="s">
        <v>4798</v>
      </c>
      <c r="D1461" t="s">
        <v>5314</v>
      </c>
      <c r="E1461" s="12" t="s">
        <v>3176</v>
      </c>
      <c r="F1461" s="12" t="s">
        <v>82</v>
      </c>
      <c r="G1461" s="12" t="s">
        <v>5428</v>
      </c>
      <c r="H1461" s="12" t="s">
        <v>4377</v>
      </c>
      <c r="I1461" s="84">
        <v>27001153</v>
      </c>
      <c r="J1461" s="12" t="s">
        <v>5102</v>
      </c>
      <c r="L1461" s="12" t="str">
        <f>IF(OR(ISBLANK(tblSites[[#This Row],[Implementing Partner]]), tblSites[[#This Row],[Implementing Partner]]="-"), tblSites[[#This Row],[Site Agency]], tblSites[[#This Row],[Implementing Partner]])</f>
        <v>No SMA</v>
      </c>
      <c r="M1461" s="12" t="s">
        <v>55</v>
      </c>
      <c r="N1461" s="12" t="str">
        <f>tblSites[[#This Row],[FinalImplementingPartner]]</f>
        <v>No SMA</v>
      </c>
    </row>
    <row r="1462" spans="1:14" x14ac:dyDescent="0.25">
      <c r="A1462" s="12" t="s">
        <v>3783</v>
      </c>
      <c r="B1462" s="12" t="s">
        <v>4378</v>
      </c>
      <c r="C1462" s="12" t="s">
        <v>4911</v>
      </c>
      <c r="D1462" t="s">
        <v>5314</v>
      </c>
      <c r="E1462" s="12" t="s">
        <v>3176</v>
      </c>
      <c r="F1462" s="12" t="s">
        <v>53</v>
      </c>
      <c r="G1462" s="12" t="s">
        <v>5406</v>
      </c>
      <c r="H1462" s="12" t="s">
        <v>4378</v>
      </c>
      <c r="I1462" s="84">
        <v>27002154</v>
      </c>
      <c r="J1462" s="12" t="s">
        <v>5102</v>
      </c>
      <c r="L1462" s="12" t="str">
        <f>IF(OR(ISBLANK(tblSites[[#This Row],[Implementing Partner]]), tblSites[[#This Row],[Implementing Partner]]="-"), tblSites[[#This Row],[Site Agency]], tblSites[[#This Row],[Implementing Partner]])</f>
        <v>No SMA</v>
      </c>
      <c r="M1462" s="12" t="s">
        <v>55</v>
      </c>
      <c r="N1462" s="12" t="str">
        <f>tblSites[[#This Row],[FinalImplementingPartner]]</f>
        <v>No SMA</v>
      </c>
    </row>
    <row r="1463" spans="1:14" x14ac:dyDescent="0.25">
      <c r="A1463" s="12" t="s">
        <v>3784</v>
      </c>
      <c r="B1463" s="12" t="s">
        <v>4379</v>
      </c>
      <c r="C1463" s="12" t="s">
        <v>128</v>
      </c>
      <c r="D1463" t="s">
        <v>5314</v>
      </c>
      <c r="E1463" s="12" t="s">
        <v>3176</v>
      </c>
      <c r="F1463" s="12" t="s">
        <v>53</v>
      </c>
      <c r="G1463" s="12" t="s">
        <v>5406</v>
      </c>
      <c r="H1463" s="12" t="s">
        <v>4379</v>
      </c>
      <c r="I1463" s="84">
        <v>27002154</v>
      </c>
      <c r="J1463" s="12" t="s">
        <v>5102</v>
      </c>
      <c r="L1463" s="12" t="str">
        <f>IF(OR(ISBLANK(tblSites[[#This Row],[Implementing Partner]]), tblSites[[#This Row],[Implementing Partner]]="-"), tblSites[[#This Row],[Site Agency]], tblSites[[#This Row],[Implementing Partner]])</f>
        <v>No SMA</v>
      </c>
      <c r="M1463" s="12" t="s">
        <v>55</v>
      </c>
      <c r="N1463" s="12" t="str">
        <f>tblSites[[#This Row],[FinalImplementingPartner]]</f>
        <v>No SMA</v>
      </c>
    </row>
    <row r="1464" spans="1:14" x14ac:dyDescent="0.25">
      <c r="A1464" s="12" t="s">
        <v>3785</v>
      </c>
      <c r="B1464" s="12" t="s">
        <v>4380</v>
      </c>
      <c r="C1464" s="12" t="s">
        <v>4912</v>
      </c>
      <c r="D1464" t="s">
        <v>5314</v>
      </c>
      <c r="E1464" s="12" t="s">
        <v>3176</v>
      </c>
      <c r="F1464" s="12" t="s">
        <v>53</v>
      </c>
      <c r="G1464" s="12" t="s">
        <v>5406</v>
      </c>
      <c r="H1464" s="12" t="s">
        <v>4380</v>
      </c>
      <c r="I1464" s="84">
        <v>27002154</v>
      </c>
      <c r="J1464" s="12" t="s">
        <v>5102</v>
      </c>
      <c r="L1464" s="12" t="str">
        <f>IF(OR(ISBLANK(tblSites[[#This Row],[Implementing Partner]]), tblSites[[#This Row],[Implementing Partner]]="-"), tblSites[[#This Row],[Site Agency]], tblSites[[#This Row],[Implementing Partner]])</f>
        <v>No SMA</v>
      </c>
      <c r="M1464" s="12" t="s">
        <v>55</v>
      </c>
      <c r="N1464" s="12" t="str">
        <f>tblSites[[#This Row],[FinalImplementingPartner]]</f>
        <v>No SMA</v>
      </c>
    </row>
    <row r="1465" spans="1:14" x14ac:dyDescent="0.25">
      <c r="A1465" s="12" t="s">
        <v>3786</v>
      </c>
      <c r="B1465" s="12" t="s">
        <v>4381</v>
      </c>
      <c r="C1465" s="12" t="s">
        <v>4913</v>
      </c>
      <c r="D1465" t="s">
        <v>5314</v>
      </c>
      <c r="E1465" s="12" t="s">
        <v>3176</v>
      </c>
      <c r="F1465" s="12" t="s">
        <v>53</v>
      </c>
      <c r="G1465" s="12" t="s">
        <v>5406</v>
      </c>
      <c r="H1465" s="12" t="s">
        <v>4381</v>
      </c>
      <c r="I1465" s="84">
        <v>27002154</v>
      </c>
      <c r="J1465" s="12" t="s">
        <v>5102</v>
      </c>
      <c r="L1465" s="12" t="str">
        <f>IF(OR(ISBLANK(tblSites[[#This Row],[Implementing Partner]]), tblSites[[#This Row],[Implementing Partner]]="-"), tblSites[[#This Row],[Site Agency]], tblSites[[#This Row],[Implementing Partner]])</f>
        <v>No SMA</v>
      </c>
      <c r="M1465" s="12" t="s">
        <v>55</v>
      </c>
      <c r="N1465" s="12" t="str">
        <f>tblSites[[#This Row],[FinalImplementingPartner]]</f>
        <v>No SMA</v>
      </c>
    </row>
    <row r="1466" spans="1:14" x14ac:dyDescent="0.25">
      <c r="A1466" s="12" t="s">
        <v>3787</v>
      </c>
      <c r="B1466" s="12" t="s">
        <v>4154</v>
      </c>
      <c r="C1466" s="12" t="s">
        <v>1197</v>
      </c>
      <c r="D1466" t="s">
        <v>5314</v>
      </c>
      <c r="E1466" s="12" t="s">
        <v>3176</v>
      </c>
      <c r="F1466" s="12" t="s">
        <v>53</v>
      </c>
      <c r="G1466" s="12" t="s">
        <v>5406</v>
      </c>
      <c r="H1466" s="12" t="s">
        <v>4154</v>
      </c>
      <c r="I1466" s="84">
        <v>27002154</v>
      </c>
      <c r="J1466" s="12" t="s">
        <v>5102</v>
      </c>
      <c r="L1466" s="12" t="str">
        <f>IF(OR(ISBLANK(tblSites[[#This Row],[Implementing Partner]]), tblSites[[#This Row],[Implementing Partner]]="-"), tblSites[[#This Row],[Site Agency]], tblSites[[#This Row],[Implementing Partner]])</f>
        <v>No SMA</v>
      </c>
      <c r="M1466" s="12" t="s">
        <v>55</v>
      </c>
      <c r="N1466" s="12" t="str">
        <f>tblSites[[#This Row],[FinalImplementingPartner]]</f>
        <v>No SMA</v>
      </c>
    </row>
    <row r="1467" spans="1:14" x14ac:dyDescent="0.25">
      <c r="A1467" s="12" t="s">
        <v>3788</v>
      </c>
      <c r="B1467" s="12" t="s">
        <v>754</v>
      </c>
      <c r="C1467" s="12" t="s">
        <v>755</v>
      </c>
      <c r="D1467" t="s">
        <v>5314</v>
      </c>
      <c r="E1467" s="12" t="s">
        <v>3176</v>
      </c>
      <c r="F1467" s="12" t="s">
        <v>82</v>
      </c>
      <c r="G1467" s="12" t="s">
        <v>5428</v>
      </c>
      <c r="H1467" s="12" t="s">
        <v>754</v>
      </c>
      <c r="I1467" s="84">
        <v>27001153</v>
      </c>
      <c r="J1467" s="12" t="s">
        <v>5102</v>
      </c>
      <c r="L1467" s="12" t="str">
        <f>IF(OR(ISBLANK(tblSites[[#This Row],[Implementing Partner]]), tblSites[[#This Row],[Implementing Partner]]="-"), tblSites[[#This Row],[Site Agency]], tblSites[[#This Row],[Implementing Partner]])</f>
        <v>No SMA</v>
      </c>
      <c r="M1467" s="12" t="s">
        <v>55</v>
      </c>
      <c r="N1467" s="12" t="str">
        <f>tblSites[[#This Row],[FinalImplementingPartner]]</f>
        <v>No SMA</v>
      </c>
    </row>
    <row r="1468" spans="1:14" x14ac:dyDescent="0.25">
      <c r="A1468" s="12" t="s">
        <v>3789</v>
      </c>
      <c r="B1468" s="12" t="s">
        <v>4382</v>
      </c>
      <c r="C1468" s="12" t="s">
        <v>4914</v>
      </c>
      <c r="D1468" t="s">
        <v>5314</v>
      </c>
      <c r="E1468" s="12" t="s">
        <v>3176</v>
      </c>
      <c r="F1468" s="12" t="s">
        <v>53</v>
      </c>
      <c r="G1468" s="12" t="s">
        <v>5406</v>
      </c>
      <c r="H1468" s="12" t="s">
        <v>4382</v>
      </c>
      <c r="I1468" s="84">
        <v>27002154</v>
      </c>
      <c r="J1468" s="12" t="s">
        <v>5102</v>
      </c>
      <c r="L1468" s="12" t="str">
        <f>IF(OR(ISBLANK(tblSites[[#This Row],[Implementing Partner]]), tblSites[[#This Row],[Implementing Partner]]="-"), tblSites[[#This Row],[Site Agency]], tblSites[[#This Row],[Implementing Partner]])</f>
        <v>No SMA</v>
      </c>
      <c r="M1468" s="12" t="s">
        <v>55</v>
      </c>
      <c r="N1468" s="12" t="str">
        <f>tblSites[[#This Row],[FinalImplementingPartner]]</f>
        <v>No SMA</v>
      </c>
    </row>
    <row r="1469" spans="1:14" x14ac:dyDescent="0.25">
      <c r="A1469" s="12" t="s">
        <v>3790</v>
      </c>
      <c r="B1469" s="12" t="s">
        <v>4383</v>
      </c>
      <c r="C1469" s="12" t="s">
        <v>4915</v>
      </c>
      <c r="D1469" t="s">
        <v>5314</v>
      </c>
      <c r="E1469" s="12" t="s">
        <v>3176</v>
      </c>
      <c r="F1469" s="12" t="s">
        <v>173</v>
      </c>
      <c r="G1469" s="12" t="s">
        <v>5404</v>
      </c>
      <c r="H1469" s="12" t="s">
        <v>4383</v>
      </c>
      <c r="I1469" s="84">
        <v>27002105</v>
      </c>
      <c r="J1469" s="12" t="s">
        <v>5102</v>
      </c>
      <c r="L1469" s="12" t="str">
        <f>IF(OR(ISBLANK(tblSites[[#This Row],[Implementing Partner]]), tblSites[[#This Row],[Implementing Partner]]="-"), tblSites[[#This Row],[Site Agency]], tblSites[[#This Row],[Implementing Partner]])</f>
        <v>No SMA</v>
      </c>
      <c r="M1469" s="12" t="s">
        <v>55</v>
      </c>
      <c r="N1469" s="12" t="str">
        <f>tblSites[[#This Row],[FinalImplementingPartner]]</f>
        <v>No SMA</v>
      </c>
    </row>
    <row r="1470" spans="1:14" x14ac:dyDescent="0.25">
      <c r="A1470" s="12" t="s">
        <v>3791</v>
      </c>
      <c r="B1470" s="12" t="s">
        <v>4384</v>
      </c>
      <c r="C1470" s="12" t="s">
        <v>4916</v>
      </c>
      <c r="D1470" t="s">
        <v>5314</v>
      </c>
      <c r="E1470" s="12" t="s">
        <v>3176</v>
      </c>
      <c r="F1470" s="12" t="s">
        <v>82</v>
      </c>
      <c r="G1470" s="12" t="s">
        <v>5428</v>
      </c>
      <c r="H1470" s="12" t="s">
        <v>4384</v>
      </c>
      <c r="I1470" s="84">
        <v>27001153</v>
      </c>
      <c r="J1470" s="47" t="s">
        <v>5102</v>
      </c>
      <c r="L1470" s="12" t="str">
        <f>IF(OR(ISBLANK(tblSites[[#This Row],[Implementing Partner]]), tblSites[[#This Row],[Implementing Partner]]="-"), tblSites[[#This Row],[Site Agency]], tblSites[[#This Row],[Implementing Partner]])</f>
        <v>No SMA</v>
      </c>
      <c r="M1470" s="12" t="s">
        <v>55</v>
      </c>
      <c r="N1470" s="12" t="str">
        <f>tblSites[[#This Row],[FinalImplementingPartner]]</f>
        <v>No SMA</v>
      </c>
    </row>
    <row r="1471" spans="1:14" x14ac:dyDescent="0.25">
      <c r="A1471" s="12" t="s">
        <v>3792</v>
      </c>
      <c r="B1471" s="12" t="s">
        <v>4385</v>
      </c>
      <c r="C1471" s="12" t="s">
        <v>4917</v>
      </c>
      <c r="D1471" t="s">
        <v>5314</v>
      </c>
      <c r="E1471" s="12" t="s">
        <v>3176</v>
      </c>
      <c r="F1471" s="12" t="s">
        <v>79</v>
      </c>
      <c r="G1471" s="12" t="s">
        <v>5419</v>
      </c>
      <c r="H1471" s="12" t="s">
        <v>4385</v>
      </c>
      <c r="I1471" s="84">
        <v>27002101</v>
      </c>
      <c r="J1471" s="47" t="s">
        <v>5102</v>
      </c>
      <c r="K1471" s="12" t="s">
        <v>389</v>
      </c>
      <c r="L1471" s="12" t="str">
        <f>IF(OR(ISBLANK(tblSites[[#This Row],[Implementing Partner]]), tblSites[[#This Row],[Implementing Partner]]="-"), tblSites[[#This Row],[Site Agency]], tblSites[[#This Row],[Implementing Partner]])</f>
        <v>No SMA</v>
      </c>
      <c r="M1471" s="12" t="s">
        <v>55</v>
      </c>
      <c r="N1471" s="12" t="str">
        <f>tblSites[[#This Row],[FinalImplementingPartner]]</f>
        <v>No SMA</v>
      </c>
    </row>
    <row r="1472" spans="1:14" x14ac:dyDescent="0.25">
      <c r="A1472" s="12" t="s">
        <v>3793</v>
      </c>
      <c r="B1472" s="12" t="s">
        <v>4386</v>
      </c>
      <c r="C1472" s="12" t="s">
        <v>4918</v>
      </c>
      <c r="D1472" t="s">
        <v>5314</v>
      </c>
      <c r="E1472" s="12" t="s">
        <v>3176</v>
      </c>
      <c r="F1472" s="12" t="s">
        <v>79</v>
      </c>
      <c r="G1472" s="12" t="s">
        <v>5419</v>
      </c>
      <c r="H1472" s="12" t="s">
        <v>4386</v>
      </c>
      <c r="I1472" s="84">
        <v>27002101</v>
      </c>
      <c r="J1472" s="47" t="s">
        <v>5102</v>
      </c>
      <c r="K1472" s="12" t="s">
        <v>389</v>
      </c>
      <c r="L1472" s="12" t="str">
        <f>IF(OR(ISBLANK(tblSites[[#This Row],[Implementing Partner]]), tblSites[[#This Row],[Implementing Partner]]="-"), tblSites[[#This Row],[Site Agency]], tblSites[[#This Row],[Implementing Partner]])</f>
        <v>No SMA</v>
      </c>
      <c r="M1472" s="12" t="s">
        <v>55</v>
      </c>
      <c r="N1472" s="12" t="str">
        <f>tblSites[[#This Row],[FinalImplementingPartner]]</f>
        <v>No SMA</v>
      </c>
    </row>
    <row r="1473" spans="1:14" x14ac:dyDescent="0.25">
      <c r="A1473" s="12" t="s">
        <v>3794</v>
      </c>
      <c r="B1473" s="12" t="s">
        <v>1945</v>
      </c>
      <c r="C1473" s="12" t="s">
        <v>1946</v>
      </c>
      <c r="D1473" t="s">
        <v>5314</v>
      </c>
      <c r="E1473" s="12" t="s">
        <v>3176</v>
      </c>
      <c r="F1473" s="12" t="s">
        <v>79</v>
      </c>
      <c r="G1473" s="12" t="s">
        <v>5419</v>
      </c>
      <c r="H1473" s="12" t="s">
        <v>1945</v>
      </c>
      <c r="I1473" s="84">
        <v>27002101</v>
      </c>
      <c r="J1473" s="12" t="s">
        <v>5102</v>
      </c>
      <c r="L1473" s="12" t="str">
        <f>IF(OR(ISBLANK(tblSites[[#This Row],[Implementing Partner]]), tblSites[[#This Row],[Implementing Partner]]="-"), tblSites[[#This Row],[Site Agency]], tblSites[[#This Row],[Implementing Partner]])</f>
        <v>No SMA</v>
      </c>
      <c r="M1473" s="12" t="s">
        <v>55</v>
      </c>
      <c r="N1473" s="12" t="str">
        <f>tblSites[[#This Row],[FinalImplementingPartner]]</f>
        <v>No SMA</v>
      </c>
    </row>
    <row r="1474" spans="1:14" x14ac:dyDescent="0.25">
      <c r="A1474" s="12" t="s">
        <v>3795</v>
      </c>
      <c r="B1474" s="12" t="s">
        <v>4387</v>
      </c>
      <c r="C1474" s="12" t="s">
        <v>4919</v>
      </c>
      <c r="D1474" t="s">
        <v>5314</v>
      </c>
      <c r="E1474" s="12" t="s">
        <v>3176</v>
      </c>
      <c r="F1474" s="12" t="s">
        <v>440</v>
      </c>
      <c r="G1474" s="12" t="s">
        <v>5410</v>
      </c>
      <c r="H1474" s="12" t="s">
        <v>4387</v>
      </c>
      <c r="I1474" s="84">
        <v>27003176</v>
      </c>
      <c r="J1474" s="12" t="s">
        <v>5102</v>
      </c>
      <c r="L1474" s="12" t="str">
        <f>IF(OR(ISBLANK(tblSites[[#This Row],[Implementing Partner]]), tblSites[[#This Row],[Implementing Partner]]="-"), tblSites[[#This Row],[Site Agency]], tblSites[[#This Row],[Implementing Partner]])</f>
        <v>No SMA</v>
      </c>
      <c r="M1474" s="12" t="s">
        <v>55</v>
      </c>
      <c r="N1474" s="12" t="str">
        <f>tblSites[[#This Row],[FinalImplementingPartner]]</f>
        <v>No SMA</v>
      </c>
    </row>
    <row r="1475" spans="1:14" x14ac:dyDescent="0.25">
      <c r="A1475" s="12" t="s">
        <v>3796</v>
      </c>
      <c r="B1475" s="12" t="s">
        <v>4388</v>
      </c>
      <c r="C1475" s="12" t="s">
        <v>4821</v>
      </c>
      <c r="D1475" t="s">
        <v>5314</v>
      </c>
      <c r="E1475" s="12" t="s">
        <v>3176</v>
      </c>
      <c r="F1475" s="12" t="s">
        <v>440</v>
      </c>
      <c r="G1475" s="12" t="s">
        <v>5410</v>
      </c>
      <c r="H1475" s="12" t="s">
        <v>4388</v>
      </c>
      <c r="I1475" s="84">
        <v>27003176</v>
      </c>
      <c r="J1475" s="47" t="s">
        <v>5102</v>
      </c>
      <c r="L1475" s="12" t="str">
        <f>IF(OR(ISBLANK(tblSites[[#This Row],[Implementing Partner]]), tblSites[[#This Row],[Implementing Partner]]="-"), tblSites[[#This Row],[Site Agency]], tblSites[[#This Row],[Implementing Partner]])</f>
        <v>No SMA</v>
      </c>
      <c r="M1475" s="12" t="s">
        <v>55</v>
      </c>
      <c r="N1475" s="12" t="str">
        <f>tblSites[[#This Row],[FinalImplementingPartner]]</f>
        <v>No SMA</v>
      </c>
    </row>
    <row r="1476" spans="1:14" x14ac:dyDescent="0.25">
      <c r="A1476" s="12" t="s">
        <v>3797</v>
      </c>
      <c r="B1476" s="12" t="s">
        <v>4389</v>
      </c>
      <c r="C1476" s="12" t="s">
        <v>4920</v>
      </c>
      <c r="D1476" t="s">
        <v>5314</v>
      </c>
      <c r="E1476" s="12" t="s">
        <v>3176</v>
      </c>
      <c r="F1476" s="12" t="s">
        <v>1360</v>
      </c>
      <c r="G1476" s="12" t="s">
        <v>5417</v>
      </c>
      <c r="H1476" s="12" t="s">
        <v>4389</v>
      </c>
      <c r="I1476" s="84">
        <v>27002107</v>
      </c>
      <c r="J1476" s="12" t="s">
        <v>5102</v>
      </c>
      <c r="L1476" s="12" t="str">
        <f>IF(OR(ISBLANK(tblSites[[#This Row],[Implementing Partner]]), tblSites[[#This Row],[Implementing Partner]]="-"), tblSites[[#This Row],[Site Agency]], tblSites[[#This Row],[Implementing Partner]])</f>
        <v>No SMA</v>
      </c>
      <c r="M1476" s="12" t="s">
        <v>55</v>
      </c>
      <c r="N1476" s="12" t="str">
        <f>tblSites[[#This Row],[FinalImplementingPartner]]</f>
        <v>No SMA</v>
      </c>
    </row>
    <row r="1477" spans="1:14" x14ac:dyDescent="0.25">
      <c r="A1477" s="12" t="s">
        <v>3798</v>
      </c>
      <c r="B1477" s="12" t="s">
        <v>4390</v>
      </c>
      <c r="C1477" s="12" t="s">
        <v>4921</v>
      </c>
      <c r="D1477" t="s">
        <v>5314</v>
      </c>
      <c r="E1477" s="12" t="s">
        <v>3176</v>
      </c>
      <c r="F1477" s="12" t="s">
        <v>173</v>
      </c>
      <c r="G1477" s="12" t="s">
        <v>5404</v>
      </c>
      <c r="H1477" s="12" t="s">
        <v>4390</v>
      </c>
      <c r="I1477" s="84">
        <v>27002105</v>
      </c>
      <c r="J1477" s="47" t="s">
        <v>5102</v>
      </c>
      <c r="L1477" s="12" t="str">
        <f>IF(OR(ISBLANK(tblSites[[#This Row],[Implementing Partner]]), tblSites[[#This Row],[Implementing Partner]]="-"), tblSites[[#This Row],[Site Agency]], tblSites[[#This Row],[Implementing Partner]])</f>
        <v>No SMA</v>
      </c>
      <c r="M1477" s="12" t="s">
        <v>55</v>
      </c>
      <c r="N1477" s="12" t="str">
        <f>tblSites[[#This Row],[FinalImplementingPartner]]</f>
        <v>No SMA</v>
      </c>
    </row>
    <row r="1478" spans="1:14" x14ac:dyDescent="0.25">
      <c r="A1478" s="12" t="s">
        <v>3799</v>
      </c>
      <c r="B1478" s="12" t="s">
        <v>4391</v>
      </c>
      <c r="C1478" s="12" t="s">
        <v>4922</v>
      </c>
      <c r="D1478" t="s">
        <v>5314</v>
      </c>
      <c r="E1478" s="12" t="s">
        <v>3176</v>
      </c>
      <c r="F1478" s="12" t="s">
        <v>173</v>
      </c>
      <c r="G1478" s="12" t="s">
        <v>5404</v>
      </c>
      <c r="H1478" s="12" t="s">
        <v>4391</v>
      </c>
      <c r="I1478" s="84">
        <v>27002105</v>
      </c>
      <c r="J1478" s="12" t="s">
        <v>5102</v>
      </c>
      <c r="L1478" s="12" t="str">
        <f>IF(OR(ISBLANK(tblSites[[#This Row],[Implementing Partner]]), tblSites[[#This Row],[Implementing Partner]]="-"), tblSites[[#This Row],[Site Agency]], tblSites[[#This Row],[Implementing Partner]])</f>
        <v>No SMA</v>
      </c>
      <c r="M1478" s="12" t="s">
        <v>55</v>
      </c>
      <c r="N1478" s="12" t="str">
        <f>tblSites[[#This Row],[FinalImplementingPartner]]</f>
        <v>No SMA</v>
      </c>
    </row>
    <row r="1479" spans="1:14" x14ac:dyDescent="0.25">
      <c r="A1479" s="12" t="s">
        <v>3800</v>
      </c>
      <c r="B1479" s="12" t="s">
        <v>4152</v>
      </c>
      <c r="C1479" s="12" t="s">
        <v>4923</v>
      </c>
      <c r="D1479" t="s">
        <v>5314</v>
      </c>
      <c r="E1479" s="12" t="s">
        <v>3176</v>
      </c>
      <c r="F1479" s="12" t="s">
        <v>173</v>
      </c>
      <c r="G1479" s="12" t="s">
        <v>5404</v>
      </c>
      <c r="H1479" s="12" t="s">
        <v>4152</v>
      </c>
      <c r="I1479" s="84">
        <v>27002105</v>
      </c>
      <c r="J1479" s="12" t="s">
        <v>5102</v>
      </c>
      <c r="L1479" s="12" t="str">
        <f>IF(OR(ISBLANK(tblSites[[#This Row],[Implementing Partner]]), tblSites[[#This Row],[Implementing Partner]]="-"), tblSites[[#This Row],[Site Agency]], tblSites[[#This Row],[Implementing Partner]])</f>
        <v>No SMA</v>
      </c>
      <c r="M1479" s="12" t="s">
        <v>55</v>
      </c>
      <c r="N1479" s="12" t="str">
        <f>tblSites[[#This Row],[FinalImplementingPartner]]</f>
        <v>No SMA</v>
      </c>
    </row>
    <row r="1480" spans="1:14" x14ac:dyDescent="0.25">
      <c r="A1480" s="12" t="s">
        <v>3801</v>
      </c>
      <c r="B1480" s="12" t="s">
        <v>4392</v>
      </c>
      <c r="C1480" s="12" t="s">
        <v>4924</v>
      </c>
      <c r="D1480" t="s">
        <v>5314</v>
      </c>
      <c r="E1480" s="12" t="s">
        <v>3176</v>
      </c>
      <c r="F1480" s="12" t="s">
        <v>1360</v>
      </c>
      <c r="G1480" s="12" t="s">
        <v>5417</v>
      </c>
      <c r="H1480" s="12" t="s">
        <v>4392</v>
      </c>
      <c r="I1480" s="84">
        <v>27002107</v>
      </c>
      <c r="J1480" s="12" t="s">
        <v>5102</v>
      </c>
      <c r="L1480" s="12" t="str">
        <f>IF(OR(ISBLANK(tblSites[[#This Row],[Implementing Partner]]), tblSites[[#This Row],[Implementing Partner]]="-"), tblSites[[#This Row],[Site Agency]], tblSites[[#This Row],[Implementing Partner]])</f>
        <v>No SMA</v>
      </c>
      <c r="M1480" s="12" t="s">
        <v>55</v>
      </c>
      <c r="N1480" s="12" t="str">
        <f>tblSites[[#This Row],[FinalImplementingPartner]]</f>
        <v>No SMA</v>
      </c>
    </row>
    <row r="1481" spans="1:14" x14ac:dyDescent="0.25">
      <c r="A1481" s="12" t="s">
        <v>3802</v>
      </c>
      <c r="B1481" s="12" t="s">
        <v>4393</v>
      </c>
      <c r="C1481" s="12" t="s">
        <v>4925</v>
      </c>
      <c r="D1481" t="s">
        <v>5314</v>
      </c>
      <c r="E1481" s="12" t="s">
        <v>3176</v>
      </c>
      <c r="F1481" s="12" t="s">
        <v>173</v>
      </c>
      <c r="G1481" s="12" t="s">
        <v>5404</v>
      </c>
      <c r="H1481" s="12" t="s">
        <v>4393</v>
      </c>
      <c r="I1481" s="84">
        <v>27002105</v>
      </c>
      <c r="J1481" s="12" t="s">
        <v>5102</v>
      </c>
      <c r="L1481" s="12" t="str">
        <f>IF(OR(ISBLANK(tblSites[[#This Row],[Implementing Partner]]), tblSites[[#This Row],[Implementing Partner]]="-"), tblSites[[#This Row],[Site Agency]], tblSites[[#This Row],[Implementing Partner]])</f>
        <v>No SMA</v>
      </c>
      <c r="M1481" s="12" t="s">
        <v>55</v>
      </c>
      <c r="N1481" s="12" t="str">
        <f>tblSites[[#This Row],[FinalImplementingPartner]]</f>
        <v>No SMA</v>
      </c>
    </row>
    <row r="1482" spans="1:14" x14ac:dyDescent="0.25">
      <c r="A1482" s="12" t="s">
        <v>3803</v>
      </c>
      <c r="B1482" s="12" t="s">
        <v>4394</v>
      </c>
      <c r="C1482" s="12" t="s">
        <v>4926</v>
      </c>
      <c r="D1482" t="s">
        <v>5314</v>
      </c>
      <c r="E1482" s="12" t="s">
        <v>3176</v>
      </c>
      <c r="F1482" s="12" t="s">
        <v>173</v>
      </c>
      <c r="G1482" s="12" t="s">
        <v>5404</v>
      </c>
      <c r="H1482" s="12" t="s">
        <v>4394</v>
      </c>
      <c r="I1482" s="84">
        <v>27002105</v>
      </c>
      <c r="J1482" s="12" t="s">
        <v>5102</v>
      </c>
      <c r="L1482" s="12" t="str">
        <f>IF(OR(ISBLANK(tblSites[[#This Row],[Implementing Partner]]), tblSites[[#This Row],[Implementing Partner]]="-"), tblSites[[#This Row],[Site Agency]], tblSites[[#This Row],[Implementing Partner]])</f>
        <v>No SMA</v>
      </c>
      <c r="M1482" s="12" t="s">
        <v>55</v>
      </c>
      <c r="N1482" s="12" t="str">
        <f>tblSites[[#This Row],[FinalImplementingPartner]]</f>
        <v>No SMA</v>
      </c>
    </row>
    <row r="1483" spans="1:14" x14ac:dyDescent="0.25">
      <c r="A1483" s="12" t="s">
        <v>3804</v>
      </c>
      <c r="B1483" s="12" t="s">
        <v>4395</v>
      </c>
      <c r="C1483" s="12" t="s">
        <v>4927</v>
      </c>
      <c r="D1483" t="s">
        <v>5314</v>
      </c>
      <c r="E1483" s="12" t="s">
        <v>3176</v>
      </c>
      <c r="F1483" s="12" t="s">
        <v>1360</v>
      </c>
      <c r="G1483" s="12" t="s">
        <v>5417</v>
      </c>
      <c r="H1483" s="12" t="s">
        <v>4395</v>
      </c>
      <c r="I1483" s="84">
        <v>27002107</v>
      </c>
      <c r="J1483" s="12" t="s">
        <v>5102</v>
      </c>
      <c r="L1483" s="12" t="str">
        <f>IF(OR(ISBLANK(tblSites[[#This Row],[Implementing Partner]]), tblSites[[#This Row],[Implementing Partner]]="-"), tblSites[[#This Row],[Site Agency]], tblSites[[#This Row],[Implementing Partner]])</f>
        <v>No SMA</v>
      </c>
      <c r="M1483" s="12" t="s">
        <v>55</v>
      </c>
      <c r="N1483" s="12" t="str">
        <f>tblSites[[#This Row],[FinalImplementingPartner]]</f>
        <v>No SMA</v>
      </c>
    </row>
    <row r="1484" spans="1:14" x14ac:dyDescent="0.25">
      <c r="A1484" s="12" t="s">
        <v>3805</v>
      </c>
      <c r="B1484" s="12" t="s">
        <v>4396</v>
      </c>
      <c r="C1484" s="12" t="s">
        <v>4928</v>
      </c>
      <c r="D1484" t="s">
        <v>5314</v>
      </c>
      <c r="E1484" s="12" t="s">
        <v>3176</v>
      </c>
      <c r="F1484" s="12" t="s">
        <v>173</v>
      </c>
      <c r="G1484" s="12" t="s">
        <v>5404</v>
      </c>
      <c r="H1484" s="12" t="s">
        <v>4396</v>
      </c>
      <c r="I1484" s="84">
        <v>27002105</v>
      </c>
      <c r="J1484" s="12" t="s">
        <v>5102</v>
      </c>
      <c r="L1484" s="12" t="str">
        <f>IF(OR(ISBLANK(tblSites[[#This Row],[Implementing Partner]]), tblSites[[#This Row],[Implementing Partner]]="-"), tblSites[[#This Row],[Site Agency]], tblSites[[#This Row],[Implementing Partner]])</f>
        <v>No SMA</v>
      </c>
      <c r="M1484" s="12" t="s">
        <v>55</v>
      </c>
      <c r="N1484" s="12" t="str">
        <f>tblSites[[#This Row],[FinalImplementingPartner]]</f>
        <v>No SMA</v>
      </c>
    </row>
    <row r="1485" spans="1:14" x14ac:dyDescent="0.25">
      <c r="A1485" s="12" t="s">
        <v>3806</v>
      </c>
      <c r="B1485" s="12" t="s">
        <v>4397</v>
      </c>
      <c r="C1485" s="12" t="s">
        <v>4929</v>
      </c>
      <c r="D1485" t="s">
        <v>5314</v>
      </c>
      <c r="E1485" s="12" t="s">
        <v>3176</v>
      </c>
      <c r="F1485" s="12" t="s">
        <v>173</v>
      </c>
      <c r="G1485" s="12" t="s">
        <v>5404</v>
      </c>
      <c r="H1485" s="12" t="s">
        <v>4397</v>
      </c>
      <c r="I1485" s="84">
        <v>27002105</v>
      </c>
      <c r="J1485" s="12" t="s">
        <v>5102</v>
      </c>
      <c r="K1485" s="12" t="s">
        <v>389</v>
      </c>
      <c r="L1485" s="12" t="str">
        <f>IF(OR(ISBLANK(tblSites[[#This Row],[Implementing Partner]]), tblSites[[#This Row],[Implementing Partner]]="-"), tblSites[[#This Row],[Site Agency]], tblSites[[#This Row],[Implementing Partner]])</f>
        <v>No SMA</v>
      </c>
      <c r="M1485" s="12" t="s">
        <v>55</v>
      </c>
      <c r="N1485" s="12" t="str">
        <f>tblSites[[#This Row],[FinalImplementingPartner]]</f>
        <v>No SMA</v>
      </c>
    </row>
    <row r="1486" spans="1:14" x14ac:dyDescent="0.25">
      <c r="A1486" s="12" t="s">
        <v>3807</v>
      </c>
      <c r="B1486" s="12" t="s">
        <v>4398</v>
      </c>
      <c r="C1486" s="12" t="s">
        <v>4930</v>
      </c>
      <c r="D1486" t="s">
        <v>5314</v>
      </c>
      <c r="E1486" s="12" t="s">
        <v>3176</v>
      </c>
      <c r="F1486" s="12" t="s">
        <v>53</v>
      </c>
      <c r="G1486" s="12" t="s">
        <v>5406</v>
      </c>
      <c r="H1486" s="12" t="s">
        <v>4398</v>
      </c>
      <c r="I1486" s="84">
        <v>27002154</v>
      </c>
      <c r="J1486" s="12" t="s">
        <v>5102</v>
      </c>
      <c r="K1486" s="12" t="s">
        <v>389</v>
      </c>
      <c r="L1486" s="12" t="str">
        <f>IF(OR(ISBLANK(tblSites[[#This Row],[Implementing Partner]]), tblSites[[#This Row],[Implementing Partner]]="-"), tblSites[[#This Row],[Site Agency]], tblSites[[#This Row],[Implementing Partner]])</f>
        <v>No SMA</v>
      </c>
      <c r="M1486" s="12" t="s">
        <v>55</v>
      </c>
      <c r="N1486" s="12" t="str">
        <f>tblSites[[#This Row],[FinalImplementingPartner]]</f>
        <v>No SMA</v>
      </c>
    </row>
    <row r="1487" spans="1:14" x14ac:dyDescent="0.25">
      <c r="A1487" s="12" t="s">
        <v>5259</v>
      </c>
      <c r="B1487" s="12" t="s">
        <v>4069</v>
      </c>
      <c r="C1487" s="12" t="s">
        <v>2200</v>
      </c>
      <c r="D1487" t="s">
        <v>5314</v>
      </c>
      <c r="E1487" s="12" t="s">
        <v>3176</v>
      </c>
      <c r="F1487" s="12" t="s">
        <v>82</v>
      </c>
      <c r="G1487" s="12" t="s">
        <v>5428</v>
      </c>
      <c r="H1487" s="12" t="s">
        <v>4069</v>
      </c>
      <c r="I1487" s="84">
        <v>27001153</v>
      </c>
      <c r="J1487" s="12" t="s">
        <v>5102</v>
      </c>
      <c r="K1487" s="12" t="s">
        <v>389</v>
      </c>
      <c r="L1487" s="12" t="str">
        <f>IF(OR(ISBLANK(tblSites[[#This Row],[Implementing Partner]]), tblSites[[#This Row],[Implementing Partner]]="-"), tblSites[[#This Row],[Site Agency]], tblSites[[#This Row],[Implementing Partner]])</f>
        <v>No SMA</v>
      </c>
      <c r="M1487" s="12" t="s">
        <v>55</v>
      </c>
      <c r="N1487" s="12" t="str">
        <f>tblSites[[#This Row],[FinalImplementingPartner]]</f>
        <v>No SMA</v>
      </c>
    </row>
    <row r="1488" spans="1:14" x14ac:dyDescent="0.25">
      <c r="A1488" s="12" t="s">
        <v>3808</v>
      </c>
      <c r="B1488" s="12" t="s">
        <v>4399</v>
      </c>
      <c r="C1488" s="12" t="s">
        <v>4931</v>
      </c>
      <c r="D1488" t="s">
        <v>5314</v>
      </c>
      <c r="E1488" s="12" t="s">
        <v>3176</v>
      </c>
      <c r="F1488" s="12" t="s">
        <v>82</v>
      </c>
      <c r="G1488" s="12" t="s">
        <v>5428</v>
      </c>
      <c r="H1488" s="12" t="s">
        <v>4399</v>
      </c>
      <c r="I1488" s="84">
        <v>27001153</v>
      </c>
      <c r="J1488" s="12" t="s">
        <v>5102</v>
      </c>
      <c r="K1488" s="12" t="s">
        <v>389</v>
      </c>
      <c r="L1488" s="12" t="str">
        <f>IF(OR(ISBLANK(tblSites[[#This Row],[Implementing Partner]]), tblSites[[#This Row],[Implementing Partner]]="-"), tblSites[[#This Row],[Site Agency]], tblSites[[#This Row],[Implementing Partner]])</f>
        <v>No SMA</v>
      </c>
      <c r="M1488" s="12" t="s">
        <v>55</v>
      </c>
      <c r="N1488" s="12" t="str">
        <f>tblSites[[#This Row],[FinalImplementingPartner]]</f>
        <v>No SMA</v>
      </c>
    </row>
    <row r="1489" spans="1:14" x14ac:dyDescent="0.25">
      <c r="A1489" s="12" t="s">
        <v>3809</v>
      </c>
      <c r="B1489" s="12" t="s">
        <v>4400</v>
      </c>
      <c r="C1489" s="12" t="s">
        <v>4932</v>
      </c>
      <c r="D1489" t="s">
        <v>5314</v>
      </c>
      <c r="E1489" s="12" t="s">
        <v>3176</v>
      </c>
      <c r="F1489" s="12" t="s">
        <v>53</v>
      </c>
      <c r="G1489" s="12" t="s">
        <v>5406</v>
      </c>
      <c r="H1489" s="12" t="s">
        <v>4400</v>
      </c>
      <c r="I1489" s="84">
        <v>27002154</v>
      </c>
      <c r="J1489" s="12" t="s">
        <v>5102</v>
      </c>
      <c r="K1489" s="12" t="s">
        <v>389</v>
      </c>
      <c r="L1489" s="12" t="str">
        <f>IF(OR(ISBLANK(tblSites[[#This Row],[Implementing Partner]]), tblSites[[#This Row],[Implementing Partner]]="-"), tblSites[[#This Row],[Site Agency]], tblSites[[#This Row],[Implementing Partner]])</f>
        <v>No SMA</v>
      </c>
      <c r="M1489" s="12" t="s">
        <v>55</v>
      </c>
      <c r="N1489" s="12" t="str">
        <f>tblSites[[#This Row],[FinalImplementingPartner]]</f>
        <v>No SMA</v>
      </c>
    </row>
    <row r="1490" spans="1:14" x14ac:dyDescent="0.25">
      <c r="A1490" s="12" t="s">
        <v>3810</v>
      </c>
      <c r="B1490" s="12" t="s">
        <v>4402</v>
      </c>
      <c r="C1490" s="12" t="s">
        <v>4934</v>
      </c>
      <c r="D1490" t="s">
        <v>5314</v>
      </c>
      <c r="E1490" s="12" t="s">
        <v>3176</v>
      </c>
      <c r="F1490" s="12" t="s">
        <v>82</v>
      </c>
      <c r="G1490" s="12" t="s">
        <v>5442</v>
      </c>
      <c r="H1490" s="12" t="s">
        <v>4402</v>
      </c>
      <c r="I1490" s="84">
        <v>27001153</v>
      </c>
      <c r="J1490" s="12" t="s">
        <v>54</v>
      </c>
      <c r="L1490" s="12" t="str">
        <f>IF(OR(ISBLANK(tblSites[[#This Row],[Implementing Partner]]), tblSites[[#This Row],[Implementing Partner]]="-"), tblSites[[#This Row],[Site Agency]], tblSites[[#This Row],[Implementing Partner]])</f>
        <v>PHC</v>
      </c>
      <c r="M1490" s="12" t="s">
        <v>55</v>
      </c>
      <c r="N1490" s="12" t="str">
        <f>tblSites[[#This Row],[FinalImplementingPartner]]</f>
        <v>PHC</v>
      </c>
    </row>
    <row r="1491" spans="1:14" x14ac:dyDescent="0.25">
      <c r="A1491" s="12" t="s">
        <v>3811</v>
      </c>
      <c r="B1491" s="12" t="s">
        <v>4403</v>
      </c>
      <c r="C1491" s="12" t="s">
        <v>4935</v>
      </c>
      <c r="D1491" t="s">
        <v>5314</v>
      </c>
      <c r="E1491" s="12" t="s">
        <v>3176</v>
      </c>
      <c r="F1491" s="12" t="s">
        <v>53</v>
      </c>
      <c r="G1491" s="12" t="s">
        <v>5406</v>
      </c>
      <c r="H1491" s="12" t="s">
        <v>4403</v>
      </c>
      <c r="I1491" s="84">
        <v>27002154</v>
      </c>
      <c r="J1491" s="12" t="s">
        <v>5102</v>
      </c>
      <c r="K1491" s="12" t="s">
        <v>389</v>
      </c>
      <c r="L1491" s="12" t="str">
        <f>IF(OR(ISBLANK(tblSites[[#This Row],[Implementing Partner]]), tblSites[[#This Row],[Implementing Partner]]="-"), tblSites[[#This Row],[Site Agency]], tblSites[[#This Row],[Implementing Partner]])</f>
        <v>No SMA</v>
      </c>
      <c r="M1491" s="12" t="s">
        <v>55</v>
      </c>
      <c r="N1491" s="12" t="str">
        <f>tblSites[[#This Row],[FinalImplementingPartner]]</f>
        <v>No SMA</v>
      </c>
    </row>
    <row r="1492" spans="1:14" x14ac:dyDescent="0.25">
      <c r="A1492" s="12" t="s">
        <v>3812</v>
      </c>
      <c r="B1492" s="12" t="s">
        <v>2806</v>
      </c>
      <c r="C1492" s="12" t="s">
        <v>271</v>
      </c>
      <c r="D1492" t="s">
        <v>5314</v>
      </c>
      <c r="E1492" s="12" t="s">
        <v>3176</v>
      </c>
      <c r="F1492" s="12" t="s">
        <v>53</v>
      </c>
      <c r="G1492" s="12" t="s">
        <v>5406</v>
      </c>
      <c r="H1492" s="12" t="s">
        <v>2806</v>
      </c>
      <c r="I1492" s="84">
        <v>27002154</v>
      </c>
      <c r="J1492" s="12" t="s">
        <v>5102</v>
      </c>
      <c r="K1492" s="12" t="s">
        <v>389</v>
      </c>
      <c r="L1492" s="12" t="str">
        <f>IF(OR(ISBLANK(tblSites[[#This Row],[Implementing Partner]]), tblSites[[#This Row],[Implementing Partner]]="-"), tblSites[[#This Row],[Site Agency]], tblSites[[#This Row],[Implementing Partner]])</f>
        <v>No SMA</v>
      </c>
      <c r="M1492" s="12" t="s">
        <v>55</v>
      </c>
      <c r="N1492" s="12" t="str">
        <f>tblSites[[#This Row],[FinalImplementingPartner]]</f>
        <v>No SMA</v>
      </c>
    </row>
    <row r="1493" spans="1:14" x14ac:dyDescent="0.25">
      <c r="A1493" s="12" t="s">
        <v>3813</v>
      </c>
      <c r="B1493" s="12" t="s">
        <v>4405</v>
      </c>
      <c r="C1493" s="12" t="s">
        <v>4936</v>
      </c>
      <c r="D1493" t="s">
        <v>5314</v>
      </c>
      <c r="E1493" s="12" t="s">
        <v>3176</v>
      </c>
      <c r="F1493" s="12" t="s">
        <v>82</v>
      </c>
      <c r="G1493" s="12" t="s">
        <v>5428</v>
      </c>
      <c r="H1493" s="12" t="s">
        <v>4405</v>
      </c>
      <c r="I1493" s="84">
        <v>27001153</v>
      </c>
      <c r="J1493" s="12" t="s">
        <v>5102</v>
      </c>
      <c r="L1493" s="12" t="str">
        <f>IF(OR(ISBLANK(tblSites[[#This Row],[Implementing Partner]]), tblSites[[#This Row],[Implementing Partner]]="-"), tblSites[[#This Row],[Site Agency]], tblSites[[#This Row],[Implementing Partner]])</f>
        <v>No SMA</v>
      </c>
      <c r="M1493" s="12" t="s">
        <v>55</v>
      </c>
      <c r="N1493" s="12" t="str">
        <f>tblSites[[#This Row],[FinalImplementingPartner]]</f>
        <v>No SMA</v>
      </c>
    </row>
    <row r="1494" spans="1:14" x14ac:dyDescent="0.25">
      <c r="A1494" s="12" t="s">
        <v>3814</v>
      </c>
      <c r="B1494" s="12" t="s">
        <v>1654</v>
      </c>
      <c r="C1494" s="12" t="s">
        <v>885</v>
      </c>
      <c r="D1494" t="s">
        <v>5314</v>
      </c>
      <c r="E1494" s="12" t="s">
        <v>3176</v>
      </c>
      <c r="F1494" s="12" t="s">
        <v>53</v>
      </c>
      <c r="G1494" s="12" t="s">
        <v>5406</v>
      </c>
      <c r="H1494" s="12" t="s">
        <v>1654</v>
      </c>
      <c r="I1494" s="84">
        <v>27002154</v>
      </c>
      <c r="J1494" s="12" t="s">
        <v>5102</v>
      </c>
      <c r="K1494" s="12" t="s">
        <v>389</v>
      </c>
      <c r="L1494" s="12" t="str">
        <f>IF(OR(ISBLANK(tblSites[[#This Row],[Implementing Partner]]), tblSites[[#This Row],[Implementing Partner]]="-"), tblSites[[#This Row],[Site Agency]], tblSites[[#This Row],[Implementing Partner]])</f>
        <v>No SMA</v>
      </c>
      <c r="M1494" s="12" t="s">
        <v>55</v>
      </c>
      <c r="N1494" s="12" t="str">
        <f>tblSites[[#This Row],[FinalImplementingPartner]]</f>
        <v>No SMA</v>
      </c>
    </row>
    <row r="1495" spans="1:14" x14ac:dyDescent="0.25">
      <c r="A1495" s="12" t="s">
        <v>5260</v>
      </c>
      <c r="B1495" s="12" t="s">
        <v>4084</v>
      </c>
      <c r="C1495" s="12" t="s">
        <v>4667</v>
      </c>
      <c r="D1495" t="s">
        <v>5314</v>
      </c>
      <c r="E1495" s="12" t="s">
        <v>3176</v>
      </c>
      <c r="F1495" s="12" t="s">
        <v>82</v>
      </c>
      <c r="G1495" s="12" t="s">
        <v>5428</v>
      </c>
      <c r="H1495" s="12" t="s">
        <v>4084</v>
      </c>
      <c r="I1495" s="84">
        <v>27001153</v>
      </c>
      <c r="J1495" s="12" t="s">
        <v>5102</v>
      </c>
      <c r="K1495" s="12" t="s">
        <v>389</v>
      </c>
      <c r="L1495" s="12" t="str">
        <f>IF(OR(ISBLANK(tblSites[[#This Row],[Implementing Partner]]), tblSites[[#This Row],[Implementing Partner]]="-"), tblSites[[#This Row],[Site Agency]], tblSites[[#This Row],[Implementing Partner]])</f>
        <v>No SMA</v>
      </c>
      <c r="M1495" s="12" t="s">
        <v>55</v>
      </c>
      <c r="N1495" s="12" t="str">
        <f>tblSites[[#This Row],[FinalImplementingPartner]]</f>
        <v>No SMA</v>
      </c>
    </row>
    <row r="1496" spans="1:14" x14ac:dyDescent="0.25">
      <c r="A1496" s="12" t="s">
        <v>3815</v>
      </c>
      <c r="B1496" s="12" t="s">
        <v>4407</v>
      </c>
      <c r="C1496" s="12" t="s">
        <v>4938</v>
      </c>
      <c r="D1496" t="s">
        <v>5314</v>
      </c>
      <c r="E1496" s="12" t="s">
        <v>3176</v>
      </c>
      <c r="F1496" s="12" t="s">
        <v>53</v>
      </c>
      <c r="G1496" s="12" t="s">
        <v>5406</v>
      </c>
      <c r="H1496" s="12" t="s">
        <v>4407</v>
      </c>
      <c r="I1496" s="84">
        <v>27002154</v>
      </c>
      <c r="J1496" s="12" t="s">
        <v>5102</v>
      </c>
      <c r="K1496" s="12" t="s">
        <v>389</v>
      </c>
      <c r="L1496" s="12" t="str">
        <f>IF(OR(ISBLANK(tblSites[[#This Row],[Implementing Partner]]), tblSites[[#This Row],[Implementing Partner]]="-"), tblSites[[#This Row],[Site Agency]], tblSites[[#This Row],[Implementing Partner]])</f>
        <v>No SMA</v>
      </c>
      <c r="M1496" s="12" t="s">
        <v>55</v>
      </c>
      <c r="N1496" s="12" t="str">
        <f>tblSites[[#This Row],[FinalImplementingPartner]]</f>
        <v>No SMA</v>
      </c>
    </row>
    <row r="1497" spans="1:14" x14ac:dyDescent="0.25">
      <c r="A1497" s="12" t="s">
        <v>3816</v>
      </c>
      <c r="B1497" s="12" t="s">
        <v>4408</v>
      </c>
      <c r="C1497" s="12" t="s">
        <v>4939</v>
      </c>
      <c r="D1497" t="s">
        <v>5314</v>
      </c>
      <c r="E1497" s="12" t="s">
        <v>3176</v>
      </c>
      <c r="F1497" s="12" t="s">
        <v>2952</v>
      </c>
      <c r="G1497" s="12" t="s">
        <v>5420</v>
      </c>
      <c r="H1497" s="12" t="s">
        <v>4408</v>
      </c>
      <c r="I1497" s="84">
        <v>27002106</v>
      </c>
      <c r="J1497" s="12" t="s">
        <v>5102</v>
      </c>
      <c r="L1497" s="12" t="str">
        <f>IF(OR(ISBLANK(tblSites[[#This Row],[Implementing Partner]]), tblSites[[#This Row],[Implementing Partner]]="-"), tblSites[[#This Row],[Site Agency]], tblSites[[#This Row],[Implementing Partner]])</f>
        <v>No SMA</v>
      </c>
      <c r="M1497" s="12" t="s">
        <v>55</v>
      </c>
      <c r="N1497" s="12" t="str">
        <f>tblSites[[#This Row],[FinalImplementingPartner]]</f>
        <v>No SMA</v>
      </c>
    </row>
    <row r="1498" spans="1:14" x14ac:dyDescent="0.25">
      <c r="A1498" s="12" t="s">
        <v>3817</v>
      </c>
      <c r="B1498" s="12" t="s">
        <v>4413</v>
      </c>
      <c r="C1498" s="12" t="s">
        <v>5305</v>
      </c>
      <c r="D1498" t="s">
        <v>5314</v>
      </c>
      <c r="E1498" s="12" t="s">
        <v>3176</v>
      </c>
      <c r="F1498" s="12" t="s">
        <v>53</v>
      </c>
      <c r="G1498" s="12" t="s">
        <v>5406</v>
      </c>
      <c r="H1498" s="12" t="s">
        <v>4413</v>
      </c>
      <c r="I1498" s="84">
        <v>27002154</v>
      </c>
      <c r="J1498" s="12" t="s">
        <v>5102</v>
      </c>
      <c r="L1498" s="12" t="str">
        <f>IF(OR(ISBLANK(tblSites[[#This Row],[Implementing Partner]]), tblSites[[#This Row],[Implementing Partner]]="-"), tblSites[[#This Row],[Site Agency]], tblSites[[#This Row],[Implementing Partner]])</f>
        <v>No SMA</v>
      </c>
      <c r="M1498" s="12" t="s">
        <v>55</v>
      </c>
      <c r="N1498" s="12" t="str">
        <f>tblSites[[#This Row],[FinalImplementingPartner]]</f>
        <v>No SMA</v>
      </c>
    </row>
    <row r="1499" spans="1:14" x14ac:dyDescent="0.25">
      <c r="A1499" s="12" t="s">
        <v>3818</v>
      </c>
      <c r="B1499" s="12" t="s">
        <v>4414</v>
      </c>
      <c r="C1499" s="12" t="s">
        <v>4944</v>
      </c>
      <c r="D1499" t="s">
        <v>5314</v>
      </c>
      <c r="E1499" s="12" t="s">
        <v>3176</v>
      </c>
      <c r="F1499" s="12" t="s">
        <v>82</v>
      </c>
      <c r="G1499" s="12" t="s">
        <v>5428</v>
      </c>
      <c r="H1499" s="12" t="s">
        <v>4414</v>
      </c>
      <c r="I1499" s="84">
        <v>27001153</v>
      </c>
      <c r="J1499" s="12" t="s">
        <v>5102</v>
      </c>
      <c r="K1499" s="12" t="s">
        <v>389</v>
      </c>
      <c r="L1499" s="12" t="str">
        <f>IF(OR(ISBLANK(tblSites[[#This Row],[Implementing Partner]]), tblSites[[#This Row],[Implementing Partner]]="-"), tblSites[[#This Row],[Site Agency]], tblSites[[#This Row],[Implementing Partner]])</f>
        <v>No SMA</v>
      </c>
      <c r="M1499" s="12" t="s">
        <v>55</v>
      </c>
      <c r="N1499" s="12" t="str">
        <f>tblSites[[#This Row],[FinalImplementingPartner]]</f>
        <v>No SMA</v>
      </c>
    </row>
    <row r="1500" spans="1:14" x14ac:dyDescent="0.25">
      <c r="A1500" s="12" t="s">
        <v>3819</v>
      </c>
      <c r="B1500" s="12" t="s">
        <v>4416</v>
      </c>
      <c r="C1500" s="12" t="s">
        <v>4946</v>
      </c>
      <c r="D1500" t="s">
        <v>5314</v>
      </c>
      <c r="E1500" s="12" t="s">
        <v>3176</v>
      </c>
      <c r="F1500" s="12" t="s">
        <v>82</v>
      </c>
      <c r="G1500" s="12" t="s">
        <v>5434</v>
      </c>
      <c r="H1500" s="12" t="s">
        <v>4416</v>
      </c>
      <c r="I1500" s="84">
        <v>27001153</v>
      </c>
      <c r="J1500" s="12" t="s">
        <v>662</v>
      </c>
      <c r="L1500" s="12" t="str">
        <f>IF(OR(ISBLANK(tblSites[[#This Row],[Implementing Partner]]), tblSites[[#This Row],[Implementing Partner]]="-"), tblSites[[#This Row],[Site Agency]], tblSites[[#This Row],[Implementing Partner]])</f>
        <v>PARC</v>
      </c>
      <c r="M1500" s="12" t="s">
        <v>55</v>
      </c>
      <c r="N1500" s="12" t="str">
        <f>tblSites[[#This Row],[FinalImplementingPartner]]</f>
        <v>PARC</v>
      </c>
    </row>
    <row r="1501" spans="1:14" x14ac:dyDescent="0.25">
      <c r="A1501" s="12" t="s">
        <v>3820</v>
      </c>
      <c r="B1501" s="12" t="s">
        <v>4417</v>
      </c>
      <c r="C1501" s="12" t="s">
        <v>4947</v>
      </c>
      <c r="D1501" t="s">
        <v>5314</v>
      </c>
      <c r="E1501" s="12" t="s">
        <v>3176</v>
      </c>
      <c r="F1501" s="12" t="s">
        <v>325</v>
      </c>
      <c r="G1501" s="12" t="s">
        <v>5422</v>
      </c>
      <c r="H1501" s="12" t="s">
        <v>4417</v>
      </c>
      <c r="I1501" s="84">
        <v>27002104</v>
      </c>
      <c r="J1501" s="12" t="s">
        <v>1215</v>
      </c>
      <c r="K1501" s="12" t="s">
        <v>389</v>
      </c>
      <c r="L1501" s="12" t="str">
        <f>IF(OR(ISBLANK(tblSites[[#This Row],[Implementing Partner]]), tblSites[[#This Row],[Implementing Partner]]="-"), tblSites[[#This Row],[Site Agency]], tblSites[[#This Row],[Implementing Partner]])</f>
        <v>UNRWA</v>
      </c>
      <c r="M1501" s="12" t="s">
        <v>55</v>
      </c>
      <c r="N1501" s="12" t="str">
        <f>tblSites[[#This Row],[FinalImplementingPartner]]</f>
        <v>UNRWA</v>
      </c>
    </row>
    <row r="1502" spans="1:14" x14ac:dyDescent="0.25">
      <c r="A1502" s="12" t="s">
        <v>3821</v>
      </c>
      <c r="B1502" s="12" t="s">
        <v>4423</v>
      </c>
      <c r="C1502" s="12" t="s">
        <v>4950</v>
      </c>
      <c r="D1502" t="s">
        <v>5314</v>
      </c>
      <c r="E1502" s="12" t="s">
        <v>3176</v>
      </c>
      <c r="F1502" s="12" t="s">
        <v>440</v>
      </c>
      <c r="G1502" s="12" t="s">
        <v>5410</v>
      </c>
      <c r="H1502" s="12" t="s">
        <v>4423</v>
      </c>
      <c r="I1502" s="84">
        <v>27003176</v>
      </c>
      <c r="J1502" s="12" t="s">
        <v>5102</v>
      </c>
      <c r="L1502" s="12" t="str">
        <f>IF(OR(ISBLANK(tblSites[[#This Row],[Implementing Partner]]), tblSites[[#This Row],[Implementing Partner]]="-"), tblSites[[#This Row],[Site Agency]], tblSites[[#This Row],[Implementing Partner]])</f>
        <v>No SMA</v>
      </c>
      <c r="M1502" s="12" t="s">
        <v>55</v>
      </c>
      <c r="N1502" s="12" t="str">
        <f>tblSites[[#This Row],[FinalImplementingPartner]]</f>
        <v>No SMA</v>
      </c>
    </row>
    <row r="1503" spans="1:14" x14ac:dyDescent="0.25">
      <c r="A1503" s="12" t="s">
        <v>3822</v>
      </c>
      <c r="B1503" s="12" t="s">
        <v>4424</v>
      </c>
      <c r="C1503" s="12" t="s">
        <v>4951</v>
      </c>
      <c r="D1503" t="s">
        <v>5314</v>
      </c>
      <c r="E1503" s="12" t="s">
        <v>3176</v>
      </c>
      <c r="F1503" s="12" t="s">
        <v>173</v>
      </c>
      <c r="G1503" s="12" t="s">
        <v>5404</v>
      </c>
      <c r="H1503" s="12" t="s">
        <v>4424</v>
      </c>
      <c r="I1503" s="84">
        <v>27002105</v>
      </c>
      <c r="J1503" s="12" t="s">
        <v>5102</v>
      </c>
      <c r="L1503" s="12" t="str">
        <f>IF(OR(ISBLANK(tblSites[[#This Row],[Implementing Partner]]), tblSites[[#This Row],[Implementing Partner]]="-"), tblSites[[#This Row],[Site Agency]], tblSites[[#This Row],[Implementing Partner]])</f>
        <v>No SMA</v>
      </c>
      <c r="M1503" s="12" t="s">
        <v>55</v>
      </c>
      <c r="N1503" s="12" t="str">
        <f>tblSites[[#This Row],[FinalImplementingPartner]]</f>
        <v>No SMA</v>
      </c>
    </row>
    <row r="1504" spans="1:14" x14ac:dyDescent="0.25">
      <c r="A1504" s="12" t="s">
        <v>3823</v>
      </c>
      <c r="B1504" s="12" t="s">
        <v>4425</v>
      </c>
      <c r="C1504" s="12" t="s">
        <v>4952</v>
      </c>
      <c r="D1504" t="s">
        <v>5314</v>
      </c>
      <c r="E1504" s="12" t="s">
        <v>3176</v>
      </c>
      <c r="F1504" s="12" t="s">
        <v>173</v>
      </c>
      <c r="G1504" s="12" t="s">
        <v>5404</v>
      </c>
      <c r="H1504" s="12" t="s">
        <v>4425</v>
      </c>
      <c r="I1504" s="84">
        <v>27002105</v>
      </c>
      <c r="J1504" s="12" t="s">
        <v>5102</v>
      </c>
      <c r="L1504" s="12" t="str">
        <f>IF(OR(ISBLANK(tblSites[[#This Row],[Implementing Partner]]), tblSites[[#This Row],[Implementing Partner]]="-"), tblSites[[#This Row],[Site Agency]], tblSites[[#This Row],[Implementing Partner]])</f>
        <v>No SMA</v>
      </c>
      <c r="M1504" s="12" t="s">
        <v>55</v>
      </c>
      <c r="N1504" s="12" t="str">
        <f>tblSites[[#This Row],[FinalImplementingPartner]]</f>
        <v>No SMA</v>
      </c>
    </row>
    <row r="1505" spans="1:14" x14ac:dyDescent="0.25">
      <c r="A1505" s="12" t="s">
        <v>3824</v>
      </c>
      <c r="B1505" s="12" t="s">
        <v>4426</v>
      </c>
      <c r="C1505" s="12" t="s">
        <v>4953</v>
      </c>
      <c r="D1505" t="s">
        <v>5314</v>
      </c>
      <c r="E1505" s="12" t="s">
        <v>3176</v>
      </c>
      <c r="F1505" s="12" t="s">
        <v>79</v>
      </c>
      <c r="G1505" s="12" t="s">
        <v>5419</v>
      </c>
      <c r="H1505" s="12" t="s">
        <v>4426</v>
      </c>
      <c r="I1505" s="84">
        <v>27002101</v>
      </c>
      <c r="J1505" s="12" t="s">
        <v>5102</v>
      </c>
      <c r="K1505" s="12" t="s">
        <v>389</v>
      </c>
      <c r="L1505" s="12" t="str">
        <f>IF(OR(ISBLANK(tblSites[[#This Row],[Implementing Partner]]), tblSites[[#This Row],[Implementing Partner]]="-"), tblSites[[#This Row],[Site Agency]], tblSites[[#This Row],[Implementing Partner]])</f>
        <v>No SMA</v>
      </c>
      <c r="M1505" s="12" t="s">
        <v>55</v>
      </c>
      <c r="N1505" s="12" t="str">
        <f>tblSites[[#This Row],[FinalImplementingPartner]]</f>
        <v>No SMA</v>
      </c>
    </row>
    <row r="1506" spans="1:14" x14ac:dyDescent="0.25">
      <c r="A1506" s="12" t="s">
        <v>3825</v>
      </c>
      <c r="B1506" s="12" t="s">
        <v>4427</v>
      </c>
      <c r="C1506" s="12" t="s">
        <v>4954</v>
      </c>
      <c r="D1506" t="s">
        <v>5314</v>
      </c>
      <c r="E1506" s="12" t="s">
        <v>3176</v>
      </c>
      <c r="F1506" s="12" t="s">
        <v>79</v>
      </c>
      <c r="G1506" s="12" t="s">
        <v>5419</v>
      </c>
      <c r="H1506" s="12" t="s">
        <v>4427</v>
      </c>
      <c r="I1506" s="84">
        <v>27002101</v>
      </c>
      <c r="J1506" s="12" t="s">
        <v>5102</v>
      </c>
      <c r="K1506" s="12" t="s">
        <v>389</v>
      </c>
      <c r="L1506" s="12" t="str">
        <f>IF(OR(ISBLANK(tblSites[[#This Row],[Implementing Partner]]), tblSites[[#This Row],[Implementing Partner]]="-"), tblSites[[#This Row],[Site Agency]], tblSites[[#This Row],[Implementing Partner]])</f>
        <v>No SMA</v>
      </c>
      <c r="M1506" s="12" t="s">
        <v>55</v>
      </c>
      <c r="N1506" s="12" t="str">
        <f>tblSites[[#This Row],[FinalImplementingPartner]]</f>
        <v>No SMA</v>
      </c>
    </row>
    <row r="1507" spans="1:14" x14ac:dyDescent="0.25">
      <c r="A1507" s="12" t="s">
        <v>3826</v>
      </c>
      <c r="B1507" s="12" t="s">
        <v>4428</v>
      </c>
      <c r="C1507" s="12" t="s">
        <v>4955</v>
      </c>
      <c r="D1507" t="s">
        <v>5314</v>
      </c>
      <c r="E1507" s="12" t="s">
        <v>3176</v>
      </c>
      <c r="F1507" s="12" t="s">
        <v>79</v>
      </c>
      <c r="G1507" s="12" t="s">
        <v>5419</v>
      </c>
      <c r="H1507" s="12" t="s">
        <v>4428</v>
      </c>
      <c r="I1507" s="84">
        <v>27002101</v>
      </c>
      <c r="J1507" s="12" t="s">
        <v>5102</v>
      </c>
      <c r="K1507" s="12" t="s">
        <v>389</v>
      </c>
      <c r="L1507" s="12" t="str">
        <f>IF(OR(ISBLANK(tblSites[[#This Row],[Implementing Partner]]), tblSites[[#This Row],[Implementing Partner]]="-"), tblSites[[#This Row],[Site Agency]], tblSites[[#This Row],[Implementing Partner]])</f>
        <v>No SMA</v>
      </c>
      <c r="M1507" s="12" t="s">
        <v>55</v>
      </c>
      <c r="N1507" s="12" t="str">
        <f>tblSites[[#This Row],[FinalImplementingPartner]]</f>
        <v>No SMA</v>
      </c>
    </row>
    <row r="1508" spans="1:14" x14ac:dyDescent="0.25">
      <c r="A1508" s="12" t="s">
        <v>3827</v>
      </c>
      <c r="B1508" s="12" t="s">
        <v>4429</v>
      </c>
      <c r="C1508" s="12" t="s">
        <v>4956</v>
      </c>
      <c r="D1508" t="s">
        <v>5314</v>
      </c>
      <c r="E1508" s="12" t="s">
        <v>3176</v>
      </c>
      <c r="F1508" s="12" t="s">
        <v>79</v>
      </c>
      <c r="G1508" s="12" t="s">
        <v>5419</v>
      </c>
      <c r="H1508" s="12" t="s">
        <v>4429</v>
      </c>
      <c r="I1508" s="84">
        <v>27002101</v>
      </c>
      <c r="J1508" s="12" t="s">
        <v>5102</v>
      </c>
      <c r="K1508" s="12" t="s">
        <v>389</v>
      </c>
      <c r="L1508" s="12" t="str">
        <f>IF(OR(ISBLANK(tblSites[[#This Row],[Implementing Partner]]), tblSites[[#This Row],[Implementing Partner]]="-"), tblSites[[#This Row],[Site Agency]], tblSites[[#This Row],[Implementing Partner]])</f>
        <v>No SMA</v>
      </c>
      <c r="M1508" s="12" t="s">
        <v>55</v>
      </c>
      <c r="N1508" s="12" t="str">
        <f>tblSites[[#This Row],[FinalImplementingPartner]]</f>
        <v>No SMA</v>
      </c>
    </row>
    <row r="1509" spans="1:14" x14ac:dyDescent="0.25">
      <c r="A1509" s="12" t="s">
        <v>3828</v>
      </c>
      <c r="B1509" s="12" t="s">
        <v>4430</v>
      </c>
      <c r="C1509" s="12" t="s">
        <v>5306</v>
      </c>
      <c r="D1509" t="s">
        <v>5314</v>
      </c>
      <c r="E1509" s="12" t="s">
        <v>3176</v>
      </c>
      <c r="F1509" s="12" t="s">
        <v>79</v>
      </c>
      <c r="G1509" s="12" t="s">
        <v>5419</v>
      </c>
      <c r="H1509" s="12" t="s">
        <v>4430</v>
      </c>
      <c r="I1509" s="84">
        <v>27002101</v>
      </c>
      <c r="J1509" s="12" t="s">
        <v>5102</v>
      </c>
      <c r="L1509" s="12" t="str">
        <f>IF(OR(ISBLANK(tblSites[[#This Row],[Implementing Partner]]), tblSites[[#This Row],[Implementing Partner]]="-"), tblSites[[#This Row],[Site Agency]], tblSites[[#This Row],[Implementing Partner]])</f>
        <v>No SMA</v>
      </c>
      <c r="M1509" s="12" t="s">
        <v>55</v>
      </c>
      <c r="N1509" s="12" t="str">
        <f>tblSites[[#This Row],[FinalImplementingPartner]]</f>
        <v>No SMA</v>
      </c>
    </row>
    <row r="1510" spans="1:14" x14ac:dyDescent="0.25">
      <c r="A1510" s="12" t="s">
        <v>3829</v>
      </c>
      <c r="B1510" s="12" t="s">
        <v>4431</v>
      </c>
      <c r="C1510" s="12" t="s">
        <v>4957</v>
      </c>
      <c r="D1510" t="s">
        <v>5314</v>
      </c>
      <c r="E1510" s="12" t="s">
        <v>3176</v>
      </c>
      <c r="F1510" s="12" t="s">
        <v>79</v>
      </c>
      <c r="G1510" s="12" t="s">
        <v>5419</v>
      </c>
      <c r="H1510" s="12" t="s">
        <v>4431</v>
      </c>
      <c r="I1510" s="84">
        <v>27002101</v>
      </c>
      <c r="J1510" s="12" t="s">
        <v>5102</v>
      </c>
      <c r="L1510" s="12" t="str">
        <f>IF(OR(ISBLANK(tblSites[[#This Row],[Implementing Partner]]), tblSites[[#This Row],[Implementing Partner]]="-"), tblSites[[#This Row],[Site Agency]], tblSites[[#This Row],[Implementing Partner]])</f>
        <v>No SMA</v>
      </c>
      <c r="M1510" s="12" t="s">
        <v>55</v>
      </c>
      <c r="N1510" s="12" t="str">
        <f>tblSites[[#This Row],[FinalImplementingPartner]]</f>
        <v>No SMA</v>
      </c>
    </row>
    <row r="1511" spans="1:14" x14ac:dyDescent="0.25">
      <c r="A1511" s="12" t="s">
        <v>3830</v>
      </c>
      <c r="B1511" s="12" t="s">
        <v>4432</v>
      </c>
      <c r="C1511" s="12" t="s">
        <v>4958</v>
      </c>
      <c r="D1511" t="s">
        <v>5314</v>
      </c>
      <c r="E1511" s="12" t="s">
        <v>3176</v>
      </c>
      <c r="F1511" s="12" t="s">
        <v>79</v>
      </c>
      <c r="G1511" s="12" t="s">
        <v>5419</v>
      </c>
      <c r="H1511" s="12" t="s">
        <v>4432</v>
      </c>
      <c r="I1511" s="84">
        <v>27002101</v>
      </c>
      <c r="J1511" s="12" t="s">
        <v>5102</v>
      </c>
      <c r="K1511" s="12" t="s">
        <v>389</v>
      </c>
      <c r="L1511" s="12" t="str">
        <f>IF(OR(ISBLANK(tblSites[[#This Row],[Implementing Partner]]), tblSites[[#This Row],[Implementing Partner]]="-"), tblSites[[#This Row],[Site Agency]], tblSites[[#This Row],[Implementing Partner]])</f>
        <v>No SMA</v>
      </c>
      <c r="M1511" s="12" t="s">
        <v>55</v>
      </c>
      <c r="N1511" s="12" t="str">
        <f>tblSites[[#This Row],[FinalImplementingPartner]]</f>
        <v>No SMA</v>
      </c>
    </row>
    <row r="1512" spans="1:14" x14ac:dyDescent="0.25">
      <c r="A1512" s="12" t="s">
        <v>3831</v>
      </c>
      <c r="B1512" s="12" t="s">
        <v>4433</v>
      </c>
      <c r="C1512" s="12" t="s">
        <v>1197</v>
      </c>
      <c r="D1512" t="s">
        <v>5314</v>
      </c>
      <c r="E1512" s="12" t="s">
        <v>3176</v>
      </c>
      <c r="F1512" s="12" t="s">
        <v>82</v>
      </c>
      <c r="G1512" s="12" t="s">
        <v>5428</v>
      </c>
      <c r="H1512" s="12" t="s">
        <v>4433</v>
      </c>
      <c r="I1512" s="84">
        <v>27001153</v>
      </c>
      <c r="J1512" s="12" t="s">
        <v>5102</v>
      </c>
      <c r="L1512" s="12" t="str">
        <f>IF(OR(ISBLANK(tblSites[[#This Row],[Implementing Partner]]), tblSites[[#This Row],[Implementing Partner]]="-"), tblSites[[#This Row],[Site Agency]], tblSites[[#This Row],[Implementing Partner]])</f>
        <v>No SMA</v>
      </c>
      <c r="M1512" s="12" t="s">
        <v>55</v>
      </c>
      <c r="N1512" s="12" t="str">
        <f>tblSites[[#This Row],[FinalImplementingPartner]]</f>
        <v>No SMA</v>
      </c>
    </row>
    <row r="1513" spans="1:14" x14ac:dyDescent="0.25">
      <c r="A1513" s="12" t="s">
        <v>3832</v>
      </c>
      <c r="B1513" s="12" t="s">
        <v>4434</v>
      </c>
      <c r="C1513" s="12" t="s">
        <v>1670</v>
      </c>
      <c r="D1513" t="s">
        <v>5314</v>
      </c>
      <c r="E1513" s="12" t="s">
        <v>3176</v>
      </c>
      <c r="F1513" s="12" t="s">
        <v>82</v>
      </c>
      <c r="G1513" s="12" t="s">
        <v>5428</v>
      </c>
      <c r="H1513" s="12" t="s">
        <v>4434</v>
      </c>
      <c r="I1513" s="84">
        <v>27001153</v>
      </c>
      <c r="J1513" s="12" t="s">
        <v>5102</v>
      </c>
      <c r="L1513" s="12" t="str">
        <f>IF(OR(ISBLANK(tblSites[[#This Row],[Implementing Partner]]), tblSites[[#This Row],[Implementing Partner]]="-"), tblSites[[#This Row],[Site Agency]], tblSites[[#This Row],[Implementing Partner]])</f>
        <v>No SMA</v>
      </c>
      <c r="M1513" s="12" t="s">
        <v>55</v>
      </c>
      <c r="N1513" s="12" t="str">
        <f>tblSites[[#This Row],[FinalImplementingPartner]]</f>
        <v>No SMA</v>
      </c>
    </row>
    <row r="1514" spans="1:14" x14ac:dyDescent="0.25">
      <c r="A1514" s="12" t="s">
        <v>3833</v>
      </c>
      <c r="B1514" s="12" t="s">
        <v>4435</v>
      </c>
      <c r="C1514" s="12" t="s">
        <v>1018</v>
      </c>
      <c r="D1514" t="s">
        <v>5314</v>
      </c>
      <c r="E1514" s="12" t="s">
        <v>3176</v>
      </c>
      <c r="F1514" s="12" t="s">
        <v>79</v>
      </c>
      <c r="G1514" s="12" t="s">
        <v>5419</v>
      </c>
      <c r="H1514" s="12" t="s">
        <v>4435</v>
      </c>
      <c r="I1514" s="84">
        <v>27002101</v>
      </c>
      <c r="J1514" s="12" t="s">
        <v>5102</v>
      </c>
      <c r="K1514" s="12" t="s">
        <v>389</v>
      </c>
      <c r="L1514" s="12" t="str">
        <f>IF(OR(ISBLANK(tblSites[[#This Row],[Implementing Partner]]), tblSites[[#This Row],[Implementing Partner]]="-"), tblSites[[#This Row],[Site Agency]], tblSites[[#This Row],[Implementing Partner]])</f>
        <v>No SMA</v>
      </c>
      <c r="M1514" s="12" t="s">
        <v>55</v>
      </c>
      <c r="N1514" s="12" t="str">
        <f>tblSites[[#This Row],[FinalImplementingPartner]]</f>
        <v>No SMA</v>
      </c>
    </row>
    <row r="1515" spans="1:14" x14ac:dyDescent="0.25">
      <c r="A1515" s="12" t="s">
        <v>3834</v>
      </c>
      <c r="B1515" s="12" t="s">
        <v>4436</v>
      </c>
      <c r="C1515" s="12" t="s">
        <v>4959</v>
      </c>
      <c r="D1515" t="s">
        <v>5314</v>
      </c>
      <c r="E1515" s="12" t="s">
        <v>3176</v>
      </c>
      <c r="F1515" s="12" t="s">
        <v>325</v>
      </c>
      <c r="G1515" s="12" t="s">
        <v>5411</v>
      </c>
      <c r="H1515" s="12" t="s">
        <v>4436</v>
      </c>
      <c r="I1515" s="84">
        <v>27002104</v>
      </c>
      <c r="J1515" s="12" t="s">
        <v>5102</v>
      </c>
      <c r="L1515" s="12" t="str">
        <f>IF(OR(ISBLANK(tblSites[[#This Row],[Implementing Partner]]), tblSites[[#This Row],[Implementing Partner]]="-"), tblSites[[#This Row],[Site Agency]], tblSites[[#This Row],[Implementing Partner]])</f>
        <v>No SMA</v>
      </c>
      <c r="M1515" s="12" t="s">
        <v>55</v>
      </c>
      <c r="N1515" s="12" t="str">
        <f>tblSites[[#This Row],[FinalImplementingPartner]]</f>
        <v>No SMA</v>
      </c>
    </row>
    <row r="1516" spans="1:14" x14ac:dyDescent="0.25">
      <c r="A1516" s="12" t="s">
        <v>3835</v>
      </c>
      <c r="B1516" s="12" t="s">
        <v>4437</v>
      </c>
      <c r="C1516" s="12" t="s">
        <v>1729</v>
      </c>
      <c r="D1516" t="s">
        <v>5314</v>
      </c>
      <c r="E1516" s="12" t="s">
        <v>3176</v>
      </c>
      <c r="F1516" s="12" t="s">
        <v>79</v>
      </c>
      <c r="G1516" s="12" t="s">
        <v>5419</v>
      </c>
      <c r="H1516" s="12" t="s">
        <v>4437</v>
      </c>
      <c r="I1516" s="84">
        <v>27002101</v>
      </c>
      <c r="J1516" s="12" t="s">
        <v>5102</v>
      </c>
      <c r="K1516" s="12" t="s">
        <v>389</v>
      </c>
      <c r="L1516" s="12" t="str">
        <f>IF(OR(ISBLANK(tblSites[[#This Row],[Implementing Partner]]), tblSites[[#This Row],[Implementing Partner]]="-"), tblSites[[#This Row],[Site Agency]], tblSites[[#This Row],[Implementing Partner]])</f>
        <v>No SMA</v>
      </c>
      <c r="M1516" s="12" t="s">
        <v>55</v>
      </c>
      <c r="N1516" s="12" t="str">
        <f>tblSites[[#This Row],[FinalImplementingPartner]]</f>
        <v>No SMA</v>
      </c>
    </row>
    <row r="1517" spans="1:14" x14ac:dyDescent="0.25">
      <c r="A1517" s="47" t="s">
        <v>3836</v>
      </c>
      <c r="B1517" s="12" t="s">
        <v>4438</v>
      </c>
      <c r="C1517" s="12" t="s">
        <v>4667</v>
      </c>
      <c r="D1517" t="s">
        <v>5314</v>
      </c>
      <c r="E1517" s="12" t="s">
        <v>3176</v>
      </c>
      <c r="F1517" s="47" t="s">
        <v>82</v>
      </c>
      <c r="G1517" s="12" t="s">
        <v>5428</v>
      </c>
      <c r="H1517" s="12" t="s">
        <v>4438</v>
      </c>
      <c r="I1517" s="84">
        <v>27001153</v>
      </c>
      <c r="J1517" s="12" t="s">
        <v>5102</v>
      </c>
      <c r="L1517" s="12" t="str">
        <f>IF(OR(ISBLANK(tblSites[[#This Row],[Implementing Partner]]), tblSites[[#This Row],[Implementing Partner]]="-"), tblSites[[#This Row],[Site Agency]], tblSites[[#This Row],[Implementing Partner]])</f>
        <v>No SMA</v>
      </c>
      <c r="M1517" s="12" t="s">
        <v>55</v>
      </c>
      <c r="N1517" s="12" t="str">
        <f>tblSites[[#This Row],[FinalImplementingPartner]]</f>
        <v>No SMA</v>
      </c>
    </row>
    <row r="1518" spans="1:14" x14ac:dyDescent="0.25">
      <c r="A1518" s="12" t="s">
        <v>3837</v>
      </c>
      <c r="B1518" s="12" t="s">
        <v>4439</v>
      </c>
      <c r="C1518" s="12" t="s">
        <v>4960</v>
      </c>
      <c r="D1518" t="s">
        <v>5314</v>
      </c>
      <c r="E1518" s="12" t="s">
        <v>3176</v>
      </c>
      <c r="F1518" s="12" t="s">
        <v>79</v>
      </c>
      <c r="G1518" s="12" t="s">
        <v>5419</v>
      </c>
      <c r="H1518" s="12" t="s">
        <v>4439</v>
      </c>
      <c r="I1518" s="84">
        <v>27002101</v>
      </c>
      <c r="J1518" s="12" t="s">
        <v>5102</v>
      </c>
      <c r="K1518" s="12" t="s">
        <v>389</v>
      </c>
      <c r="L1518" s="12" t="str">
        <f>IF(OR(ISBLANK(tblSites[[#This Row],[Implementing Partner]]), tblSites[[#This Row],[Implementing Partner]]="-"), tblSites[[#This Row],[Site Agency]], tblSites[[#This Row],[Implementing Partner]])</f>
        <v>No SMA</v>
      </c>
      <c r="M1518" s="12" t="s">
        <v>55</v>
      </c>
      <c r="N1518" s="12" t="str">
        <f>tblSites[[#This Row],[FinalImplementingPartner]]</f>
        <v>No SMA</v>
      </c>
    </row>
    <row r="1519" spans="1:14" x14ac:dyDescent="0.25">
      <c r="A1519" s="12" t="s">
        <v>3838</v>
      </c>
      <c r="B1519" s="12" t="s">
        <v>884</v>
      </c>
      <c r="C1519" s="12" t="s">
        <v>4961</v>
      </c>
      <c r="D1519" t="s">
        <v>5314</v>
      </c>
      <c r="E1519" s="12" t="s">
        <v>3176</v>
      </c>
      <c r="F1519" s="12" t="s">
        <v>325</v>
      </c>
      <c r="G1519" s="12" t="s">
        <v>5411</v>
      </c>
      <c r="H1519" s="12" t="s">
        <v>884</v>
      </c>
      <c r="I1519" s="84">
        <v>27002104</v>
      </c>
      <c r="J1519" s="12" t="s">
        <v>5102</v>
      </c>
      <c r="L1519" s="12" t="str">
        <f>IF(OR(ISBLANK(tblSites[[#This Row],[Implementing Partner]]), tblSites[[#This Row],[Implementing Partner]]="-"), tblSites[[#This Row],[Site Agency]], tblSites[[#This Row],[Implementing Partner]])</f>
        <v>No SMA</v>
      </c>
      <c r="M1519" s="12" t="s">
        <v>55</v>
      </c>
      <c r="N1519" s="12" t="str">
        <f>tblSites[[#This Row],[FinalImplementingPartner]]</f>
        <v>No SMA</v>
      </c>
    </row>
    <row r="1520" spans="1:14" x14ac:dyDescent="0.25">
      <c r="A1520" s="12" t="s">
        <v>3839</v>
      </c>
      <c r="B1520" s="12" t="s">
        <v>4440</v>
      </c>
      <c r="C1520" s="12" t="s">
        <v>4962</v>
      </c>
      <c r="D1520" t="s">
        <v>5314</v>
      </c>
      <c r="E1520" s="12" t="s">
        <v>3176</v>
      </c>
      <c r="F1520" s="12" t="s">
        <v>82</v>
      </c>
      <c r="G1520" s="12" t="s">
        <v>5428</v>
      </c>
      <c r="H1520" s="12" t="s">
        <v>4440</v>
      </c>
      <c r="I1520" s="84">
        <v>27001153</v>
      </c>
      <c r="J1520" s="12" t="s">
        <v>5102</v>
      </c>
      <c r="L1520" s="12" t="str">
        <f>IF(OR(ISBLANK(tblSites[[#This Row],[Implementing Partner]]), tblSites[[#This Row],[Implementing Partner]]="-"), tblSites[[#This Row],[Site Agency]], tblSites[[#This Row],[Implementing Partner]])</f>
        <v>No SMA</v>
      </c>
      <c r="M1520" s="12" t="s">
        <v>55</v>
      </c>
      <c r="N1520" s="12" t="str">
        <f>tblSites[[#This Row],[FinalImplementingPartner]]</f>
        <v>No SMA</v>
      </c>
    </row>
    <row r="1521" spans="1:14" x14ac:dyDescent="0.25">
      <c r="A1521" s="12" t="s">
        <v>3840</v>
      </c>
      <c r="B1521" s="12" t="s">
        <v>4120</v>
      </c>
      <c r="C1521" s="12" t="s">
        <v>4811</v>
      </c>
      <c r="D1521" t="s">
        <v>5314</v>
      </c>
      <c r="E1521" s="12" t="s">
        <v>3176</v>
      </c>
      <c r="F1521" s="12" t="s">
        <v>82</v>
      </c>
      <c r="G1521" s="12" t="s">
        <v>5428</v>
      </c>
      <c r="H1521" s="12" t="s">
        <v>4120</v>
      </c>
      <c r="I1521" s="84">
        <v>27001153</v>
      </c>
      <c r="J1521" s="12" t="s">
        <v>5102</v>
      </c>
      <c r="L1521" s="12" t="str">
        <f>IF(OR(ISBLANK(tblSites[[#This Row],[Implementing Partner]]), tblSites[[#This Row],[Implementing Partner]]="-"), tblSites[[#This Row],[Site Agency]], tblSites[[#This Row],[Implementing Partner]])</f>
        <v>No SMA</v>
      </c>
      <c r="M1521" s="12" t="s">
        <v>55</v>
      </c>
      <c r="N1521" s="12" t="str">
        <f>tblSites[[#This Row],[FinalImplementingPartner]]</f>
        <v>No SMA</v>
      </c>
    </row>
    <row r="1522" spans="1:14" x14ac:dyDescent="0.25">
      <c r="A1522" s="12" t="s">
        <v>3841</v>
      </c>
      <c r="B1522" s="12" t="s">
        <v>4441</v>
      </c>
      <c r="C1522" s="12" t="s">
        <v>4963</v>
      </c>
      <c r="D1522" t="s">
        <v>5314</v>
      </c>
      <c r="E1522" s="12" t="s">
        <v>3176</v>
      </c>
      <c r="F1522" s="12" t="s">
        <v>440</v>
      </c>
      <c r="G1522" s="12" t="s">
        <v>5410</v>
      </c>
      <c r="H1522" s="12" t="s">
        <v>4441</v>
      </c>
      <c r="I1522" s="84">
        <v>27003176</v>
      </c>
      <c r="J1522" s="12" t="s">
        <v>5102</v>
      </c>
      <c r="L1522" s="12" t="str">
        <f>IF(OR(ISBLANK(tblSites[[#This Row],[Implementing Partner]]), tblSites[[#This Row],[Implementing Partner]]="-"), tblSites[[#This Row],[Site Agency]], tblSites[[#This Row],[Implementing Partner]])</f>
        <v>No SMA</v>
      </c>
      <c r="M1522" s="12" t="s">
        <v>55</v>
      </c>
      <c r="N1522" s="12" t="str">
        <f>tblSites[[#This Row],[FinalImplementingPartner]]</f>
        <v>No SMA</v>
      </c>
    </row>
    <row r="1523" spans="1:14" x14ac:dyDescent="0.25">
      <c r="A1523" s="12" t="s">
        <v>3842</v>
      </c>
      <c r="B1523" s="12" t="s">
        <v>4442</v>
      </c>
      <c r="C1523" s="12" t="s">
        <v>4964</v>
      </c>
      <c r="D1523" t="s">
        <v>5314</v>
      </c>
      <c r="E1523" s="12" t="s">
        <v>3176</v>
      </c>
      <c r="F1523" s="12" t="s">
        <v>79</v>
      </c>
      <c r="G1523" s="12" t="s">
        <v>5419</v>
      </c>
      <c r="H1523" s="12" t="s">
        <v>4442</v>
      </c>
      <c r="I1523" s="84">
        <v>27002101</v>
      </c>
      <c r="J1523" s="12" t="s">
        <v>5102</v>
      </c>
      <c r="K1523" s="12" t="s">
        <v>389</v>
      </c>
      <c r="L1523" s="12" t="str">
        <f>IF(OR(ISBLANK(tblSites[[#This Row],[Implementing Partner]]), tblSites[[#This Row],[Implementing Partner]]="-"), tblSites[[#This Row],[Site Agency]], tblSites[[#This Row],[Implementing Partner]])</f>
        <v>No SMA</v>
      </c>
      <c r="M1523" s="12" t="s">
        <v>55</v>
      </c>
      <c r="N1523" s="12" t="str">
        <f>tblSites[[#This Row],[FinalImplementingPartner]]</f>
        <v>No SMA</v>
      </c>
    </row>
    <row r="1524" spans="1:14" x14ac:dyDescent="0.25">
      <c r="A1524" s="12" t="s">
        <v>3843</v>
      </c>
      <c r="B1524" s="12" t="s">
        <v>4443</v>
      </c>
      <c r="C1524" s="12" t="s">
        <v>4965</v>
      </c>
      <c r="D1524" t="s">
        <v>5314</v>
      </c>
      <c r="E1524" s="12" t="s">
        <v>3176</v>
      </c>
      <c r="F1524" s="12" t="s">
        <v>79</v>
      </c>
      <c r="G1524" s="12" t="s">
        <v>5419</v>
      </c>
      <c r="H1524" s="12" t="s">
        <v>4443</v>
      </c>
      <c r="I1524" s="84">
        <v>27002101</v>
      </c>
      <c r="J1524" s="12" t="s">
        <v>5102</v>
      </c>
      <c r="K1524" s="12" t="s">
        <v>389</v>
      </c>
      <c r="L1524" s="12" t="str">
        <f>IF(OR(ISBLANK(tblSites[[#This Row],[Implementing Partner]]), tblSites[[#This Row],[Implementing Partner]]="-"), tblSites[[#This Row],[Site Agency]], tblSites[[#This Row],[Implementing Partner]])</f>
        <v>No SMA</v>
      </c>
      <c r="M1524" s="12" t="s">
        <v>55</v>
      </c>
      <c r="N1524" s="12" t="str">
        <f>tblSites[[#This Row],[FinalImplementingPartner]]</f>
        <v>No SMA</v>
      </c>
    </row>
    <row r="1525" spans="1:14" x14ac:dyDescent="0.25">
      <c r="A1525" s="12" t="s">
        <v>3844</v>
      </c>
      <c r="B1525" s="12" t="s">
        <v>4444</v>
      </c>
      <c r="C1525" s="12" t="s">
        <v>1758</v>
      </c>
      <c r="D1525" t="s">
        <v>5314</v>
      </c>
      <c r="E1525" s="12" t="s">
        <v>3176</v>
      </c>
      <c r="F1525" s="12" t="s">
        <v>440</v>
      </c>
      <c r="G1525" s="12" t="s">
        <v>5410</v>
      </c>
      <c r="H1525" s="12" t="s">
        <v>4444</v>
      </c>
      <c r="I1525" s="84">
        <v>27003176</v>
      </c>
      <c r="J1525" s="12" t="s">
        <v>5102</v>
      </c>
      <c r="L1525" s="12" t="str">
        <f>IF(OR(ISBLANK(tblSites[[#This Row],[Implementing Partner]]), tblSites[[#This Row],[Implementing Partner]]="-"), tblSites[[#This Row],[Site Agency]], tblSites[[#This Row],[Implementing Partner]])</f>
        <v>No SMA</v>
      </c>
      <c r="M1525" s="12" t="s">
        <v>55</v>
      </c>
      <c r="N1525" s="12" t="str">
        <f>tblSites[[#This Row],[FinalImplementingPartner]]</f>
        <v>No SMA</v>
      </c>
    </row>
    <row r="1526" spans="1:14" x14ac:dyDescent="0.25">
      <c r="A1526" s="12" t="s">
        <v>3845</v>
      </c>
      <c r="B1526" s="12" t="s">
        <v>4445</v>
      </c>
      <c r="C1526" s="12" t="s">
        <v>4966</v>
      </c>
      <c r="D1526" t="s">
        <v>5314</v>
      </c>
      <c r="E1526" s="12" t="s">
        <v>3176</v>
      </c>
      <c r="F1526" s="12" t="s">
        <v>79</v>
      </c>
      <c r="G1526" s="12" t="s">
        <v>5419</v>
      </c>
      <c r="H1526" s="12" t="s">
        <v>4445</v>
      </c>
      <c r="I1526" s="84">
        <v>27002101</v>
      </c>
      <c r="J1526" s="12" t="s">
        <v>5102</v>
      </c>
      <c r="L1526" s="12" t="str">
        <f>IF(OR(ISBLANK(tblSites[[#This Row],[Implementing Partner]]), tblSites[[#This Row],[Implementing Partner]]="-"), tblSites[[#This Row],[Site Agency]], tblSites[[#This Row],[Implementing Partner]])</f>
        <v>No SMA</v>
      </c>
      <c r="M1526" s="12" t="s">
        <v>55</v>
      </c>
      <c r="N1526" s="12" t="str">
        <f>tblSites[[#This Row],[FinalImplementingPartner]]</f>
        <v>No SMA</v>
      </c>
    </row>
    <row r="1527" spans="1:14" x14ac:dyDescent="0.25">
      <c r="A1527" s="12" t="s">
        <v>3846</v>
      </c>
      <c r="B1527" s="12" t="s">
        <v>4446</v>
      </c>
      <c r="C1527" s="12" t="s">
        <v>4967</v>
      </c>
      <c r="D1527" t="s">
        <v>5314</v>
      </c>
      <c r="E1527" s="12" t="s">
        <v>3176</v>
      </c>
      <c r="F1527" s="12" t="s">
        <v>53</v>
      </c>
      <c r="G1527" s="12" t="s">
        <v>5406</v>
      </c>
      <c r="H1527" s="12" t="s">
        <v>4446</v>
      </c>
      <c r="I1527" s="84">
        <v>27002154</v>
      </c>
      <c r="J1527" s="12" t="s">
        <v>5102</v>
      </c>
      <c r="L1527" s="12" t="str">
        <f>IF(OR(ISBLANK(tblSites[[#This Row],[Implementing Partner]]), tblSites[[#This Row],[Implementing Partner]]="-"), tblSites[[#This Row],[Site Agency]], tblSites[[#This Row],[Implementing Partner]])</f>
        <v>No SMA</v>
      </c>
      <c r="M1527" s="12" t="s">
        <v>55</v>
      </c>
      <c r="N1527" s="12" t="str">
        <f>tblSites[[#This Row],[FinalImplementingPartner]]</f>
        <v>No SMA</v>
      </c>
    </row>
    <row r="1528" spans="1:14" x14ac:dyDescent="0.25">
      <c r="A1528" s="12" t="s">
        <v>3847</v>
      </c>
      <c r="B1528" s="12" t="s">
        <v>4447</v>
      </c>
      <c r="C1528" s="12" t="s">
        <v>4968</v>
      </c>
      <c r="D1528" t="s">
        <v>5314</v>
      </c>
      <c r="E1528" s="12" t="s">
        <v>3176</v>
      </c>
      <c r="F1528" s="12" t="s">
        <v>82</v>
      </c>
      <c r="G1528" s="12" t="s">
        <v>5428</v>
      </c>
      <c r="H1528" s="12" t="s">
        <v>4447</v>
      </c>
      <c r="I1528" s="84">
        <v>27001153</v>
      </c>
      <c r="J1528" s="12" t="s">
        <v>5102</v>
      </c>
      <c r="L1528" s="12" t="str">
        <f>IF(OR(ISBLANK(tblSites[[#This Row],[Implementing Partner]]), tblSites[[#This Row],[Implementing Partner]]="-"), tblSites[[#This Row],[Site Agency]], tblSites[[#This Row],[Implementing Partner]])</f>
        <v>No SMA</v>
      </c>
      <c r="M1528" s="12" t="s">
        <v>55</v>
      </c>
      <c r="N1528" s="12" t="str">
        <f>tblSites[[#This Row],[FinalImplementingPartner]]</f>
        <v>No SMA</v>
      </c>
    </row>
    <row r="1529" spans="1:14" x14ac:dyDescent="0.25">
      <c r="A1529" s="12" t="s">
        <v>3848</v>
      </c>
      <c r="B1529" s="12" t="s">
        <v>4448</v>
      </c>
      <c r="C1529" s="12" t="s">
        <v>4969</v>
      </c>
      <c r="D1529" t="s">
        <v>5314</v>
      </c>
      <c r="E1529" s="12" t="s">
        <v>3176</v>
      </c>
      <c r="F1529" s="12" t="s">
        <v>79</v>
      </c>
      <c r="G1529" s="12" t="s">
        <v>5419</v>
      </c>
      <c r="H1529" s="12" t="s">
        <v>4448</v>
      </c>
      <c r="I1529" s="84">
        <v>27002101</v>
      </c>
      <c r="J1529" s="12" t="s">
        <v>5102</v>
      </c>
      <c r="L1529" s="12" t="str">
        <f>IF(OR(ISBLANK(tblSites[[#This Row],[Implementing Partner]]), tblSites[[#This Row],[Implementing Partner]]="-"), tblSites[[#This Row],[Site Agency]], tblSites[[#This Row],[Implementing Partner]])</f>
        <v>No SMA</v>
      </c>
      <c r="M1529" s="12" t="s">
        <v>55</v>
      </c>
      <c r="N1529" s="12" t="str">
        <f>tblSites[[#This Row],[FinalImplementingPartner]]</f>
        <v>No SMA</v>
      </c>
    </row>
    <row r="1530" spans="1:14" x14ac:dyDescent="0.25">
      <c r="A1530" s="12" t="s">
        <v>3849</v>
      </c>
      <c r="B1530" s="12" t="s">
        <v>4449</v>
      </c>
      <c r="C1530" s="12" t="s">
        <v>4970</v>
      </c>
      <c r="D1530" t="s">
        <v>5314</v>
      </c>
      <c r="E1530" s="12" t="s">
        <v>3176</v>
      </c>
      <c r="F1530" s="12" t="s">
        <v>82</v>
      </c>
      <c r="G1530" s="12" t="s">
        <v>5428</v>
      </c>
      <c r="H1530" s="12" t="s">
        <v>4449</v>
      </c>
      <c r="I1530" s="84">
        <v>27001153</v>
      </c>
      <c r="J1530" s="12" t="s">
        <v>5102</v>
      </c>
      <c r="L1530" s="12" t="str">
        <f>IF(OR(ISBLANK(tblSites[[#This Row],[Implementing Partner]]), tblSites[[#This Row],[Implementing Partner]]="-"), tblSites[[#This Row],[Site Agency]], tblSites[[#This Row],[Implementing Partner]])</f>
        <v>No SMA</v>
      </c>
      <c r="M1530" s="12" t="s">
        <v>55</v>
      </c>
      <c r="N1530" s="12" t="str">
        <f>tblSites[[#This Row],[FinalImplementingPartner]]</f>
        <v>No SMA</v>
      </c>
    </row>
    <row r="1531" spans="1:14" x14ac:dyDescent="0.25">
      <c r="A1531" s="12" t="s">
        <v>3850</v>
      </c>
      <c r="B1531" s="12" t="s">
        <v>4450</v>
      </c>
      <c r="C1531" s="12" t="s">
        <v>4971</v>
      </c>
      <c r="D1531" t="s">
        <v>5314</v>
      </c>
      <c r="E1531" s="12" t="s">
        <v>3176</v>
      </c>
      <c r="F1531" s="12" t="s">
        <v>82</v>
      </c>
      <c r="G1531" s="12" t="s">
        <v>5428</v>
      </c>
      <c r="H1531" s="12" t="s">
        <v>4450</v>
      </c>
      <c r="I1531" s="84">
        <v>27001153</v>
      </c>
      <c r="J1531" s="12" t="s">
        <v>5102</v>
      </c>
      <c r="L1531" s="12" t="str">
        <f>IF(OR(ISBLANK(tblSites[[#This Row],[Implementing Partner]]), tblSites[[#This Row],[Implementing Partner]]="-"), tblSites[[#This Row],[Site Agency]], tblSites[[#This Row],[Implementing Partner]])</f>
        <v>No SMA</v>
      </c>
      <c r="M1531" s="12" t="s">
        <v>55</v>
      </c>
      <c r="N1531" s="12" t="str">
        <f>tblSites[[#This Row],[FinalImplementingPartner]]</f>
        <v>No SMA</v>
      </c>
    </row>
    <row r="1532" spans="1:14" x14ac:dyDescent="0.25">
      <c r="A1532" s="12" t="s">
        <v>3851</v>
      </c>
      <c r="B1532" s="12" t="s">
        <v>4451</v>
      </c>
      <c r="C1532" s="12" t="s">
        <v>4972</v>
      </c>
      <c r="D1532" t="s">
        <v>5314</v>
      </c>
      <c r="E1532" s="12" t="s">
        <v>3176</v>
      </c>
      <c r="F1532" s="12" t="s">
        <v>82</v>
      </c>
      <c r="G1532" s="12" t="s">
        <v>5428</v>
      </c>
      <c r="H1532" s="12" t="s">
        <v>4451</v>
      </c>
      <c r="I1532" s="84">
        <v>27001153</v>
      </c>
      <c r="J1532" s="12" t="s">
        <v>5102</v>
      </c>
      <c r="L1532" s="12" t="str">
        <f>IF(OR(ISBLANK(tblSites[[#This Row],[Implementing Partner]]), tblSites[[#This Row],[Implementing Partner]]="-"), tblSites[[#This Row],[Site Agency]], tblSites[[#This Row],[Implementing Partner]])</f>
        <v>No SMA</v>
      </c>
      <c r="M1532" s="12" t="s">
        <v>55</v>
      </c>
      <c r="N1532" s="12" t="str">
        <f>tblSites[[#This Row],[FinalImplementingPartner]]</f>
        <v>No SMA</v>
      </c>
    </row>
    <row r="1533" spans="1:14" x14ac:dyDescent="0.25">
      <c r="A1533" s="12" t="s">
        <v>3852</v>
      </c>
      <c r="B1533" s="12" t="s">
        <v>4452</v>
      </c>
      <c r="C1533" s="12" t="s">
        <v>1351</v>
      </c>
      <c r="D1533" t="s">
        <v>5314</v>
      </c>
      <c r="E1533" s="12" t="s">
        <v>3176</v>
      </c>
      <c r="F1533" s="12" t="s">
        <v>82</v>
      </c>
      <c r="G1533" s="12" t="s">
        <v>5428</v>
      </c>
      <c r="H1533" s="12" t="s">
        <v>4452</v>
      </c>
      <c r="I1533" s="84">
        <v>27001153</v>
      </c>
      <c r="J1533" s="12" t="s">
        <v>5102</v>
      </c>
      <c r="L1533" s="12" t="str">
        <f>IF(OR(ISBLANK(tblSites[[#This Row],[Implementing Partner]]), tblSites[[#This Row],[Implementing Partner]]="-"), tblSites[[#This Row],[Site Agency]], tblSites[[#This Row],[Implementing Partner]])</f>
        <v>No SMA</v>
      </c>
      <c r="M1533" s="12" t="s">
        <v>55</v>
      </c>
      <c r="N1533" s="12" t="str">
        <f>tblSites[[#This Row],[FinalImplementingPartner]]</f>
        <v>No SMA</v>
      </c>
    </row>
    <row r="1534" spans="1:14" x14ac:dyDescent="0.25">
      <c r="A1534" s="12" t="s">
        <v>3853</v>
      </c>
      <c r="B1534" s="12" t="s">
        <v>270</v>
      </c>
      <c r="C1534" s="12" t="s">
        <v>271</v>
      </c>
      <c r="D1534" t="s">
        <v>5314</v>
      </c>
      <c r="E1534" s="12" t="s">
        <v>3176</v>
      </c>
      <c r="F1534" s="12" t="s">
        <v>82</v>
      </c>
      <c r="G1534" s="12" t="s">
        <v>5428</v>
      </c>
      <c r="H1534" s="12" t="s">
        <v>270</v>
      </c>
      <c r="I1534" s="84">
        <v>27001153</v>
      </c>
      <c r="J1534" s="12" t="s">
        <v>5102</v>
      </c>
      <c r="L1534" s="12" t="str">
        <f>IF(OR(ISBLANK(tblSites[[#This Row],[Implementing Partner]]), tblSites[[#This Row],[Implementing Partner]]="-"), tblSites[[#This Row],[Site Agency]], tblSites[[#This Row],[Implementing Partner]])</f>
        <v>No SMA</v>
      </c>
      <c r="M1534" s="12" t="s">
        <v>55</v>
      </c>
      <c r="N1534" s="12" t="str">
        <f>tblSites[[#This Row],[FinalImplementingPartner]]</f>
        <v>No SMA</v>
      </c>
    </row>
    <row r="1535" spans="1:14" x14ac:dyDescent="0.25">
      <c r="A1535" s="12" t="s">
        <v>3854</v>
      </c>
      <c r="B1535" s="12" t="s">
        <v>1497</v>
      </c>
      <c r="C1535" s="12" t="s">
        <v>215</v>
      </c>
      <c r="D1535" t="s">
        <v>5314</v>
      </c>
      <c r="E1535" s="12" t="s">
        <v>3176</v>
      </c>
      <c r="F1535" s="12" t="s">
        <v>82</v>
      </c>
      <c r="G1535" s="12" t="s">
        <v>5428</v>
      </c>
      <c r="H1535" s="12" t="s">
        <v>1497</v>
      </c>
      <c r="I1535" s="84">
        <v>27001153</v>
      </c>
      <c r="J1535" s="12" t="s">
        <v>5102</v>
      </c>
      <c r="L1535" s="12" t="str">
        <f>IF(OR(ISBLANK(tblSites[[#This Row],[Implementing Partner]]), tblSites[[#This Row],[Implementing Partner]]="-"), tblSites[[#This Row],[Site Agency]], tblSites[[#This Row],[Implementing Partner]])</f>
        <v>No SMA</v>
      </c>
      <c r="M1535" s="12" t="s">
        <v>55</v>
      </c>
      <c r="N1535" s="12" t="str">
        <f>tblSites[[#This Row],[FinalImplementingPartner]]</f>
        <v>No SMA</v>
      </c>
    </row>
    <row r="1536" spans="1:14" x14ac:dyDescent="0.25">
      <c r="A1536" s="12" t="s">
        <v>3855</v>
      </c>
      <c r="B1536" s="12" t="s">
        <v>4453</v>
      </c>
      <c r="C1536" s="12" t="s">
        <v>4973</v>
      </c>
      <c r="D1536" t="s">
        <v>5314</v>
      </c>
      <c r="E1536" s="12" t="s">
        <v>3176</v>
      </c>
      <c r="F1536" s="12" t="s">
        <v>440</v>
      </c>
      <c r="G1536" s="12" t="s">
        <v>5410</v>
      </c>
      <c r="H1536" s="12" t="s">
        <v>4453</v>
      </c>
      <c r="I1536" s="84">
        <v>27003176</v>
      </c>
      <c r="J1536" s="12" t="s">
        <v>5102</v>
      </c>
      <c r="L1536" s="12" t="str">
        <f>IF(OR(ISBLANK(tblSites[[#This Row],[Implementing Partner]]), tblSites[[#This Row],[Implementing Partner]]="-"), tblSites[[#This Row],[Site Agency]], tblSites[[#This Row],[Implementing Partner]])</f>
        <v>No SMA</v>
      </c>
      <c r="M1536" s="12" t="s">
        <v>55</v>
      </c>
      <c r="N1536" s="12" t="str">
        <f>tblSites[[#This Row],[FinalImplementingPartner]]</f>
        <v>No SMA</v>
      </c>
    </row>
    <row r="1537" spans="1:14" x14ac:dyDescent="0.25">
      <c r="A1537" s="12" t="s">
        <v>3856</v>
      </c>
      <c r="B1537" s="12" t="s">
        <v>4454</v>
      </c>
      <c r="C1537" s="12" t="s">
        <v>4934</v>
      </c>
      <c r="D1537" t="s">
        <v>5314</v>
      </c>
      <c r="E1537" s="12" t="s">
        <v>3176</v>
      </c>
      <c r="F1537" s="12" t="s">
        <v>82</v>
      </c>
      <c r="G1537" s="12" t="s">
        <v>5428</v>
      </c>
      <c r="H1537" s="12" t="s">
        <v>4454</v>
      </c>
      <c r="I1537" s="84">
        <v>27001153</v>
      </c>
      <c r="J1537" s="12" t="s">
        <v>5102</v>
      </c>
      <c r="L1537" s="12" t="str">
        <f>IF(OR(ISBLANK(tblSites[[#This Row],[Implementing Partner]]), tblSites[[#This Row],[Implementing Partner]]="-"), tblSites[[#This Row],[Site Agency]], tblSites[[#This Row],[Implementing Partner]])</f>
        <v>No SMA</v>
      </c>
      <c r="M1537" s="12" t="s">
        <v>55</v>
      </c>
      <c r="N1537" s="12" t="str">
        <f>tblSites[[#This Row],[FinalImplementingPartner]]</f>
        <v>No SMA</v>
      </c>
    </row>
    <row r="1538" spans="1:14" x14ac:dyDescent="0.25">
      <c r="A1538" s="12" t="s">
        <v>3857</v>
      </c>
      <c r="B1538" s="12" t="s">
        <v>4455</v>
      </c>
      <c r="C1538" s="12" t="s">
        <v>4637</v>
      </c>
      <c r="D1538" t="s">
        <v>5314</v>
      </c>
      <c r="E1538" s="12" t="s">
        <v>3176</v>
      </c>
      <c r="F1538" s="12" t="s">
        <v>82</v>
      </c>
      <c r="G1538" s="12" t="s">
        <v>5428</v>
      </c>
      <c r="H1538" s="12" t="s">
        <v>4455</v>
      </c>
      <c r="I1538" s="84">
        <v>27001153</v>
      </c>
      <c r="J1538" s="12" t="s">
        <v>5102</v>
      </c>
      <c r="K1538" s="12" t="s">
        <v>389</v>
      </c>
      <c r="L1538" s="12" t="str">
        <f>IF(OR(ISBLANK(tblSites[[#This Row],[Implementing Partner]]), tblSites[[#This Row],[Implementing Partner]]="-"), tblSites[[#This Row],[Site Agency]], tblSites[[#This Row],[Implementing Partner]])</f>
        <v>No SMA</v>
      </c>
      <c r="M1538" s="12" t="s">
        <v>55</v>
      </c>
      <c r="N1538" s="12" t="str">
        <f>tblSites[[#This Row],[FinalImplementingPartner]]</f>
        <v>No SMA</v>
      </c>
    </row>
    <row r="1539" spans="1:14" x14ac:dyDescent="0.25">
      <c r="A1539" s="12" t="s">
        <v>3858</v>
      </c>
      <c r="B1539" s="12" t="s">
        <v>4456</v>
      </c>
      <c r="C1539" s="12" t="s">
        <v>4974</v>
      </c>
      <c r="D1539" t="s">
        <v>5314</v>
      </c>
      <c r="E1539" s="12" t="s">
        <v>3176</v>
      </c>
      <c r="F1539" s="12" t="s">
        <v>82</v>
      </c>
      <c r="G1539" s="12" t="s">
        <v>5428</v>
      </c>
      <c r="H1539" s="12" t="s">
        <v>4456</v>
      </c>
      <c r="I1539" s="84">
        <v>27001153</v>
      </c>
      <c r="J1539" s="12" t="s">
        <v>5102</v>
      </c>
      <c r="L1539" s="12" t="str">
        <f>IF(OR(ISBLANK(tblSites[[#This Row],[Implementing Partner]]), tblSites[[#This Row],[Implementing Partner]]="-"), tblSites[[#This Row],[Site Agency]], tblSites[[#This Row],[Implementing Partner]])</f>
        <v>No SMA</v>
      </c>
      <c r="M1539" s="12" t="s">
        <v>55</v>
      </c>
      <c r="N1539" s="12" t="str">
        <f>tblSites[[#This Row],[FinalImplementingPartner]]</f>
        <v>No SMA</v>
      </c>
    </row>
    <row r="1540" spans="1:14" x14ac:dyDescent="0.25">
      <c r="A1540" s="12" t="s">
        <v>3859</v>
      </c>
      <c r="B1540" s="12" t="s">
        <v>4457</v>
      </c>
      <c r="C1540" s="12" t="s">
        <v>4975</v>
      </c>
      <c r="D1540" t="s">
        <v>5314</v>
      </c>
      <c r="E1540" s="12" t="s">
        <v>3176</v>
      </c>
      <c r="F1540" s="12" t="s">
        <v>82</v>
      </c>
      <c r="G1540" s="12" t="s">
        <v>5428</v>
      </c>
      <c r="H1540" s="12" t="s">
        <v>4457</v>
      </c>
      <c r="I1540" s="84">
        <v>27001153</v>
      </c>
      <c r="J1540" s="12" t="s">
        <v>5102</v>
      </c>
      <c r="L1540" s="12" t="str">
        <f>IF(OR(ISBLANK(tblSites[[#This Row],[Implementing Partner]]), tblSites[[#This Row],[Implementing Partner]]="-"), tblSites[[#This Row],[Site Agency]], tblSites[[#This Row],[Implementing Partner]])</f>
        <v>No SMA</v>
      </c>
      <c r="M1540" s="12" t="s">
        <v>55</v>
      </c>
      <c r="N1540" s="12" t="str">
        <f>tblSites[[#This Row],[FinalImplementingPartner]]</f>
        <v>No SMA</v>
      </c>
    </row>
    <row r="1541" spans="1:14" x14ac:dyDescent="0.25">
      <c r="A1541" s="12" t="s">
        <v>3860</v>
      </c>
      <c r="B1541" s="12" t="s">
        <v>4458</v>
      </c>
      <c r="C1541" s="12" t="s">
        <v>4976</v>
      </c>
      <c r="D1541" t="s">
        <v>5314</v>
      </c>
      <c r="E1541" s="12" t="s">
        <v>3176</v>
      </c>
      <c r="F1541" s="12" t="s">
        <v>173</v>
      </c>
      <c r="G1541" s="12" t="s">
        <v>5404</v>
      </c>
      <c r="H1541" s="12" t="s">
        <v>4458</v>
      </c>
      <c r="I1541" s="84">
        <v>27002105</v>
      </c>
      <c r="J1541" s="12" t="s">
        <v>5102</v>
      </c>
      <c r="L1541" s="12" t="str">
        <f>IF(OR(ISBLANK(tblSites[[#This Row],[Implementing Partner]]), tblSites[[#This Row],[Implementing Partner]]="-"), tblSites[[#This Row],[Site Agency]], tblSites[[#This Row],[Implementing Partner]])</f>
        <v>No SMA</v>
      </c>
      <c r="M1541" s="12" t="s">
        <v>55</v>
      </c>
      <c r="N1541" s="12" t="str">
        <f>tblSites[[#This Row],[FinalImplementingPartner]]</f>
        <v>No SMA</v>
      </c>
    </row>
    <row r="1542" spans="1:14" x14ac:dyDescent="0.25">
      <c r="A1542" s="12" t="s">
        <v>3861</v>
      </c>
      <c r="B1542" s="12" t="s">
        <v>4459</v>
      </c>
      <c r="C1542" s="12" t="s">
        <v>4977</v>
      </c>
      <c r="D1542" t="s">
        <v>5314</v>
      </c>
      <c r="E1542" s="12" t="s">
        <v>3176</v>
      </c>
      <c r="F1542" s="12" t="s">
        <v>173</v>
      </c>
      <c r="G1542" s="12" t="s">
        <v>5404</v>
      </c>
      <c r="H1542" s="12" t="s">
        <v>4459</v>
      </c>
      <c r="I1542" s="84">
        <v>27002105</v>
      </c>
      <c r="J1542" s="12" t="s">
        <v>5102</v>
      </c>
      <c r="L1542" s="12" t="str">
        <f>IF(OR(ISBLANK(tblSites[[#This Row],[Implementing Partner]]), tblSites[[#This Row],[Implementing Partner]]="-"), tblSites[[#This Row],[Site Agency]], tblSites[[#This Row],[Implementing Partner]])</f>
        <v>No SMA</v>
      </c>
      <c r="M1542" s="12" t="s">
        <v>55</v>
      </c>
      <c r="N1542" s="12" t="str">
        <f>tblSites[[#This Row],[FinalImplementingPartner]]</f>
        <v>No SMA</v>
      </c>
    </row>
    <row r="1543" spans="1:14" x14ac:dyDescent="0.25">
      <c r="A1543" s="12" t="s">
        <v>3862</v>
      </c>
      <c r="B1543" s="12" t="s">
        <v>4460</v>
      </c>
      <c r="C1543" s="12" t="s">
        <v>4978</v>
      </c>
      <c r="D1543" t="s">
        <v>5314</v>
      </c>
      <c r="E1543" s="12" t="s">
        <v>3176</v>
      </c>
      <c r="F1543" s="12" t="s">
        <v>79</v>
      </c>
      <c r="G1543" s="12" t="s">
        <v>5419</v>
      </c>
      <c r="H1543" s="12" t="s">
        <v>4460</v>
      </c>
      <c r="I1543" s="84">
        <v>27002101</v>
      </c>
      <c r="J1543" s="12" t="s">
        <v>5102</v>
      </c>
      <c r="K1543" s="12" t="s">
        <v>389</v>
      </c>
      <c r="L1543" s="12" t="str">
        <f>IF(OR(ISBLANK(tblSites[[#This Row],[Implementing Partner]]), tblSites[[#This Row],[Implementing Partner]]="-"), tblSites[[#This Row],[Site Agency]], tblSites[[#This Row],[Implementing Partner]])</f>
        <v>No SMA</v>
      </c>
      <c r="M1543" s="12" t="s">
        <v>55</v>
      </c>
      <c r="N1543" s="12" t="str">
        <f>tblSites[[#This Row],[FinalImplementingPartner]]</f>
        <v>No SMA</v>
      </c>
    </row>
    <row r="1544" spans="1:14" x14ac:dyDescent="0.25">
      <c r="A1544" s="12" t="s">
        <v>3863</v>
      </c>
      <c r="B1544" s="12" t="s">
        <v>4461</v>
      </c>
      <c r="C1544" s="12" t="s">
        <v>4979</v>
      </c>
      <c r="D1544" t="s">
        <v>5314</v>
      </c>
      <c r="E1544" s="12" t="s">
        <v>3176</v>
      </c>
      <c r="F1544" s="12" t="s">
        <v>79</v>
      </c>
      <c r="G1544" s="12" t="s">
        <v>5419</v>
      </c>
      <c r="H1544" s="12" t="s">
        <v>4461</v>
      </c>
      <c r="I1544" s="84">
        <v>27002101</v>
      </c>
      <c r="J1544" s="12" t="s">
        <v>5102</v>
      </c>
      <c r="L1544" s="12" t="str">
        <f>IF(OR(ISBLANK(tblSites[[#This Row],[Implementing Partner]]), tblSites[[#This Row],[Implementing Partner]]="-"), tblSites[[#This Row],[Site Agency]], tblSites[[#This Row],[Implementing Partner]])</f>
        <v>No SMA</v>
      </c>
      <c r="M1544" s="12" t="s">
        <v>55</v>
      </c>
      <c r="N1544" s="12" t="str">
        <f>tblSites[[#This Row],[FinalImplementingPartner]]</f>
        <v>No SMA</v>
      </c>
    </row>
    <row r="1545" spans="1:14" x14ac:dyDescent="0.25">
      <c r="A1545" s="12" t="s">
        <v>3864</v>
      </c>
      <c r="B1545" s="12" t="s">
        <v>4462</v>
      </c>
      <c r="C1545" s="12" t="s">
        <v>4980</v>
      </c>
      <c r="D1545" t="s">
        <v>5314</v>
      </c>
      <c r="E1545" s="12" t="s">
        <v>3176</v>
      </c>
      <c r="F1545" s="12" t="s">
        <v>135</v>
      </c>
      <c r="G1545" s="12" t="s">
        <v>5408</v>
      </c>
      <c r="H1545" s="12" t="s">
        <v>4462</v>
      </c>
      <c r="I1545" s="84">
        <v>27002100</v>
      </c>
      <c r="J1545" s="12" t="s">
        <v>5102</v>
      </c>
      <c r="L1545" s="12" t="str">
        <f>IF(OR(ISBLANK(tblSites[[#This Row],[Implementing Partner]]), tblSites[[#This Row],[Implementing Partner]]="-"), tblSites[[#This Row],[Site Agency]], tblSites[[#This Row],[Implementing Partner]])</f>
        <v>No SMA</v>
      </c>
      <c r="M1545" s="12" t="s">
        <v>55</v>
      </c>
      <c r="N1545" s="12" t="str">
        <f>tblSites[[#This Row],[FinalImplementingPartner]]</f>
        <v>No SMA</v>
      </c>
    </row>
    <row r="1546" spans="1:14" x14ac:dyDescent="0.25">
      <c r="A1546" s="12" t="s">
        <v>3865</v>
      </c>
      <c r="B1546" s="12" t="s">
        <v>4463</v>
      </c>
      <c r="C1546" s="12" t="s">
        <v>4981</v>
      </c>
      <c r="D1546" t="s">
        <v>5314</v>
      </c>
      <c r="E1546" s="12" t="s">
        <v>3176</v>
      </c>
      <c r="F1546" s="12" t="s">
        <v>53</v>
      </c>
      <c r="G1546" s="12" t="s">
        <v>5406</v>
      </c>
      <c r="H1546" s="12" t="s">
        <v>4463</v>
      </c>
      <c r="I1546" s="84">
        <v>27002154</v>
      </c>
      <c r="J1546" s="12" t="s">
        <v>5102</v>
      </c>
      <c r="L1546" s="12" t="str">
        <f>IF(OR(ISBLANK(tblSites[[#This Row],[Implementing Partner]]), tblSites[[#This Row],[Implementing Partner]]="-"), tblSites[[#This Row],[Site Agency]], tblSites[[#This Row],[Implementing Partner]])</f>
        <v>No SMA</v>
      </c>
      <c r="M1546" s="12" t="s">
        <v>55</v>
      </c>
      <c r="N1546" s="12" t="str">
        <f>tblSites[[#This Row],[FinalImplementingPartner]]</f>
        <v>No SMA</v>
      </c>
    </row>
    <row r="1547" spans="1:14" x14ac:dyDescent="0.25">
      <c r="A1547" s="12" t="s">
        <v>3866</v>
      </c>
      <c r="B1547" s="12" t="s">
        <v>2586</v>
      </c>
      <c r="C1547" s="12" t="s">
        <v>4982</v>
      </c>
      <c r="D1547" t="s">
        <v>5314</v>
      </c>
      <c r="E1547" s="12" t="s">
        <v>3176</v>
      </c>
      <c r="F1547" s="12" t="s">
        <v>79</v>
      </c>
      <c r="G1547" s="12" t="s">
        <v>5419</v>
      </c>
      <c r="H1547" s="12" t="s">
        <v>2586</v>
      </c>
      <c r="I1547" s="84">
        <v>27002101</v>
      </c>
      <c r="J1547" s="12" t="s">
        <v>5102</v>
      </c>
      <c r="L1547" s="12" t="str">
        <f>IF(OR(ISBLANK(tblSites[[#This Row],[Implementing Partner]]), tblSites[[#This Row],[Implementing Partner]]="-"), tblSites[[#This Row],[Site Agency]], tblSites[[#This Row],[Implementing Partner]])</f>
        <v>No SMA</v>
      </c>
      <c r="M1547" s="12" t="s">
        <v>55</v>
      </c>
      <c r="N1547" s="12" t="str">
        <f>tblSites[[#This Row],[FinalImplementingPartner]]</f>
        <v>No SMA</v>
      </c>
    </row>
    <row r="1548" spans="1:14" x14ac:dyDescent="0.25">
      <c r="A1548" s="12" t="s">
        <v>3867</v>
      </c>
      <c r="B1548" s="12" t="s">
        <v>4464</v>
      </c>
      <c r="C1548" s="12" t="s">
        <v>4983</v>
      </c>
      <c r="D1548" t="s">
        <v>5314</v>
      </c>
      <c r="E1548" s="12" t="s">
        <v>3176</v>
      </c>
      <c r="F1548" s="12" t="s">
        <v>135</v>
      </c>
      <c r="G1548" s="12" t="s">
        <v>5408</v>
      </c>
      <c r="H1548" s="12" t="s">
        <v>4464</v>
      </c>
      <c r="I1548" s="84">
        <v>27002100</v>
      </c>
      <c r="J1548" s="12" t="s">
        <v>5102</v>
      </c>
      <c r="L1548" s="12" t="str">
        <f>IF(OR(ISBLANK(tblSites[[#This Row],[Implementing Partner]]), tblSites[[#This Row],[Implementing Partner]]="-"), tblSites[[#This Row],[Site Agency]], tblSites[[#This Row],[Implementing Partner]])</f>
        <v>No SMA</v>
      </c>
      <c r="M1548" s="12" t="s">
        <v>55</v>
      </c>
      <c r="N1548" s="12" t="str">
        <f>tblSites[[#This Row],[FinalImplementingPartner]]</f>
        <v>No SMA</v>
      </c>
    </row>
    <row r="1549" spans="1:14" x14ac:dyDescent="0.25">
      <c r="A1549" s="12" t="s">
        <v>3868</v>
      </c>
      <c r="B1549" s="12" t="s">
        <v>4465</v>
      </c>
      <c r="C1549" s="12" t="s">
        <v>4984</v>
      </c>
      <c r="D1549" t="s">
        <v>5314</v>
      </c>
      <c r="E1549" s="12" t="s">
        <v>3176</v>
      </c>
      <c r="F1549" s="12" t="s">
        <v>79</v>
      </c>
      <c r="G1549" s="12" t="s">
        <v>5419</v>
      </c>
      <c r="H1549" s="12" t="s">
        <v>4465</v>
      </c>
      <c r="I1549" s="84">
        <v>27002101</v>
      </c>
      <c r="J1549" s="12" t="s">
        <v>5102</v>
      </c>
      <c r="L1549" s="12" t="str">
        <f>IF(OR(ISBLANK(tblSites[[#This Row],[Implementing Partner]]), tblSites[[#This Row],[Implementing Partner]]="-"), tblSites[[#This Row],[Site Agency]], tblSites[[#This Row],[Implementing Partner]])</f>
        <v>No SMA</v>
      </c>
      <c r="M1549" s="12" t="s">
        <v>55</v>
      </c>
      <c r="N1549" s="12" t="str">
        <f>tblSites[[#This Row],[FinalImplementingPartner]]</f>
        <v>No SMA</v>
      </c>
    </row>
    <row r="1550" spans="1:14" x14ac:dyDescent="0.25">
      <c r="A1550" s="12" t="s">
        <v>3869</v>
      </c>
      <c r="B1550" s="12" t="s">
        <v>270</v>
      </c>
      <c r="C1550" s="12" t="s">
        <v>4985</v>
      </c>
      <c r="D1550" t="s">
        <v>5314</v>
      </c>
      <c r="E1550" s="12" t="s">
        <v>3176</v>
      </c>
      <c r="F1550" s="12" t="s">
        <v>135</v>
      </c>
      <c r="G1550" s="12" t="s">
        <v>5408</v>
      </c>
      <c r="H1550" s="12" t="s">
        <v>270</v>
      </c>
      <c r="I1550" s="84">
        <v>27002100</v>
      </c>
      <c r="J1550" s="12" t="s">
        <v>5102</v>
      </c>
      <c r="L1550" s="12" t="str">
        <f>IF(OR(ISBLANK(tblSites[[#This Row],[Implementing Partner]]), tblSites[[#This Row],[Implementing Partner]]="-"), tblSites[[#This Row],[Site Agency]], tblSites[[#This Row],[Implementing Partner]])</f>
        <v>No SMA</v>
      </c>
      <c r="M1550" s="12" t="s">
        <v>55</v>
      </c>
      <c r="N1550" s="12" t="str">
        <f>tblSites[[#This Row],[FinalImplementingPartner]]</f>
        <v>No SMA</v>
      </c>
    </row>
    <row r="1551" spans="1:14" x14ac:dyDescent="0.25">
      <c r="A1551" s="12" t="s">
        <v>3870</v>
      </c>
      <c r="B1551" s="12" t="s">
        <v>4466</v>
      </c>
      <c r="C1551" s="12" t="s">
        <v>4986</v>
      </c>
      <c r="D1551" t="s">
        <v>5314</v>
      </c>
      <c r="E1551" s="12" t="s">
        <v>3176</v>
      </c>
      <c r="F1551" s="12" t="s">
        <v>82</v>
      </c>
      <c r="G1551" s="12" t="s">
        <v>5428</v>
      </c>
      <c r="H1551" s="12" t="s">
        <v>4466</v>
      </c>
      <c r="I1551" s="84">
        <v>27001153</v>
      </c>
      <c r="J1551" s="12" t="s">
        <v>5102</v>
      </c>
      <c r="L1551" s="12" t="str">
        <f>IF(OR(ISBLANK(tblSites[[#This Row],[Implementing Partner]]), tblSites[[#This Row],[Implementing Partner]]="-"), tblSites[[#This Row],[Site Agency]], tblSites[[#This Row],[Implementing Partner]])</f>
        <v>No SMA</v>
      </c>
      <c r="M1551" s="12" t="s">
        <v>55</v>
      </c>
      <c r="N1551" s="12" t="str">
        <f>tblSites[[#This Row],[FinalImplementingPartner]]</f>
        <v>No SMA</v>
      </c>
    </row>
    <row r="1552" spans="1:14" x14ac:dyDescent="0.25">
      <c r="A1552" s="12" t="s">
        <v>3871</v>
      </c>
      <c r="B1552" s="12" t="s">
        <v>4467</v>
      </c>
      <c r="C1552" s="12" t="s">
        <v>4987</v>
      </c>
      <c r="D1552" t="s">
        <v>5314</v>
      </c>
      <c r="E1552" s="12" t="s">
        <v>3176</v>
      </c>
      <c r="F1552" s="12" t="s">
        <v>79</v>
      </c>
      <c r="G1552" s="12" t="s">
        <v>5419</v>
      </c>
      <c r="H1552" s="12" t="s">
        <v>4467</v>
      </c>
      <c r="I1552" s="84">
        <v>27002101</v>
      </c>
      <c r="J1552" s="12" t="s">
        <v>5102</v>
      </c>
      <c r="L1552" s="12" t="str">
        <f>IF(OR(ISBLANK(tblSites[[#This Row],[Implementing Partner]]), tblSites[[#This Row],[Implementing Partner]]="-"), tblSites[[#This Row],[Site Agency]], tblSites[[#This Row],[Implementing Partner]])</f>
        <v>No SMA</v>
      </c>
      <c r="M1552" s="12" t="s">
        <v>55</v>
      </c>
      <c r="N1552" s="12" t="str">
        <f>tblSites[[#This Row],[FinalImplementingPartner]]</f>
        <v>No SMA</v>
      </c>
    </row>
    <row r="1553" spans="1:14" x14ac:dyDescent="0.25">
      <c r="A1553" s="12" t="s">
        <v>3872</v>
      </c>
      <c r="B1553" s="12" t="s">
        <v>4468</v>
      </c>
      <c r="C1553" s="12" t="s">
        <v>4988</v>
      </c>
      <c r="D1553" t="s">
        <v>5314</v>
      </c>
      <c r="E1553" s="12" t="s">
        <v>3176</v>
      </c>
      <c r="F1553" s="12" t="s">
        <v>79</v>
      </c>
      <c r="G1553" s="12" t="s">
        <v>5419</v>
      </c>
      <c r="H1553" s="12" t="s">
        <v>4468</v>
      </c>
      <c r="I1553" s="84">
        <v>27002101</v>
      </c>
      <c r="J1553" s="12" t="s">
        <v>5102</v>
      </c>
      <c r="L1553" s="12" t="str">
        <f>IF(OR(ISBLANK(tblSites[[#This Row],[Implementing Partner]]), tblSites[[#This Row],[Implementing Partner]]="-"), tblSites[[#This Row],[Site Agency]], tblSites[[#This Row],[Implementing Partner]])</f>
        <v>No SMA</v>
      </c>
      <c r="M1553" s="12" t="s">
        <v>55</v>
      </c>
      <c r="N1553" s="12" t="str">
        <f>tblSites[[#This Row],[FinalImplementingPartner]]</f>
        <v>No SMA</v>
      </c>
    </row>
    <row r="1554" spans="1:14" x14ac:dyDescent="0.25">
      <c r="A1554" s="12" t="s">
        <v>3873</v>
      </c>
      <c r="B1554" s="12" t="s">
        <v>4469</v>
      </c>
      <c r="C1554" s="12" t="s">
        <v>4989</v>
      </c>
      <c r="D1554" t="s">
        <v>5314</v>
      </c>
      <c r="E1554" s="12" t="s">
        <v>3176</v>
      </c>
      <c r="F1554" s="12" t="s">
        <v>135</v>
      </c>
      <c r="G1554" s="12" t="s">
        <v>5408</v>
      </c>
      <c r="H1554" s="12" t="s">
        <v>4469</v>
      </c>
      <c r="I1554" s="84">
        <v>27002100</v>
      </c>
      <c r="J1554" s="12" t="s">
        <v>5102</v>
      </c>
      <c r="L1554" s="12" t="str">
        <f>IF(OR(ISBLANK(tblSites[[#This Row],[Implementing Partner]]), tblSites[[#This Row],[Implementing Partner]]="-"), tblSites[[#This Row],[Site Agency]], tblSites[[#This Row],[Implementing Partner]])</f>
        <v>No SMA</v>
      </c>
      <c r="M1554" s="12" t="s">
        <v>55</v>
      </c>
      <c r="N1554" s="12" t="str">
        <f>tblSites[[#This Row],[FinalImplementingPartner]]</f>
        <v>No SMA</v>
      </c>
    </row>
    <row r="1555" spans="1:14" x14ac:dyDescent="0.25">
      <c r="A1555" s="12" t="s">
        <v>3874</v>
      </c>
      <c r="B1555" s="12" t="s">
        <v>4470</v>
      </c>
      <c r="C1555" s="12" t="s">
        <v>4990</v>
      </c>
      <c r="D1555" t="s">
        <v>5314</v>
      </c>
      <c r="E1555" s="12" t="s">
        <v>3176</v>
      </c>
      <c r="F1555" s="12" t="s">
        <v>135</v>
      </c>
      <c r="G1555" s="12" t="s">
        <v>5408</v>
      </c>
      <c r="H1555" s="12" t="s">
        <v>4470</v>
      </c>
      <c r="I1555" s="84">
        <v>27002100</v>
      </c>
      <c r="J1555" s="12" t="s">
        <v>5102</v>
      </c>
      <c r="L1555" s="12" t="str">
        <f>IF(OR(ISBLANK(tblSites[[#This Row],[Implementing Partner]]), tblSites[[#This Row],[Implementing Partner]]="-"), tblSites[[#This Row],[Site Agency]], tblSites[[#This Row],[Implementing Partner]])</f>
        <v>No SMA</v>
      </c>
      <c r="M1555" s="12" t="s">
        <v>55</v>
      </c>
      <c r="N1555" s="12" t="str">
        <f>tblSites[[#This Row],[FinalImplementingPartner]]</f>
        <v>No SMA</v>
      </c>
    </row>
    <row r="1556" spans="1:14" x14ac:dyDescent="0.25">
      <c r="A1556" s="12" t="s">
        <v>3875</v>
      </c>
      <c r="B1556" s="12" t="s">
        <v>4471</v>
      </c>
      <c r="C1556" s="12" t="s">
        <v>4991</v>
      </c>
      <c r="D1556" t="s">
        <v>5314</v>
      </c>
      <c r="E1556" s="12" t="s">
        <v>3176</v>
      </c>
      <c r="F1556" s="12" t="s">
        <v>82</v>
      </c>
      <c r="G1556" s="12" t="s">
        <v>5428</v>
      </c>
      <c r="H1556" s="12" t="s">
        <v>4471</v>
      </c>
      <c r="I1556" s="84">
        <v>27001153</v>
      </c>
      <c r="J1556" s="12" t="s">
        <v>5102</v>
      </c>
      <c r="L1556" s="12" t="str">
        <f>IF(OR(ISBLANK(tblSites[[#This Row],[Implementing Partner]]), tblSites[[#This Row],[Implementing Partner]]="-"), tblSites[[#This Row],[Site Agency]], tblSites[[#This Row],[Implementing Partner]])</f>
        <v>No SMA</v>
      </c>
      <c r="M1556" s="12" t="s">
        <v>55</v>
      </c>
      <c r="N1556" s="12" t="str">
        <f>tblSites[[#This Row],[FinalImplementingPartner]]</f>
        <v>No SMA</v>
      </c>
    </row>
    <row r="1557" spans="1:14" x14ac:dyDescent="0.25">
      <c r="A1557" s="12" t="s">
        <v>3876</v>
      </c>
      <c r="B1557" s="12" t="s">
        <v>4472</v>
      </c>
      <c r="C1557" s="12" t="s">
        <v>4992</v>
      </c>
      <c r="D1557" t="s">
        <v>5314</v>
      </c>
      <c r="E1557" s="12" t="s">
        <v>3176</v>
      </c>
      <c r="F1557" s="12" t="s">
        <v>135</v>
      </c>
      <c r="G1557" s="12" t="s">
        <v>5408</v>
      </c>
      <c r="H1557" s="12" t="s">
        <v>4472</v>
      </c>
      <c r="I1557" s="84">
        <v>27002100</v>
      </c>
      <c r="J1557" s="12" t="s">
        <v>5102</v>
      </c>
      <c r="L1557" s="12" t="str">
        <f>IF(OR(ISBLANK(tblSites[[#This Row],[Implementing Partner]]), tblSites[[#This Row],[Implementing Partner]]="-"), tblSites[[#This Row],[Site Agency]], tblSites[[#This Row],[Implementing Partner]])</f>
        <v>No SMA</v>
      </c>
      <c r="M1557" s="12" t="s">
        <v>55</v>
      </c>
      <c r="N1557" s="12" t="str">
        <f>tblSites[[#This Row],[FinalImplementingPartner]]</f>
        <v>No SMA</v>
      </c>
    </row>
    <row r="1558" spans="1:14" x14ac:dyDescent="0.25">
      <c r="A1558" s="12" t="s">
        <v>3877</v>
      </c>
      <c r="B1558" s="12" t="s">
        <v>4473</v>
      </c>
      <c r="C1558" s="12" t="s">
        <v>4993</v>
      </c>
      <c r="D1558" t="s">
        <v>5314</v>
      </c>
      <c r="E1558" s="12" t="s">
        <v>3176</v>
      </c>
      <c r="F1558" s="12" t="s">
        <v>135</v>
      </c>
      <c r="G1558" s="12" t="s">
        <v>5408</v>
      </c>
      <c r="H1558" s="12" t="s">
        <v>4473</v>
      </c>
      <c r="I1558" s="84">
        <v>27002100</v>
      </c>
      <c r="J1558" s="12" t="s">
        <v>5102</v>
      </c>
      <c r="L1558" s="12" t="str">
        <f>IF(OR(ISBLANK(tblSites[[#This Row],[Implementing Partner]]), tblSites[[#This Row],[Implementing Partner]]="-"), tblSites[[#This Row],[Site Agency]], tblSites[[#This Row],[Implementing Partner]])</f>
        <v>No SMA</v>
      </c>
      <c r="M1558" s="12" t="s">
        <v>55</v>
      </c>
      <c r="N1558" s="12" t="str">
        <f>tblSites[[#This Row],[FinalImplementingPartner]]</f>
        <v>No SMA</v>
      </c>
    </row>
    <row r="1559" spans="1:14" x14ac:dyDescent="0.25">
      <c r="A1559" s="12" t="s">
        <v>3878</v>
      </c>
      <c r="B1559" s="12" t="s">
        <v>4474</v>
      </c>
      <c r="C1559" s="12" t="s">
        <v>4994</v>
      </c>
      <c r="D1559" t="s">
        <v>5314</v>
      </c>
      <c r="E1559" s="12" t="s">
        <v>3176</v>
      </c>
      <c r="F1559" s="12" t="s">
        <v>82</v>
      </c>
      <c r="G1559" s="12" t="s">
        <v>5428</v>
      </c>
      <c r="H1559" s="12" t="s">
        <v>4474</v>
      </c>
      <c r="I1559" s="84">
        <v>27001153</v>
      </c>
      <c r="J1559" s="12" t="s">
        <v>5102</v>
      </c>
      <c r="L1559" s="12" t="str">
        <f>IF(OR(ISBLANK(tblSites[[#This Row],[Implementing Partner]]), tblSites[[#This Row],[Implementing Partner]]="-"), tblSites[[#This Row],[Site Agency]], tblSites[[#This Row],[Implementing Partner]])</f>
        <v>No SMA</v>
      </c>
      <c r="M1559" s="12" t="s">
        <v>55</v>
      </c>
      <c r="N1559" s="12" t="str">
        <f>tblSites[[#This Row],[FinalImplementingPartner]]</f>
        <v>No SMA</v>
      </c>
    </row>
    <row r="1560" spans="1:14" x14ac:dyDescent="0.25">
      <c r="A1560" s="12" t="s">
        <v>3879</v>
      </c>
      <c r="B1560" s="12" t="s">
        <v>4475</v>
      </c>
      <c r="C1560" s="12" t="s">
        <v>4995</v>
      </c>
      <c r="D1560" t="s">
        <v>5314</v>
      </c>
      <c r="E1560" s="12" t="s">
        <v>3176</v>
      </c>
      <c r="F1560" s="12" t="s">
        <v>79</v>
      </c>
      <c r="G1560" s="12" t="s">
        <v>5419</v>
      </c>
      <c r="H1560" s="12" t="s">
        <v>4475</v>
      </c>
      <c r="I1560" s="84">
        <v>27002101</v>
      </c>
      <c r="J1560" s="12" t="s">
        <v>5102</v>
      </c>
      <c r="K1560" s="12" t="s">
        <v>389</v>
      </c>
      <c r="L1560" s="12" t="str">
        <f>IF(OR(ISBLANK(tblSites[[#This Row],[Implementing Partner]]), tblSites[[#This Row],[Implementing Partner]]="-"), tblSites[[#This Row],[Site Agency]], tblSites[[#This Row],[Implementing Partner]])</f>
        <v>No SMA</v>
      </c>
      <c r="M1560" s="12" t="s">
        <v>55</v>
      </c>
      <c r="N1560" s="12" t="str">
        <f>tblSites[[#This Row],[FinalImplementingPartner]]</f>
        <v>No SMA</v>
      </c>
    </row>
    <row r="1561" spans="1:14" x14ac:dyDescent="0.25">
      <c r="A1561" s="12" t="s">
        <v>3880</v>
      </c>
      <c r="B1561" s="12" t="s">
        <v>4321</v>
      </c>
      <c r="C1561" s="12" t="s">
        <v>4996</v>
      </c>
      <c r="D1561" t="s">
        <v>5314</v>
      </c>
      <c r="E1561" s="12" t="s">
        <v>3176</v>
      </c>
      <c r="F1561" s="12" t="s">
        <v>53</v>
      </c>
      <c r="G1561" s="12" t="s">
        <v>5406</v>
      </c>
      <c r="H1561" s="12" t="s">
        <v>4321</v>
      </c>
      <c r="I1561" s="84">
        <v>27002154</v>
      </c>
      <c r="J1561" s="12" t="s">
        <v>5102</v>
      </c>
      <c r="L1561" s="12" t="str">
        <f>IF(OR(ISBLANK(tblSites[[#This Row],[Implementing Partner]]), tblSites[[#This Row],[Implementing Partner]]="-"), tblSites[[#This Row],[Site Agency]], tblSites[[#This Row],[Implementing Partner]])</f>
        <v>No SMA</v>
      </c>
      <c r="M1561" s="12" t="s">
        <v>55</v>
      </c>
      <c r="N1561" s="12" t="str">
        <f>tblSites[[#This Row],[FinalImplementingPartner]]</f>
        <v>No SMA</v>
      </c>
    </row>
    <row r="1562" spans="1:14" x14ac:dyDescent="0.25">
      <c r="A1562" s="12" t="s">
        <v>3881</v>
      </c>
      <c r="B1562" s="12" t="s">
        <v>4476</v>
      </c>
      <c r="C1562" s="12" t="s">
        <v>4997</v>
      </c>
      <c r="D1562" t="s">
        <v>5314</v>
      </c>
      <c r="E1562" s="12" t="s">
        <v>3176</v>
      </c>
      <c r="F1562" s="12" t="s">
        <v>135</v>
      </c>
      <c r="G1562" s="12" t="s">
        <v>5408</v>
      </c>
      <c r="H1562" s="12" t="s">
        <v>4476</v>
      </c>
      <c r="I1562" s="84">
        <v>27002100</v>
      </c>
      <c r="J1562" s="12" t="s">
        <v>5102</v>
      </c>
      <c r="L1562" s="12" t="str">
        <f>IF(OR(ISBLANK(tblSites[[#This Row],[Implementing Partner]]), tblSites[[#This Row],[Implementing Partner]]="-"), tblSites[[#This Row],[Site Agency]], tblSites[[#This Row],[Implementing Partner]])</f>
        <v>No SMA</v>
      </c>
      <c r="M1562" s="12" t="s">
        <v>55</v>
      </c>
      <c r="N1562" s="12" t="str">
        <f>tblSites[[#This Row],[FinalImplementingPartner]]</f>
        <v>No SMA</v>
      </c>
    </row>
    <row r="1563" spans="1:14" x14ac:dyDescent="0.25">
      <c r="A1563" s="12" t="s">
        <v>3882</v>
      </c>
      <c r="B1563" s="12" t="s">
        <v>4477</v>
      </c>
      <c r="C1563" s="12" t="s">
        <v>4998</v>
      </c>
      <c r="D1563" t="s">
        <v>5314</v>
      </c>
      <c r="E1563" s="12" t="s">
        <v>3176</v>
      </c>
      <c r="F1563" s="12" t="s">
        <v>79</v>
      </c>
      <c r="G1563" s="12" t="s">
        <v>5419</v>
      </c>
      <c r="H1563" s="12" t="s">
        <v>4477</v>
      </c>
      <c r="I1563" s="84">
        <v>27002101</v>
      </c>
      <c r="J1563" s="12" t="s">
        <v>5102</v>
      </c>
      <c r="L1563" s="12" t="str">
        <f>IF(OR(ISBLANK(tblSites[[#This Row],[Implementing Partner]]), tblSites[[#This Row],[Implementing Partner]]="-"), tblSites[[#This Row],[Site Agency]], tblSites[[#This Row],[Implementing Partner]])</f>
        <v>No SMA</v>
      </c>
      <c r="M1563" s="12" t="s">
        <v>55</v>
      </c>
      <c r="N1563" s="12" t="str">
        <f>tblSites[[#This Row],[FinalImplementingPartner]]</f>
        <v>No SMA</v>
      </c>
    </row>
    <row r="1564" spans="1:14" x14ac:dyDescent="0.25">
      <c r="A1564" s="12" t="s">
        <v>3883</v>
      </c>
      <c r="B1564" s="12" t="s">
        <v>4478</v>
      </c>
      <c r="C1564" s="12" t="s">
        <v>4999</v>
      </c>
      <c r="D1564" t="s">
        <v>5314</v>
      </c>
      <c r="E1564" s="12" t="s">
        <v>3176</v>
      </c>
      <c r="F1564" s="12" t="s">
        <v>173</v>
      </c>
      <c r="G1564" s="12" t="s">
        <v>5404</v>
      </c>
      <c r="H1564" s="12" t="s">
        <v>4478</v>
      </c>
      <c r="I1564" s="84">
        <v>27002105</v>
      </c>
      <c r="J1564" s="12" t="s">
        <v>5102</v>
      </c>
      <c r="K1564" s="12" t="s">
        <v>389</v>
      </c>
      <c r="L1564" s="12" t="str">
        <f>IF(OR(ISBLANK(tblSites[[#This Row],[Implementing Partner]]), tblSites[[#This Row],[Implementing Partner]]="-"), tblSites[[#This Row],[Site Agency]], tblSites[[#This Row],[Implementing Partner]])</f>
        <v>No SMA</v>
      </c>
      <c r="M1564" s="12" t="s">
        <v>55</v>
      </c>
      <c r="N1564" s="12" t="str">
        <f>tblSites[[#This Row],[FinalImplementingPartner]]</f>
        <v>No SMA</v>
      </c>
    </row>
    <row r="1565" spans="1:14" x14ac:dyDescent="0.25">
      <c r="A1565" s="12" t="s">
        <v>2540</v>
      </c>
      <c r="B1565" s="12" t="s">
        <v>2541</v>
      </c>
      <c r="C1565" s="12" t="s">
        <v>2542</v>
      </c>
      <c r="D1565" t="s">
        <v>120</v>
      </c>
      <c r="E1565" s="12" t="s">
        <v>3177</v>
      </c>
      <c r="F1565" s="12" t="s">
        <v>1712</v>
      </c>
      <c r="G1565" s="12" t="s">
        <v>5158</v>
      </c>
      <c r="H1565" s="12" t="s">
        <v>2541</v>
      </c>
      <c r="I1565" s="84">
        <v>25505139</v>
      </c>
      <c r="J1565" s="12" t="s">
        <v>5102</v>
      </c>
      <c r="L1565" s="12" t="str">
        <f>IF(OR(ISBLANK(tblSites[[#This Row],[Implementing Partner]]), tblSites[[#This Row],[Implementing Partner]]="-"), tblSites[[#This Row],[Site Agency]], tblSites[[#This Row],[Implementing Partner]])</f>
        <v>No SMA</v>
      </c>
      <c r="M1565" s="12" t="s">
        <v>55</v>
      </c>
      <c r="N1565" s="12" t="str">
        <f>tblSites[[#This Row],[FinalImplementingPartner]]</f>
        <v>No SMA</v>
      </c>
    </row>
    <row r="1566" spans="1:14" x14ac:dyDescent="0.25">
      <c r="A1566" s="12" t="s">
        <v>1885</v>
      </c>
      <c r="B1566" s="12" t="s">
        <v>1886</v>
      </c>
      <c r="C1566" s="12" t="s">
        <v>1887</v>
      </c>
      <c r="D1566" t="s">
        <v>120</v>
      </c>
      <c r="E1566" s="12" t="s">
        <v>3177</v>
      </c>
      <c r="F1566" s="12" t="s">
        <v>1862</v>
      </c>
      <c r="G1566" s="12" t="s">
        <v>5154</v>
      </c>
      <c r="H1566" s="12" t="s">
        <v>1886</v>
      </c>
      <c r="I1566" s="84">
        <v>2550536</v>
      </c>
      <c r="J1566" s="12" t="s">
        <v>5102</v>
      </c>
      <c r="K1566" s="12" t="s">
        <v>389</v>
      </c>
      <c r="L1566" s="12" t="str">
        <f>IF(OR(ISBLANK(tblSites[[#This Row],[Implementing Partner]]), tblSites[[#This Row],[Implementing Partner]]="-"), tblSites[[#This Row],[Site Agency]], tblSites[[#This Row],[Implementing Partner]])</f>
        <v>No SMA</v>
      </c>
      <c r="M1566" s="12" t="s">
        <v>55</v>
      </c>
      <c r="N1566" s="12" t="str">
        <f>tblSites[[#This Row],[FinalImplementingPartner]]</f>
        <v>No SMA</v>
      </c>
    </row>
    <row r="1567" spans="1:14" x14ac:dyDescent="0.25">
      <c r="A1567" s="12" t="s">
        <v>2457</v>
      </c>
      <c r="B1567" s="12" t="s">
        <v>2458</v>
      </c>
      <c r="C1567" s="12" t="s">
        <v>2459</v>
      </c>
      <c r="D1567" t="s">
        <v>120</v>
      </c>
      <c r="E1567" s="12" t="s">
        <v>3177</v>
      </c>
      <c r="F1567" s="12" t="s">
        <v>436</v>
      </c>
      <c r="G1567" s="12" t="s">
        <v>5159</v>
      </c>
      <c r="H1567" s="12" t="s">
        <v>2458</v>
      </c>
      <c r="I1567" s="84">
        <v>25504177</v>
      </c>
      <c r="J1567" s="12" t="s">
        <v>1215</v>
      </c>
      <c r="L1567" s="12" t="str">
        <f>IF(OR(ISBLANK(tblSites[[#This Row],[Implementing Partner]]), tblSites[[#This Row],[Implementing Partner]]="-"), tblSites[[#This Row],[Site Agency]], tblSites[[#This Row],[Implementing Partner]])</f>
        <v>UNRWA</v>
      </c>
      <c r="M1567" s="12" t="s">
        <v>55</v>
      </c>
      <c r="N1567" s="12" t="str">
        <f>tblSites[[#This Row],[FinalImplementingPartner]]</f>
        <v>UNRWA</v>
      </c>
    </row>
    <row r="1568" spans="1:14" x14ac:dyDescent="0.25">
      <c r="A1568" s="12" t="s">
        <v>2438</v>
      </c>
      <c r="B1568" s="12" t="s">
        <v>2439</v>
      </c>
      <c r="C1568" s="12" t="s">
        <v>389</v>
      </c>
      <c r="D1568" t="s">
        <v>120</v>
      </c>
      <c r="E1568" s="12" t="s">
        <v>3177</v>
      </c>
      <c r="F1568" s="12" t="s">
        <v>436</v>
      </c>
      <c r="G1568" s="12" t="s">
        <v>5159</v>
      </c>
      <c r="H1568" s="12" t="s">
        <v>2439</v>
      </c>
      <c r="I1568" s="84">
        <v>25504177</v>
      </c>
      <c r="J1568" s="12" t="s">
        <v>1215</v>
      </c>
      <c r="L1568" s="12" t="str">
        <f>IF(OR(ISBLANK(tblSites[[#This Row],[Implementing Partner]]), tblSites[[#This Row],[Implementing Partner]]="-"), tblSites[[#This Row],[Site Agency]], tblSites[[#This Row],[Implementing Partner]])</f>
        <v>UNRWA</v>
      </c>
      <c r="M1568" s="12" t="s">
        <v>55</v>
      </c>
      <c r="N1568" s="12" t="str">
        <f>tblSites[[#This Row],[FinalImplementingPartner]]</f>
        <v>UNRWA</v>
      </c>
    </row>
    <row r="1569" spans="1:14" x14ac:dyDescent="0.25">
      <c r="A1569" s="12" t="s">
        <v>2408</v>
      </c>
      <c r="B1569" s="12" t="s">
        <v>2409</v>
      </c>
      <c r="C1569" s="12" t="s">
        <v>2410</v>
      </c>
      <c r="D1569" t="s">
        <v>120</v>
      </c>
      <c r="E1569" s="12" t="s">
        <v>3177</v>
      </c>
      <c r="F1569" s="12" t="s">
        <v>436</v>
      </c>
      <c r="G1569" s="12" t="s">
        <v>5159</v>
      </c>
      <c r="H1569" s="12" t="s">
        <v>2409</v>
      </c>
      <c r="I1569" s="84">
        <v>25504177</v>
      </c>
      <c r="J1569" s="12" t="s">
        <v>1215</v>
      </c>
      <c r="L1569" s="12" t="str">
        <f>IF(OR(ISBLANK(tblSites[[#This Row],[Implementing Partner]]), tblSites[[#This Row],[Implementing Partner]]="-"), tblSites[[#This Row],[Site Agency]], tblSites[[#This Row],[Implementing Partner]])</f>
        <v>UNRWA</v>
      </c>
      <c r="M1569" s="12" t="s">
        <v>55</v>
      </c>
      <c r="N1569" s="12" t="str">
        <f>tblSites[[#This Row],[FinalImplementingPartner]]</f>
        <v>UNRWA</v>
      </c>
    </row>
    <row r="1570" spans="1:14" x14ac:dyDescent="0.25">
      <c r="A1570" s="12" t="s">
        <v>2452</v>
      </c>
      <c r="B1570" s="12" t="s">
        <v>2453</v>
      </c>
      <c r="C1570" s="12" t="s">
        <v>2454</v>
      </c>
      <c r="D1570" t="s">
        <v>120</v>
      </c>
      <c r="E1570" s="12" t="s">
        <v>3177</v>
      </c>
      <c r="F1570" s="12" t="s">
        <v>436</v>
      </c>
      <c r="G1570" s="12" t="s">
        <v>5159</v>
      </c>
      <c r="H1570" s="12" t="s">
        <v>2453</v>
      </c>
      <c r="I1570" s="84">
        <v>25504177</v>
      </c>
      <c r="J1570" s="12" t="s">
        <v>1215</v>
      </c>
      <c r="L1570" s="12" t="str">
        <f>IF(OR(ISBLANK(tblSites[[#This Row],[Implementing Partner]]), tblSites[[#This Row],[Implementing Partner]]="-"), tblSites[[#This Row],[Site Agency]], tblSites[[#This Row],[Implementing Partner]])</f>
        <v>UNRWA</v>
      </c>
      <c r="M1570" s="12" t="s">
        <v>55</v>
      </c>
      <c r="N1570" s="12" t="str">
        <f>tblSites[[#This Row],[FinalImplementingPartner]]</f>
        <v>UNRWA</v>
      </c>
    </row>
    <row r="1571" spans="1:14" x14ac:dyDescent="0.25">
      <c r="A1571" s="12" t="s">
        <v>387</v>
      </c>
      <c r="B1571" s="12" t="s">
        <v>388</v>
      </c>
      <c r="C1571" s="12" t="s">
        <v>389</v>
      </c>
      <c r="D1571" t="s">
        <v>120</v>
      </c>
      <c r="E1571" s="12" t="s">
        <v>3177</v>
      </c>
      <c r="F1571" s="12" t="s">
        <v>390</v>
      </c>
      <c r="G1571" s="12" t="s">
        <v>5160</v>
      </c>
      <c r="H1571" s="12" t="s">
        <v>388</v>
      </c>
      <c r="I1571" s="84">
        <v>2550126</v>
      </c>
      <c r="J1571" s="12" t="s">
        <v>5102</v>
      </c>
      <c r="L1571" s="12" t="str">
        <f>IF(OR(ISBLANK(tblSites[[#This Row],[Implementing Partner]]), tblSites[[#This Row],[Implementing Partner]]="-"), tblSites[[#This Row],[Site Agency]], tblSites[[#This Row],[Implementing Partner]])</f>
        <v>No SMA</v>
      </c>
      <c r="M1571" s="12" t="s">
        <v>55</v>
      </c>
      <c r="N1571" s="12" t="str">
        <f>tblSites[[#This Row],[FinalImplementingPartner]]</f>
        <v>No SMA</v>
      </c>
    </row>
    <row r="1572" spans="1:14" x14ac:dyDescent="0.25">
      <c r="A1572" s="12" t="s">
        <v>391</v>
      </c>
      <c r="B1572" s="12" t="s">
        <v>392</v>
      </c>
      <c r="C1572" s="12" t="s">
        <v>389</v>
      </c>
      <c r="D1572" t="s">
        <v>120</v>
      </c>
      <c r="E1572" s="12" t="s">
        <v>3177</v>
      </c>
      <c r="F1572" s="12" t="s">
        <v>390</v>
      </c>
      <c r="G1572" s="12" t="s">
        <v>5160</v>
      </c>
      <c r="H1572" s="12" t="s">
        <v>392</v>
      </c>
      <c r="I1572" s="84">
        <v>2550126</v>
      </c>
      <c r="J1572" s="12" t="s">
        <v>5102</v>
      </c>
      <c r="L1572" s="12" t="str">
        <f>IF(OR(ISBLANK(tblSites[[#This Row],[Implementing Partner]]), tblSites[[#This Row],[Implementing Partner]]="-"), tblSites[[#This Row],[Site Agency]], tblSites[[#This Row],[Implementing Partner]])</f>
        <v>No SMA</v>
      </c>
      <c r="M1572" s="12" t="s">
        <v>55</v>
      </c>
      <c r="N1572" s="12" t="str">
        <f>tblSites[[#This Row],[FinalImplementingPartner]]</f>
        <v>No SMA</v>
      </c>
    </row>
    <row r="1573" spans="1:14" x14ac:dyDescent="0.25">
      <c r="A1573" s="12" t="s">
        <v>3134</v>
      </c>
      <c r="B1573" s="12" t="s">
        <v>3135</v>
      </c>
      <c r="C1573" s="12" t="s">
        <v>3136</v>
      </c>
      <c r="D1573" t="s">
        <v>120</v>
      </c>
      <c r="E1573" s="12" t="s">
        <v>3177</v>
      </c>
      <c r="F1573" s="12" t="s">
        <v>302</v>
      </c>
      <c r="G1573" s="12" t="s">
        <v>5161</v>
      </c>
      <c r="H1573" s="12" t="s">
        <v>3135</v>
      </c>
      <c r="I1573" s="84">
        <v>25505137</v>
      </c>
      <c r="J1573" s="12" t="s">
        <v>5102</v>
      </c>
      <c r="L1573" s="12" t="str">
        <f>IF(OR(ISBLANK(tblSites[[#This Row],[Implementing Partner]]), tblSites[[#This Row],[Implementing Partner]]="-"), tblSites[[#This Row],[Site Agency]], tblSites[[#This Row],[Implementing Partner]])</f>
        <v>No SMA</v>
      </c>
      <c r="M1573" s="12" t="s">
        <v>55</v>
      </c>
      <c r="N1573" s="12" t="str">
        <f>tblSites[[#This Row],[FinalImplementingPartner]]</f>
        <v>No SMA</v>
      </c>
    </row>
    <row r="1574" spans="1:14" x14ac:dyDescent="0.25">
      <c r="A1574" s="12" t="s">
        <v>394</v>
      </c>
      <c r="B1574" s="12" t="s">
        <v>395</v>
      </c>
      <c r="C1574" s="12" t="s">
        <v>389</v>
      </c>
      <c r="D1574" t="s">
        <v>120</v>
      </c>
      <c r="E1574" s="12" t="s">
        <v>3177</v>
      </c>
      <c r="F1574" s="12" t="s">
        <v>396</v>
      </c>
      <c r="G1574" s="12" t="s">
        <v>5162</v>
      </c>
      <c r="H1574" s="12" t="s">
        <v>395</v>
      </c>
      <c r="I1574" s="84">
        <v>2550128</v>
      </c>
      <c r="J1574" s="12" t="s">
        <v>5102</v>
      </c>
      <c r="L1574" s="12" t="str">
        <f>IF(OR(ISBLANK(tblSites[[#This Row],[Implementing Partner]]), tblSites[[#This Row],[Implementing Partner]]="-"), tblSites[[#This Row],[Site Agency]], tblSites[[#This Row],[Implementing Partner]])</f>
        <v>No SMA</v>
      </c>
      <c r="M1574" s="12" t="s">
        <v>55</v>
      </c>
      <c r="N1574" s="12" t="str">
        <f>tblSites[[#This Row],[FinalImplementingPartner]]</f>
        <v>No SMA</v>
      </c>
    </row>
    <row r="1575" spans="1:14" x14ac:dyDescent="0.25">
      <c r="A1575" s="12" t="s">
        <v>2233</v>
      </c>
      <c r="B1575" s="12" t="s">
        <v>2234</v>
      </c>
      <c r="C1575" s="12" t="s">
        <v>2234</v>
      </c>
      <c r="D1575" t="s">
        <v>120</v>
      </c>
      <c r="E1575" s="12" t="s">
        <v>3177</v>
      </c>
      <c r="F1575" s="12" t="s">
        <v>436</v>
      </c>
      <c r="G1575" s="12" t="s">
        <v>5163</v>
      </c>
      <c r="H1575" s="12" t="s">
        <v>2234</v>
      </c>
      <c r="I1575" s="84">
        <v>25504177</v>
      </c>
      <c r="J1575" s="12" t="s">
        <v>5102</v>
      </c>
      <c r="L1575" s="12" t="str">
        <f>IF(OR(ISBLANK(tblSites[[#This Row],[Implementing Partner]]), tblSites[[#This Row],[Implementing Partner]]="-"), tblSites[[#This Row],[Site Agency]], tblSites[[#This Row],[Implementing Partner]])</f>
        <v>No SMA</v>
      </c>
      <c r="M1575" s="12" t="s">
        <v>55</v>
      </c>
      <c r="N1575" s="12" t="str">
        <f>tblSites[[#This Row],[FinalImplementingPartner]]</f>
        <v>No SMA</v>
      </c>
    </row>
    <row r="1576" spans="1:14" x14ac:dyDescent="0.25">
      <c r="A1576" s="12" t="s">
        <v>2099</v>
      </c>
      <c r="B1576" s="12" t="s">
        <v>2100</v>
      </c>
      <c r="C1576" s="12" t="s">
        <v>389</v>
      </c>
      <c r="D1576" t="s">
        <v>120</v>
      </c>
      <c r="E1576" s="12" t="s">
        <v>3177</v>
      </c>
      <c r="F1576" s="12" t="s">
        <v>436</v>
      </c>
      <c r="G1576" s="12" t="s">
        <v>5163</v>
      </c>
      <c r="H1576" s="12" t="s">
        <v>2100</v>
      </c>
      <c r="I1576" s="84">
        <v>25504177</v>
      </c>
      <c r="J1576" s="12" t="s">
        <v>5102</v>
      </c>
      <c r="L1576" s="12" t="str">
        <f>IF(OR(ISBLANK(tblSites[[#This Row],[Implementing Partner]]), tblSites[[#This Row],[Implementing Partner]]="-"), tblSites[[#This Row],[Site Agency]], tblSites[[#This Row],[Implementing Partner]])</f>
        <v>No SMA</v>
      </c>
      <c r="M1576" s="12" t="s">
        <v>55</v>
      </c>
      <c r="N1576" s="12" t="str">
        <f>tblSites[[#This Row],[FinalImplementingPartner]]</f>
        <v>No SMA</v>
      </c>
    </row>
    <row r="1577" spans="1:14" x14ac:dyDescent="0.25">
      <c r="A1577" s="12" t="s">
        <v>2418</v>
      </c>
      <c r="B1577" s="12" t="s">
        <v>2419</v>
      </c>
      <c r="C1577" s="12" t="s">
        <v>2420</v>
      </c>
      <c r="D1577" t="s">
        <v>120</v>
      </c>
      <c r="E1577" s="12" t="s">
        <v>3177</v>
      </c>
      <c r="F1577" s="12" t="s">
        <v>302</v>
      </c>
      <c r="G1577" s="12" t="s">
        <v>5164</v>
      </c>
      <c r="H1577" s="12" t="s">
        <v>2419</v>
      </c>
      <c r="I1577" s="84">
        <v>25505137</v>
      </c>
      <c r="J1577" s="12" t="s">
        <v>1215</v>
      </c>
      <c r="L1577" s="12" t="str">
        <f>IF(OR(ISBLANK(tblSites[[#This Row],[Implementing Partner]]), tblSites[[#This Row],[Implementing Partner]]="-"), tblSites[[#This Row],[Site Agency]], tblSites[[#This Row],[Implementing Partner]])</f>
        <v>UNRWA</v>
      </c>
      <c r="M1577" s="12" t="s">
        <v>55</v>
      </c>
      <c r="N1577" s="12" t="str">
        <f>tblSites[[#This Row],[FinalImplementingPartner]]</f>
        <v>UNRWA</v>
      </c>
    </row>
    <row r="1578" spans="1:14" x14ac:dyDescent="0.25">
      <c r="A1578" s="12" t="s">
        <v>2403</v>
      </c>
      <c r="B1578" s="12" t="s">
        <v>2404</v>
      </c>
      <c r="C1578" s="12" t="s">
        <v>2405</v>
      </c>
      <c r="D1578" t="s">
        <v>120</v>
      </c>
      <c r="E1578" s="12" t="s">
        <v>3177</v>
      </c>
      <c r="F1578" s="12" t="s">
        <v>2406</v>
      </c>
      <c r="G1578" s="12" t="s">
        <v>5165</v>
      </c>
      <c r="H1578" s="12" t="s">
        <v>2404</v>
      </c>
      <c r="I1578" s="84">
        <v>2550131</v>
      </c>
      <c r="J1578" s="12" t="s">
        <v>5102</v>
      </c>
      <c r="L1578" s="12" t="str">
        <f>IF(OR(ISBLANK(tblSites[[#This Row],[Implementing Partner]]), tblSites[[#This Row],[Implementing Partner]]="-"), tblSites[[#This Row],[Site Agency]], tblSites[[#This Row],[Implementing Partner]])</f>
        <v>No SMA</v>
      </c>
      <c r="M1578" s="12" t="s">
        <v>55</v>
      </c>
      <c r="N1578" s="12" t="str">
        <f>tblSites[[#This Row],[FinalImplementingPartner]]</f>
        <v>No SMA</v>
      </c>
    </row>
    <row r="1579" spans="1:14" x14ac:dyDescent="0.25">
      <c r="A1579" s="12" t="s">
        <v>2114</v>
      </c>
      <c r="B1579" s="12" t="s">
        <v>2115</v>
      </c>
      <c r="C1579" s="12" t="s">
        <v>2116</v>
      </c>
      <c r="D1579" t="s">
        <v>120</v>
      </c>
      <c r="E1579" s="12" t="s">
        <v>3177</v>
      </c>
      <c r="F1579" s="12" t="s">
        <v>1712</v>
      </c>
      <c r="G1579" s="12" t="s">
        <v>5158</v>
      </c>
      <c r="H1579" s="12" t="s">
        <v>2115</v>
      </c>
      <c r="I1579" s="84">
        <v>25505139</v>
      </c>
      <c r="J1579" s="12" t="s">
        <v>5102</v>
      </c>
      <c r="L1579" s="12" t="str">
        <f>IF(OR(ISBLANK(tblSites[[#This Row],[Implementing Partner]]), tblSites[[#This Row],[Implementing Partner]]="-"), tblSites[[#This Row],[Site Agency]], tblSites[[#This Row],[Implementing Partner]])</f>
        <v>No SMA</v>
      </c>
      <c r="M1579" s="12" t="s">
        <v>55</v>
      </c>
      <c r="N1579" s="12" t="str">
        <f>tblSites[[#This Row],[FinalImplementingPartner]]</f>
        <v>No SMA</v>
      </c>
    </row>
    <row r="1580" spans="1:14" x14ac:dyDescent="0.25">
      <c r="A1580" s="12" t="s">
        <v>2013</v>
      </c>
      <c r="B1580" s="12" t="s">
        <v>2014</v>
      </c>
      <c r="C1580" s="12" t="s">
        <v>2015</v>
      </c>
      <c r="D1580" t="s">
        <v>120</v>
      </c>
      <c r="E1580" s="12" t="s">
        <v>3177</v>
      </c>
      <c r="F1580" s="12" t="s">
        <v>436</v>
      </c>
      <c r="G1580" s="12" t="s">
        <v>5163</v>
      </c>
      <c r="H1580" s="12" t="s">
        <v>2014</v>
      </c>
      <c r="I1580" s="84">
        <v>25504177</v>
      </c>
      <c r="J1580" s="12" t="s">
        <v>5102</v>
      </c>
      <c r="L1580" s="12" t="str">
        <f>IF(OR(ISBLANK(tblSites[[#This Row],[Implementing Partner]]), tblSites[[#This Row],[Implementing Partner]]="-"), tblSites[[#This Row],[Site Agency]], tblSites[[#This Row],[Implementing Partner]])</f>
        <v>No SMA</v>
      </c>
      <c r="M1580" s="12" t="s">
        <v>55</v>
      </c>
      <c r="N1580" s="12" t="str">
        <f>tblSites[[#This Row],[FinalImplementingPartner]]</f>
        <v>No SMA</v>
      </c>
    </row>
    <row r="1581" spans="1:14" x14ac:dyDescent="0.25">
      <c r="A1581" s="12" t="s">
        <v>2543</v>
      </c>
      <c r="B1581" s="12" t="s">
        <v>2544</v>
      </c>
      <c r="C1581" s="12" t="s">
        <v>2545</v>
      </c>
      <c r="D1581" t="s">
        <v>120</v>
      </c>
      <c r="E1581" s="12" t="s">
        <v>3177</v>
      </c>
      <c r="F1581" s="12" t="s">
        <v>490</v>
      </c>
      <c r="G1581" s="12" t="s">
        <v>5166</v>
      </c>
      <c r="H1581" s="12" t="s">
        <v>2544</v>
      </c>
      <c r="I1581" s="84">
        <v>25501131</v>
      </c>
      <c r="J1581" s="12" t="s">
        <v>5102</v>
      </c>
      <c r="L1581" s="12" t="str">
        <f>IF(OR(ISBLANK(tblSites[[#This Row],[Implementing Partner]]), tblSites[[#This Row],[Implementing Partner]]="-"), tblSites[[#This Row],[Site Agency]], tblSites[[#This Row],[Implementing Partner]])</f>
        <v>No SMA</v>
      </c>
      <c r="M1581" s="12" t="s">
        <v>55</v>
      </c>
      <c r="N1581" s="12" t="str">
        <f>tblSites[[#This Row],[FinalImplementingPartner]]</f>
        <v>No SMA</v>
      </c>
    </row>
    <row r="1582" spans="1:14" x14ac:dyDescent="0.25">
      <c r="A1582" s="12" t="s">
        <v>2430</v>
      </c>
      <c r="B1582" s="12" t="s">
        <v>2431</v>
      </c>
      <c r="C1582" s="12" t="s">
        <v>2432</v>
      </c>
      <c r="D1582" t="s">
        <v>120</v>
      </c>
      <c r="E1582" s="12" t="s">
        <v>3177</v>
      </c>
      <c r="F1582" s="12" t="s">
        <v>436</v>
      </c>
      <c r="G1582" s="12" t="s">
        <v>5159</v>
      </c>
      <c r="H1582" s="12" t="s">
        <v>2431</v>
      </c>
      <c r="I1582" s="84">
        <v>25504177</v>
      </c>
      <c r="J1582" s="12" t="s">
        <v>1215</v>
      </c>
      <c r="L1582" s="12" t="str">
        <f>IF(OR(ISBLANK(tblSites[[#This Row],[Implementing Partner]]), tblSites[[#This Row],[Implementing Partner]]="-"), tblSites[[#This Row],[Site Agency]], tblSites[[#This Row],[Implementing Partner]])</f>
        <v>UNRWA</v>
      </c>
      <c r="M1582" s="12" t="s">
        <v>55</v>
      </c>
      <c r="N1582" s="12" t="str">
        <f>tblSites[[#This Row],[FinalImplementingPartner]]</f>
        <v>UNRWA</v>
      </c>
    </row>
    <row r="1583" spans="1:14" x14ac:dyDescent="0.25">
      <c r="A1583" s="12" t="s">
        <v>2435</v>
      </c>
      <c r="B1583" s="12" t="s">
        <v>2436</v>
      </c>
      <c r="C1583" s="12" t="s">
        <v>2437</v>
      </c>
      <c r="D1583" t="s">
        <v>120</v>
      </c>
      <c r="E1583" s="12" t="s">
        <v>3177</v>
      </c>
      <c r="F1583" s="12" t="s">
        <v>436</v>
      </c>
      <c r="G1583" s="12" t="s">
        <v>5159</v>
      </c>
      <c r="H1583" s="12" t="s">
        <v>2436</v>
      </c>
      <c r="I1583" s="84">
        <v>25504177</v>
      </c>
      <c r="J1583" s="12" t="s">
        <v>1215</v>
      </c>
      <c r="L1583" s="12" t="str">
        <f>IF(OR(ISBLANK(tblSites[[#This Row],[Implementing Partner]]), tblSites[[#This Row],[Implementing Partner]]="-"), tblSites[[#This Row],[Site Agency]], tblSites[[#This Row],[Implementing Partner]])</f>
        <v>UNRWA</v>
      </c>
      <c r="M1583" s="12" t="s">
        <v>55</v>
      </c>
      <c r="N1583" s="12" t="str">
        <f>tblSites[[#This Row],[FinalImplementingPartner]]</f>
        <v>UNRWA</v>
      </c>
    </row>
    <row r="1584" spans="1:14" x14ac:dyDescent="0.25">
      <c r="A1584" s="12" t="s">
        <v>3137</v>
      </c>
      <c r="B1584" s="12" t="s">
        <v>3138</v>
      </c>
      <c r="C1584" s="12" t="s">
        <v>3139</v>
      </c>
      <c r="D1584" t="s">
        <v>120</v>
      </c>
      <c r="E1584" s="12" t="s">
        <v>3177</v>
      </c>
      <c r="F1584" s="12" t="s">
        <v>302</v>
      </c>
      <c r="G1584" s="12" t="s">
        <v>5161</v>
      </c>
      <c r="H1584" s="12" t="s">
        <v>3138</v>
      </c>
      <c r="I1584" s="84">
        <v>25505137</v>
      </c>
      <c r="J1584" s="12" t="s">
        <v>5102</v>
      </c>
      <c r="L1584" s="12" t="str">
        <f>IF(OR(ISBLANK(tblSites[[#This Row],[Implementing Partner]]), tblSites[[#This Row],[Implementing Partner]]="-"), tblSites[[#This Row],[Site Agency]], tblSites[[#This Row],[Implementing Partner]])</f>
        <v>No SMA</v>
      </c>
      <c r="M1584" s="12" t="s">
        <v>55</v>
      </c>
      <c r="N1584" s="12" t="str">
        <f>tblSites[[#This Row],[FinalImplementingPartner]]</f>
        <v>No SMA</v>
      </c>
    </row>
    <row r="1585" spans="1:14" x14ac:dyDescent="0.25">
      <c r="A1585" s="12" t="s">
        <v>3140</v>
      </c>
      <c r="B1585" s="12" t="s">
        <v>3141</v>
      </c>
      <c r="C1585" s="12" t="s">
        <v>3142</v>
      </c>
      <c r="D1585" t="s">
        <v>120</v>
      </c>
      <c r="E1585" s="12" t="s">
        <v>3177</v>
      </c>
      <c r="F1585" s="12" t="s">
        <v>3143</v>
      </c>
      <c r="G1585" s="12" t="s">
        <v>5167</v>
      </c>
      <c r="H1585" s="12" t="s">
        <v>3141</v>
      </c>
      <c r="I1585" s="84">
        <v>25505136</v>
      </c>
      <c r="J1585" s="12" t="s">
        <v>34</v>
      </c>
      <c r="K1585" s="12" t="s">
        <v>662</v>
      </c>
      <c r="L1585" s="12" t="str">
        <f>IF(OR(ISBLANK(tblSites[[#This Row],[Implementing Partner]]), tblSites[[#This Row],[Implementing Partner]]="-"), tblSites[[#This Row],[Site Agency]], tblSites[[#This Row],[Implementing Partner]])</f>
        <v>PARC</v>
      </c>
      <c r="M1585" s="12" t="s">
        <v>55</v>
      </c>
      <c r="N1585" s="12" t="str">
        <f>tblSites[[#This Row],[FinalImplementingPartner]]</f>
        <v>PARC</v>
      </c>
    </row>
    <row r="1586" spans="1:14" x14ac:dyDescent="0.25">
      <c r="A1586" s="12" t="s">
        <v>3144</v>
      </c>
      <c r="B1586" s="12" t="s">
        <v>3145</v>
      </c>
      <c r="C1586" s="12" t="s">
        <v>3146</v>
      </c>
      <c r="D1586" t="s">
        <v>120</v>
      </c>
      <c r="E1586" s="12" t="s">
        <v>3177</v>
      </c>
      <c r="F1586" s="12" t="s">
        <v>2235</v>
      </c>
      <c r="G1586" s="12" t="s">
        <v>5443</v>
      </c>
      <c r="H1586" s="12" t="s">
        <v>3145</v>
      </c>
      <c r="I1586" s="84">
        <v>25505143</v>
      </c>
      <c r="J1586" s="12" t="s">
        <v>5</v>
      </c>
      <c r="K1586" s="12" t="s">
        <v>119</v>
      </c>
      <c r="L1586" s="12" t="str">
        <f>IF(OR(ISBLANK(tblSites[[#This Row],[Implementing Partner]]), tblSites[[#This Row],[Implementing Partner]]="-"), tblSites[[#This Row],[Site Agency]], tblSites[[#This Row],[Implementing Partner]])</f>
        <v>BLDA</v>
      </c>
      <c r="M1586" s="12" t="s">
        <v>55</v>
      </c>
      <c r="N1586" s="12" t="str">
        <f>tblSites[[#This Row],[FinalImplementingPartner]]</f>
        <v>BLDA</v>
      </c>
    </row>
    <row r="1587" spans="1:14" x14ac:dyDescent="0.25">
      <c r="A1587" s="12" t="s">
        <v>3147</v>
      </c>
      <c r="B1587" s="12" t="s">
        <v>3148</v>
      </c>
      <c r="C1587" s="12" t="s">
        <v>3149</v>
      </c>
      <c r="D1587" t="s">
        <v>120</v>
      </c>
      <c r="E1587" s="12" t="s">
        <v>3177</v>
      </c>
      <c r="F1587" s="12" t="s">
        <v>302</v>
      </c>
      <c r="G1587" s="12" t="s">
        <v>5161</v>
      </c>
      <c r="H1587" s="12" t="s">
        <v>3148</v>
      </c>
      <c r="I1587" s="84">
        <v>25505137</v>
      </c>
      <c r="J1587" s="12" t="s">
        <v>5102</v>
      </c>
      <c r="L1587" s="12" t="str">
        <f>IF(OR(ISBLANK(tblSites[[#This Row],[Implementing Partner]]), tblSites[[#This Row],[Implementing Partner]]="-"), tblSites[[#This Row],[Site Agency]], tblSites[[#This Row],[Implementing Partner]])</f>
        <v>No SMA</v>
      </c>
      <c r="M1587" s="12" t="s">
        <v>55</v>
      </c>
      <c r="N1587" s="12" t="str">
        <f>tblSites[[#This Row],[FinalImplementingPartner]]</f>
        <v>No SMA</v>
      </c>
    </row>
    <row r="1588" spans="1:14" x14ac:dyDescent="0.25">
      <c r="A1588" s="12" t="s">
        <v>3152</v>
      </c>
      <c r="B1588" s="12" t="s">
        <v>3153</v>
      </c>
      <c r="C1588" s="12" t="s">
        <v>3154</v>
      </c>
      <c r="D1588" t="s">
        <v>120</v>
      </c>
      <c r="E1588" s="12" t="s">
        <v>3177</v>
      </c>
      <c r="F1588" s="12" t="s">
        <v>1862</v>
      </c>
      <c r="G1588" s="12" t="s">
        <v>5154</v>
      </c>
      <c r="H1588" s="12" t="s">
        <v>3153</v>
      </c>
      <c r="I1588" s="84">
        <v>2550536</v>
      </c>
      <c r="J1588" s="12" t="s">
        <v>5102</v>
      </c>
      <c r="L1588" s="12" t="str">
        <f>IF(OR(ISBLANK(tblSites[[#This Row],[Implementing Partner]]), tblSites[[#This Row],[Implementing Partner]]="-"), tblSites[[#This Row],[Site Agency]], tblSites[[#This Row],[Implementing Partner]])</f>
        <v>No SMA</v>
      </c>
      <c r="M1588" s="12" t="s">
        <v>55</v>
      </c>
      <c r="N1588" s="12" t="str">
        <f>tblSites[[#This Row],[FinalImplementingPartner]]</f>
        <v>No SMA</v>
      </c>
    </row>
    <row r="1589" spans="1:14" x14ac:dyDescent="0.25">
      <c r="A1589" s="12" t="s">
        <v>3155</v>
      </c>
      <c r="B1589" s="12" t="s">
        <v>3156</v>
      </c>
      <c r="C1589" s="12" t="s">
        <v>3157</v>
      </c>
      <c r="D1589" t="s">
        <v>120</v>
      </c>
      <c r="E1589" s="12" t="s">
        <v>3177</v>
      </c>
      <c r="F1589" s="12" t="s">
        <v>1862</v>
      </c>
      <c r="G1589" s="12" t="s">
        <v>5154</v>
      </c>
      <c r="H1589" s="12" t="s">
        <v>3156</v>
      </c>
      <c r="I1589" s="84">
        <v>2550536</v>
      </c>
      <c r="J1589" s="12" t="s">
        <v>5102</v>
      </c>
      <c r="L1589" s="12" t="str">
        <f>IF(OR(ISBLANK(tblSites[[#This Row],[Implementing Partner]]), tblSites[[#This Row],[Implementing Partner]]="-"), tblSites[[#This Row],[Site Agency]], tblSites[[#This Row],[Implementing Partner]])</f>
        <v>No SMA</v>
      </c>
      <c r="M1589" s="12" t="s">
        <v>55</v>
      </c>
      <c r="N1589" s="12" t="str">
        <f>tblSites[[#This Row],[FinalImplementingPartner]]</f>
        <v>No SMA</v>
      </c>
    </row>
    <row r="1590" spans="1:14" x14ac:dyDescent="0.25">
      <c r="A1590" s="12" t="s">
        <v>3158</v>
      </c>
      <c r="B1590" s="12" t="s">
        <v>3159</v>
      </c>
      <c r="C1590" s="12" t="s">
        <v>3160</v>
      </c>
      <c r="D1590" t="s">
        <v>120</v>
      </c>
      <c r="E1590" s="12" t="s">
        <v>3177</v>
      </c>
      <c r="F1590" s="12" t="s">
        <v>302</v>
      </c>
      <c r="G1590" s="12" t="s">
        <v>5161</v>
      </c>
      <c r="H1590" s="12" t="s">
        <v>3159</v>
      </c>
      <c r="I1590" s="84">
        <v>25505137</v>
      </c>
      <c r="J1590" s="12" t="s">
        <v>5102</v>
      </c>
      <c r="L1590" s="12" t="str">
        <f>IF(OR(ISBLANK(tblSites[[#This Row],[Implementing Partner]]), tblSites[[#This Row],[Implementing Partner]]="-"), tblSites[[#This Row],[Site Agency]], tblSites[[#This Row],[Implementing Partner]])</f>
        <v>No SMA</v>
      </c>
      <c r="M1590" s="12" t="s">
        <v>55</v>
      </c>
      <c r="N1590" s="12" t="str">
        <f>tblSites[[#This Row],[FinalImplementingPartner]]</f>
        <v>No SMA</v>
      </c>
    </row>
    <row r="1591" spans="1:14" x14ac:dyDescent="0.25">
      <c r="A1591" s="12" t="s">
        <v>3161</v>
      </c>
      <c r="B1591" s="12" t="s">
        <v>3162</v>
      </c>
      <c r="C1591" s="12" t="s">
        <v>3163</v>
      </c>
      <c r="D1591" t="s">
        <v>120</v>
      </c>
      <c r="E1591" s="12" t="s">
        <v>3177</v>
      </c>
      <c r="F1591" s="12" t="s">
        <v>1862</v>
      </c>
      <c r="G1591" s="12" t="s">
        <v>5154</v>
      </c>
      <c r="H1591" s="12" t="s">
        <v>3162</v>
      </c>
      <c r="I1591" s="84">
        <v>2550536</v>
      </c>
      <c r="J1591" s="12" t="s">
        <v>5102</v>
      </c>
      <c r="L1591" s="12" t="str">
        <f>IF(OR(ISBLANK(tblSites[[#This Row],[Implementing Partner]]), tblSites[[#This Row],[Implementing Partner]]="-"), tblSites[[#This Row],[Site Agency]], tblSites[[#This Row],[Implementing Partner]])</f>
        <v>No SMA</v>
      </c>
      <c r="M1591" s="12" t="s">
        <v>55</v>
      </c>
      <c r="N1591" s="12" t="str">
        <f>tblSites[[#This Row],[FinalImplementingPartner]]</f>
        <v>No SMA</v>
      </c>
    </row>
    <row r="1592" spans="1:14" x14ac:dyDescent="0.25">
      <c r="A1592" s="12" t="s">
        <v>521</v>
      </c>
      <c r="B1592" s="12" t="s">
        <v>522</v>
      </c>
      <c r="C1592" s="12" t="s">
        <v>5307</v>
      </c>
      <c r="D1592" t="s">
        <v>120</v>
      </c>
      <c r="E1592" s="12" t="s">
        <v>3177</v>
      </c>
      <c r="F1592" s="12" t="s">
        <v>360</v>
      </c>
      <c r="G1592" s="12" t="s">
        <v>5169</v>
      </c>
      <c r="H1592" s="12" t="s">
        <v>522</v>
      </c>
      <c r="I1592" s="84">
        <v>25501129</v>
      </c>
      <c r="J1592" s="12" t="s">
        <v>5102</v>
      </c>
      <c r="L1592" s="12" t="str">
        <f>IF(OR(ISBLANK(tblSites[[#This Row],[Implementing Partner]]), tblSites[[#This Row],[Implementing Partner]]="-"), tblSites[[#This Row],[Site Agency]], tblSites[[#This Row],[Implementing Partner]])</f>
        <v>No SMA</v>
      </c>
      <c r="M1592" s="12" t="s">
        <v>55</v>
      </c>
      <c r="N1592" s="12" t="str">
        <f>tblSites[[#This Row],[FinalImplementingPartner]]</f>
        <v>No SMA</v>
      </c>
    </row>
    <row r="1593" spans="1:14" x14ac:dyDescent="0.25">
      <c r="A1593" s="12" t="s">
        <v>2485</v>
      </c>
      <c r="B1593" s="12" t="s">
        <v>2486</v>
      </c>
      <c r="C1593" s="12" t="s">
        <v>2487</v>
      </c>
      <c r="D1593" t="s">
        <v>120</v>
      </c>
      <c r="E1593" s="12" t="s">
        <v>3177</v>
      </c>
      <c r="F1593" s="12" t="s">
        <v>436</v>
      </c>
      <c r="G1593" s="12" t="s">
        <v>5159</v>
      </c>
      <c r="H1593" s="12" t="s">
        <v>2486</v>
      </c>
      <c r="I1593" s="84">
        <v>25504177</v>
      </c>
      <c r="J1593" s="12" t="s">
        <v>1215</v>
      </c>
      <c r="L1593" s="12" t="str">
        <f>IF(OR(ISBLANK(tblSites[[#This Row],[Implementing Partner]]), tblSites[[#This Row],[Implementing Partner]]="-"), tblSites[[#This Row],[Site Agency]], tblSites[[#This Row],[Implementing Partner]])</f>
        <v>UNRWA</v>
      </c>
      <c r="M1593" s="12" t="s">
        <v>55</v>
      </c>
      <c r="N1593" s="12" t="str">
        <f>tblSites[[#This Row],[FinalImplementingPartner]]</f>
        <v>UNRWA</v>
      </c>
    </row>
    <row r="1594" spans="1:14" x14ac:dyDescent="0.25">
      <c r="A1594" s="12" t="s">
        <v>2322</v>
      </c>
      <c r="B1594" s="12" t="s">
        <v>2323</v>
      </c>
      <c r="C1594" s="12" t="s">
        <v>2324</v>
      </c>
      <c r="D1594" t="s">
        <v>120</v>
      </c>
      <c r="E1594" s="12" t="s">
        <v>3177</v>
      </c>
      <c r="F1594" s="12" t="s">
        <v>2126</v>
      </c>
      <c r="G1594" s="12" t="s">
        <v>5170</v>
      </c>
      <c r="H1594" s="12" t="s">
        <v>2323</v>
      </c>
      <c r="I1594" s="84">
        <v>25501130</v>
      </c>
      <c r="J1594" s="12" t="s">
        <v>5102</v>
      </c>
      <c r="L1594" s="12" t="str">
        <f>IF(OR(ISBLANK(tblSites[[#This Row],[Implementing Partner]]), tblSites[[#This Row],[Implementing Partner]]="-"), tblSites[[#This Row],[Site Agency]], tblSites[[#This Row],[Implementing Partner]])</f>
        <v>No SMA</v>
      </c>
      <c r="M1594" s="12" t="s">
        <v>55</v>
      </c>
      <c r="N1594" s="12" t="str">
        <f>tblSites[[#This Row],[FinalImplementingPartner]]</f>
        <v>No SMA</v>
      </c>
    </row>
    <row r="1595" spans="1:14" x14ac:dyDescent="0.25">
      <c r="A1595" s="12" t="s">
        <v>3167</v>
      </c>
      <c r="B1595" s="12" t="s">
        <v>3168</v>
      </c>
      <c r="C1595" s="12" t="s">
        <v>3169</v>
      </c>
      <c r="D1595" t="s">
        <v>120</v>
      </c>
      <c r="E1595" s="12" t="s">
        <v>3177</v>
      </c>
      <c r="F1595" s="12" t="s">
        <v>302</v>
      </c>
      <c r="G1595" s="12" t="s">
        <v>5161</v>
      </c>
      <c r="H1595" s="12" t="s">
        <v>3168</v>
      </c>
      <c r="I1595" s="84">
        <v>25505137</v>
      </c>
      <c r="J1595" s="12" t="s">
        <v>5102</v>
      </c>
      <c r="L1595" s="12" t="str">
        <f>IF(OR(ISBLANK(tblSites[[#This Row],[Implementing Partner]]), tblSites[[#This Row],[Implementing Partner]]="-"), tblSites[[#This Row],[Site Agency]], tblSites[[#This Row],[Implementing Partner]])</f>
        <v>No SMA</v>
      </c>
      <c r="M1595" s="12" t="s">
        <v>55</v>
      </c>
      <c r="N1595" s="12" t="str">
        <f>tblSites[[#This Row],[FinalImplementingPartner]]</f>
        <v>No SMA</v>
      </c>
    </row>
    <row r="1596" spans="1:14" x14ac:dyDescent="0.25">
      <c r="A1596" s="12" t="s">
        <v>1888</v>
      </c>
      <c r="B1596" s="12" t="s">
        <v>1889</v>
      </c>
      <c r="C1596" s="12" t="s">
        <v>1890</v>
      </c>
      <c r="D1596" t="s">
        <v>120</v>
      </c>
      <c r="E1596" s="12" t="s">
        <v>3177</v>
      </c>
      <c r="F1596" s="12" t="s">
        <v>1862</v>
      </c>
      <c r="G1596" s="12" t="s">
        <v>5154</v>
      </c>
      <c r="H1596" s="12" t="s">
        <v>1889</v>
      </c>
      <c r="I1596" s="84">
        <v>2550536</v>
      </c>
      <c r="J1596" s="12" t="s">
        <v>5102</v>
      </c>
      <c r="L1596" s="12" t="str">
        <f>IF(OR(ISBLANK(tblSites[[#This Row],[Implementing Partner]]), tblSites[[#This Row],[Implementing Partner]]="-"), tblSites[[#This Row],[Site Agency]], tblSites[[#This Row],[Implementing Partner]])</f>
        <v>No SMA</v>
      </c>
      <c r="M1596" s="12" t="s">
        <v>55</v>
      </c>
      <c r="N1596" s="12" t="str">
        <f>tblSites[[#This Row],[FinalImplementingPartner]]</f>
        <v>No SMA</v>
      </c>
    </row>
    <row r="1597" spans="1:14" x14ac:dyDescent="0.25">
      <c r="A1597" s="12" t="s">
        <v>2123</v>
      </c>
      <c r="B1597" s="12" t="s">
        <v>2124</v>
      </c>
      <c r="C1597" s="12" t="s">
        <v>2125</v>
      </c>
      <c r="D1597" t="s">
        <v>120</v>
      </c>
      <c r="E1597" s="12" t="s">
        <v>3177</v>
      </c>
      <c r="F1597" s="12" t="s">
        <v>2126</v>
      </c>
      <c r="G1597" s="12" t="s">
        <v>5170</v>
      </c>
      <c r="H1597" s="12" t="s">
        <v>2124</v>
      </c>
      <c r="I1597" s="84">
        <v>25501130</v>
      </c>
      <c r="J1597" s="12" t="s">
        <v>5102</v>
      </c>
      <c r="L1597" s="12" t="str">
        <f>IF(OR(ISBLANK(tblSites[[#This Row],[Implementing Partner]]), tblSites[[#This Row],[Implementing Partner]]="-"), tblSites[[#This Row],[Site Agency]], tblSites[[#This Row],[Implementing Partner]])</f>
        <v>No SMA</v>
      </c>
      <c r="M1597" s="12" t="s">
        <v>55</v>
      </c>
      <c r="N1597" s="12" t="str">
        <f>tblSites[[#This Row],[FinalImplementingPartner]]</f>
        <v>No SMA</v>
      </c>
    </row>
    <row r="1598" spans="1:14" x14ac:dyDescent="0.25">
      <c r="A1598" s="12" t="s">
        <v>1891</v>
      </c>
      <c r="B1598" s="12" t="s">
        <v>1892</v>
      </c>
      <c r="C1598" s="12" t="s">
        <v>1893</v>
      </c>
      <c r="D1598" t="s">
        <v>120</v>
      </c>
      <c r="E1598" s="12" t="s">
        <v>3177</v>
      </c>
      <c r="F1598" s="12" t="s">
        <v>1862</v>
      </c>
      <c r="G1598" s="12" t="s">
        <v>5154</v>
      </c>
      <c r="H1598" s="12" t="s">
        <v>1892</v>
      </c>
      <c r="I1598" s="84">
        <v>2550536</v>
      </c>
      <c r="J1598" s="12" t="s">
        <v>5102</v>
      </c>
      <c r="K1598" s="12" t="s">
        <v>389</v>
      </c>
      <c r="L1598" s="12" t="str">
        <f>IF(OR(ISBLANK(tblSites[[#This Row],[Implementing Partner]]), tblSites[[#This Row],[Implementing Partner]]="-"), tblSites[[#This Row],[Site Agency]], tblSites[[#This Row],[Implementing Partner]])</f>
        <v>No SMA</v>
      </c>
      <c r="M1598" s="12" t="s">
        <v>55</v>
      </c>
      <c r="N1598" s="12" t="str">
        <f>tblSites[[#This Row],[FinalImplementingPartner]]</f>
        <v>No SMA</v>
      </c>
    </row>
    <row r="1599" spans="1:14" x14ac:dyDescent="0.25">
      <c r="A1599" s="12" t="s">
        <v>1894</v>
      </c>
      <c r="B1599" s="12" t="s">
        <v>1895</v>
      </c>
      <c r="C1599" s="12" t="s">
        <v>1896</v>
      </c>
      <c r="D1599" t="s">
        <v>120</v>
      </c>
      <c r="E1599" s="12" t="s">
        <v>3177</v>
      </c>
      <c r="F1599" s="12" t="s">
        <v>1862</v>
      </c>
      <c r="G1599" s="12" t="s">
        <v>5154</v>
      </c>
      <c r="H1599" s="12" t="s">
        <v>1895</v>
      </c>
      <c r="I1599" s="84">
        <v>2550536</v>
      </c>
      <c r="J1599" s="12" t="s">
        <v>5102</v>
      </c>
      <c r="K1599" s="12" t="s">
        <v>389</v>
      </c>
      <c r="L1599" s="12" t="str">
        <f>IF(OR(ISBLANK(tblSites[[#This Row],[Implementing Partner]]), tblSites[[#This Row],[Implementing Partner]]="-"), tblSites[[#This Row],[Site Agency]], tblSites[[#This Row],[Implementing Partner]])</f>
        <v>No SMA</v>
      </c>
      <c r="M1599" s="12" t="s">
        <v>55</v>
      </c>
      <c r="N1599" s="12" t="str">
        <f>tblSites[[#This Row],[FinalImplementingPartner]]</f>
        <v>No SMA</v>
      </c>
    </row>
    <row r="1600" spans="1:14" x14ac:dyDescent="0.25">
      <c r="A1600" s="12" t="s">
        <v>1897</v>
      </c>
      <c r="B1600" s="12" t="s">
        <v>1898</v>
      </c>
      <c r="C1600" s="12" t="s">
        <v>1899</v>
      </c>
      <c r="D1600" t="s">
        <v>120</v>
      </c>
      <c r="E1600" s="12" t="s">
        <v>3177</v>
      </c>
      <c r="F1600" s="12" t="s">
        <v>1862</v>
      </c>
      <c r="G1600" s="12" t="s">
        <v>5154</v>
      </c>
      <c r="H1600" s="12" t="s">
        <v>1898</v>
      </c>
      <c r="I1600" s="84">
        <v>2550536</v>
      </c>
      <c r="J1600" s="12" t="s">
        <v>5102</v>
      </c>
      <c r="K1600" s="12" t="s">
        <v>389</v>
      </c>
      <c r="L1600" s="12" t="str">
        <f>IF(OR(ISBLANK(tblSites[[#This Row],[Implementing Partner]]), tblSites[[#This Row],[Implementing Partner]]="-"), tblSites[[#This Row],[Site Agency]], tblSites[[#This Row],[Implementing Partner]])</f>
        <v>No SMA</v>
      </c>
      <c r="M1600" s="12" t="s">
        <v>55</v>
      </c>
      <c r="N1600" s="12" t="str">
        <f>tblSites[[#This Row],[FinalImplementingPartner]]</f>
        <v>No SMA</v>
      </c>
    </row>
    <row r="1601" spans="1:14" x14ac:dyDescent="0.25">
      <c r="A1601" s="12" t="s">
        <v>1900</v>
      </c>
      <c r="B1601" s="12" t="s">
        <v>1901</v>
      </c>
      <c r="C1601" s="12" t="s">
        <v>1902</v>
      </c>
      <c r="D1601" t="s">
        <v>120</v>
      </c>
      <c r="E1601" s="12" t="s">
        <v>3177</v>
      </c>
      <c r="F1601" s="12" t="s">
        <v>1862</v>
      </c>
      <c r="G1601" s="12" t="s">
        <v>5154</v>
      </c>
      <c r="H1601" s="12" t="s">
        <v>1901</v>
      </c>
      <c r="I1601" s="84">
        <v>2550536</v>
      </c>
      <c r="J1601" s="12" t="s">
        <v>5102</v>
      </c>
      <c r="K1601" s="12" t="s">
        <v>389</v>
      </c>
      <c r="L1601" s="12" t="str">
        <f>IF(OR(ISBLANK(tblSites[[#This Row],[Implementing Partner]]), tblSites[[#This Row],[Implementing Partner]]="-"), tblSites[[#This Row],[Site Agency]], tblSites[[#This Row],[Implementing Partner]])</f>
        <v>No SMA</v>
      </c>
      <c r="M1601" s="12" t="s">
        <v>55</v>
      </c>
      <c r="N1601" s="12" t="str">
        <f>tblSites[[#This Row],[FinalImplementingPartner]]</f>
        <v>No SMA</v>
      </c>
    </row>
    <row r="1602" spans="1:14" x14ac:dyDescent="0.25">
      <c r="A1602" s="12" t="s">
        <v>1938</v>
      </c>
      <c r="B1602" s="12" t="s">
        <v>1939</v>
      </c>
      <c r="C1602" s="12" t="s">
        <v>1940</v>
      </c>
      <c r="D1602" t="s">
        <v>120</v>
      </c>
      <c r="E1602" s="12" t="s">
        <v>3177</v>
      </c>
      <c r="F1602" s="12" t="s">
        <v>302</v>
      </c>
      <c r="G1602" s="12" t="s">
        <v>5161</v>
      </c>
      <c r="H1602" s="12" t="s">
        <v>1939</v>
      </c>
      <c r="I1602" s="84">
        <v>25505137</v>
      </c>
      <c r="J1602" s="12" t="s">
        <v>5102</v>
      </c>
      <c r="K1602" s="12" t="s">
        <v>389</v>
      </c>
      <c r="L1602" s="12" t="str">
        <f>IF(OR(ISBLANK(tblSites[[#This Row],[Implementing Partner]]), tblSites[[#This Row],[Implementing Partner]]="-"), tblSites[[#This Row],[Site Agency]], tblSites[[#This Row],[Implementing Partner]])</f>
        <v>No SMA</v>
      </c>
      <c r="M1602" s="12" t="s">
        <v>55</v>
      </c>
      <c r="N1602" s="12" t="str">
        <f>tblSites[[#This Row],[FinalImplementingPartner]]</f>
        <v>No SMA</v>
      </c>
    </row>
    <row r="1603" spans="1:14" x14ac:dyDescent="0.25">
      <c r="A1603" s="12" t="s">
        <v>1903</v>
      </c>
      <c r="B1603" s="12" t="s">
        <v>1607</v>
      </c>
      <c r="C1603" s="12" t="s">
        <v>1904</v>
      </c>
      <c r="D1603" t="s">
        <v>120</v>
      </c>
      <c r="E1603" s="12" t="s">
        <v>3177</v>
      </c>
      <c r="F1603" s="12" t="s">
        <v>1862</v>
      </c>
      <c r="G1603" s="12" t="s">
        <v>5154</v>
      </c>
      <c r="H1603" s="12" t="s">
        <v>1607</v>
      </c>
      <c r="I1603" s="84">
        <v>2550536</v>
      </c>
      <c r="J1603" s="12" t="s">
        <v>5102</v>
      </c>
      <c r="K1603" s="12" t="s">
        <v>389</v>
      </c>
      <c r="L1603" s="12" t="str">
        <f>IF(OR(ISBLANK(tblSites[[#This Row],[Implementing Partner]]), tblSites[[#This Row],[Implementing Partner]]="-"), tblSites[[#This Row],[Site Agency]], tblSites[[#This Row],[Implementing Partner]])</f>
        <v>No SMA</v>
      </c>
      <c r="M1603" s="12" t="s">
        <v>55</v>
      </c>
      <c r="N1603" s="12" t="str">
        <f>tblSites[[#This Row],[FinalImplementingPartner]]</f>
        <v>No SMA</v>
      </c>
    </row>
    <row r="1604" spans="1:14" x14ac:dyDescent="0.25">
      <c r="A1604" s="12" t="s">
        <v>1906</v>
      </c>
      <c r="B1604" s="12" t="s">
        <v>1907</v>
      </c>
      <c r="C1604" s="12" t="s">
        <v>1908</v>
      </c>
      <c r="D1604" t="s">
        <v>120</v>
      </c>
      <c r="E1604" s="12" t="s">
        <v>3177</v>
      </c>
      <c r="F1604" s="12" t="s">
        <v>302</v>
      </c>
      <c r="G1604" s="12" t="s">
        <v>5161</v>
      </c>
      <c r="H1604" s="12" t="s">
        <v>1907</v>
      </c>
      <c r="I1604" s="84">
        <v>25505137</v>
      </c>
      <c r="J1604" s="12" t="s">
        <v>5102</v>
      </c>
      <c r="K1604" s="12" t="s">
        <v>389</v>
      </c>
      <c r="L1604" s="12" t="str">
        <f>IF(OR(ISBLANK(tblSites[[#This Row],[Implementing Partner]]), tblSites[[#This Row],[Implementing Partner]]="-"), tblSites[[#This Row],[Site Agency]], tblSites[[#This Row],[Implementing Partner]])</f>
        <v>No SMA</v>
      </c>
      <c r="M1604" s="12" t="s">
        <v>55</v>
      </c>
      <c r="N1604" s="12" t="str">
        <f>tblSites[[#This Row],[FinalImplementingPartner]]</f>
        <v>No SMA</v>
      </c>
    </row>
    <row r="1605" spans="1:14" x14ac:dyDescent="0.25">
      <c r="A1605" s="12" t="s">
        <v>1909</v>
      </c>
      <c r="B1605" s="12" t="s">
        <v>1910</v>
      </c>
      <c r="C1605" s="12" t="s">
        <v>1911</v>
      </c>
      <c r="D1605" t="s">
        <v>120</v>
      </c>
      <c r="E1605" s="12" t="s">
        <v>3177</v>
      </c>
      <c r="F1605" s="12" t="s">
        <v>1862</v>
      </c>
      <c r="G1605" s="12" t="s">
        <v>5154</v>
      </c>
      <c r="H1605" s="12" t="s">
        <v>1910</v>
      </c>
      <c r="I1605" s="84">
        <v>2550536</v>
      </c>
      <c r="J1605" s="12" t="s">
        <v>5102</v>
      </c>
      <c r="K1605" s="12" t="s">
        <v>389</v>
      </c>
      <c r="L1605" s="12" t="str">
        <f>IF(OR(ISBLANK(tblSites[[#This Row],[Implementing Partner]]), tblSites[[#This Row],[Implementing Partner]]="-"), tblSites[[#This Row],[Site Agency]], tblSites[[#This Row],[Implementing Partner]])</f>
        <v>No SMA</v>
      </c>
      <c r="M1605" s="12" t="s">
        <v>55</v>
      </c>
      <c r="N1605" s="12" t="str">
        <f>tblSites[[#This Row],[FinalImplementingPartner]]</f>
        <v>No SMA</v>
      </c>
    </row>
    <row r="1606" spans="1:14" x14ac:dyDescent="0.25">
      <c r="A1606" s="12" t="s">
        <v>1912</v>
      </c>
      <c r="B1606" s="12" t="s">
        <v>1913</v>
      </c>
      <c r="C1606" s="12" t="s">
        <v>1914</v>
      </c>
      <c r="D1606" t="s">
        <v>120</v>
      </c>
      <c r="E1606" s="12" t="s">
        <v>3177</v>
      </c>
      <c r="F1606" s="12" t="s">
        <v>1862</v>
      </c>
      <c r="G1606" s="12" t="s">
        <v>5171</v>
      </c>
      <c r="H1606" s="12" t="s">
        <v>1913</v>
      </c>
      <c r="I1606" s="84">
        <v>2550536</v>
      </c>
      <c r="J1606" s="12" t="s">
        <v>5</v>
      </c>
      <c r="K1606" s="12" t="s">
        <v>119</v>
      </c>
      <c r="L1606" s="12" t="str">
        <f>IF(OR(ISBLANK(tblSites[[#This Row],[Implementing Partner]]), tblSites[[#This Row],[Implementing Partner]]="-"), tblSites[[#This Row],[Site Agency]], tblSites[[#This Row],[Implementing Partner]])</f>
        <v>BLDA</v>
      </c>
      <c r="M1606" s="12" t="s">
        <v>55</v>
      </c>
      <c r="N1606" s="12" t="str">
        <f>tblSites[[#This Row],[FinalImplementingPartner]]</f>
        <v>BLDA</v>
      </c>
    </row>
    <row r="1607" spans="1:14" x14ac:dyDescent="0.25">
      <c r="A1607" s="12" t="s">
        <v>1915</v>
      </c>
      <c r="B1607" s="12" t="s">
        <v>1916</v>
      </c>
      <c r="C1607" s="12" t="s">
        <v>1917</v>
      </c>
      <c r="D1607" t="s">
        <v>120</v>
      </c>
      <c r="E1607" s="12" t="s">
        <v>3177</v>
      </c>
      <c r="F1607" s="12" t="s">
        <v>1862</v>
      </c>
      <c r="G1607" s="12" t="s">
        <v>5154</v>
      </c>
      <c r="H1607" s="12" t="s">
        <v>1916</v>
      </c>
      <c r="I1607" s="84">
        <v>2550536</v>
      </c>
      <c r="J1607" s="12" t="s">
        <v>5102</v>
      </c>
      <c r="K1607" s="12" t="s">
        <v>389</v>
      </c>
      <c r="L1607" s="12" t="str">
        <f>IF(OR(ISBLANK(tblSites[[#This Row],[Implementing Partner]]), tblSites[[#This Row],[Implementing Partner]]="-"), tblSites[[#This Row],[Site Agency]], tblSites[[#This Row],[Implementing Partner]])</f>
        <v>No SMA</v>
      </c>
      <c r="M1607" s="12" t="s">
        <v>55</v>
      </c>
      <c r="N1607" s="12" t="str">
        <f>tblSites[[#This Row],[FinalImplementingPartner]]</f>
        <v>No SMA</v>
      </c>
    </row>
    <row r="1608" spans="1:14" x14ac:dyDescent="0.25">
      <c r="A1608" s="12" t="s">
        <v>1918</v>
      </c>
      <c r="B1608" s="12" t="s">
        <v>1919</v>
      </c>
      <c r="C1608" s="12" t="s">
        <v>1920</v>
      </c>
      <c r="D1608" t="s">
        <v>120</v>
      </c>
      <c r="E1608" s="12" t="s">
        <v>3177</v>
      </c>
      <c r="F1608" s="12" t="s">
        <v>1862</v>
      </c>
      <c r="G1608" s="12" t="s">
        <v>5154</v>
      </c>
      <c r="H1608" s="12" t="s">
        <v>1919</v>
      </c>
      <c r="I1608" s="84">
        <v>2550536</v>
      </c>
      <c r="J1608" s="12" t="s">
        <v>5102</v>
      </c>
      <c r="K1608" s="12" t="s">
        <v>389</v>
      </c>
      <c r="L1608" s="12" t="str">
        <f>IF(OR(ISBLANK(tblSites[[#This Row],[Implementing Partner]]), tblSites[[#This Row],[Implementing Partner]]="-"), tblSites[[#This Row],[Site Agency]], tblSites[[#This Row],[Implementing Partner]])</f>
        <v>No SMA</v>
      </c>
      <c r="M1608" s="12" t="s">
        <v>55</v>
      </c>
      <c r="N1608" s="12" t="str">
        <f>tblSites[[#This Row],[FinalImplementingPartner]]</f>
        <v>No SMA</v>
      </c>
    </row>
    <row r="1609" spans="1:14" x14ac:dyDescent="0.25">
      <c r="A1609" s="12" t="s">
        <v>299</v>
      </c>
      <c r="B1609" s="12" t="s">
        <v>300</v>
      </c>
      <c r="C1609" s="12" t="s">
        <v>301</v>
      </c>
      <c r="D1609" t="s">
        <v>120</v>
      </c>
      <c r="E1609" s="12" t="s">
        <v>3177</v>
      </c>
      <c r="F1609" s="12" t="s">
        <v>302</v>
      </c>
      <c r="G1609" s="12" t="s">
        <v>5161</v>
      </c>
      <c r="H1609" s="12" t="s">
        <v>300</v>
      </c>
      <c r="I1609" s="84">
        <v>25505137</v>
      </c>
      <c r="J1609" s="12" t="s">
        <v>5102</v>
      </c>
      <c r="K1609" s="12" t="s">
        <v>389</v>
      </c>
      <c r="L1609" s="12" t="str">
        <f>IF(OR(ISBLANK(tblSites[[#This Row],[Implementing Partner]]), tblSites[[#This Row],[Implementing Partner]]="-"), tblSites[[#This Row],[Site Agency]], tblSites[[#This Row],[Implementing Partner]])</f>
        <v>No SMA</v>
      </c>
      <c r="M1609" s="12" t="s">
        <v>55</v>
      </c>
      <c r="N1609" s="12" t="str">
        <f>tblSites[[#This Row],[FinalImplementingPartner]]</f>
        <v>No SMA</v>
      </c>
    </row>
    <row r="1610" spans="1:14" x14ac:dyDescent="0.25">
      <c r="A1610" s="12" t="s">
        <v>3884</v>
      </c>
      <c r="B1610" s="12" t="s">
        <v>4480</v>
      </c>
      <c r="C1610" s="12" t="s">
        <v>5000</v>
      </c>
      <c r="D1610" t="s">
        <v>120</v>
      </c>
      <c r="E1610" s="12" t="s">
        <v>3177</v>
      </c>
      <c r="F1610" s="12" t="s">
        <v>3245</v>
      </c>
      <c r="G1610" s="12" t="s">
        <v>5172</v>
      </c>
      <c r="H1610" s="12" t="s">
        <v>4480</v>
      </c>
      <c r="I1610" s="84">
        <v>2550525</v>
      </c>
      <c r="J1610" s="12" t="s">
        <v>5102</v>
      </c>
      <c r="K1610" s="12" t="s">
        <v>389</v>
      </c>
      <c r="L1610" s="12" t="str">
        <f>IF(OR(ISBLANK(tblSites[[#This Row],[Implementing Partner]]), tblSites[[#This Row],[Implementing Partner]]="-"), tblSites[[#This Row],[Site Agency]], tblSites[[#This Row],[Implementing Partner]])</f>
        <v>No SMA</v>
      </c>
      <c r="M1610" s="12" t="s">
        <v>55</v>
      </c>
      <c r="N1610" s="12" t="str">
        <f>tblSites[[#This Row],[FinalImplementingPartner]]</f>
        <v>No SMA</v>
      </c>
    </row>
    <row r="1611" spans="1:14" x14ac:dyDescent="0.25">
      <c r="A1611" s="12" t="s">
        <v>3885</v>
      </c>
      <c r="B1611" s="12" t="s">
        <v>4481</v>
      </c>
      <c r="C1611" s="12" t="s">
        <v>5001</v>
      </c>
      <c r="D1611" t="s">
        <v>120</v>
      </c>
      <c r="E1611" s="12" t="s">
        <v>3177</v>
      </c>
      <c r="F1611" s="12" t="s">
        <v>1712</v>
      </c>
      <c r="G1611" s="12" t="s">
        <v>5158</v>
      </c>
      <c r="H1611" s="12" t="s">
        <v>4481</v>
      </c>
      <c r="I1611" s="84">
        <v>25505139</v>
      </c>
      <c r="J1611" s="12" t="s">
        <v>5102</v>
      </c>
      <c r="K1611" s="12" t="s">
        <v>389</v>
      </c>
      <c r="L1611" s="12" t="str">
        <f>IF(OR(ISBLANK(tblSites[[#This Row],[Implementing Partner]]), tblSites[[#This Row],[Implementing Partner]]="-"), tblSites[[#This Row],[Site Agency]], tblSites[[#This Row],[Implementing Partner]])</f>
        <v>No SMA</v>
      </c>
      <c r="M1611" s="12" t="s">
        <v>55</v>
      </c>
      <c r="N1611" s="12" t="str">
        <f>tblSites[[#This Row],[FinalImplementingPartner]]</f>
        <v>No SMA</v>
      </c>
    </row>
    <row r="1612" spans="1:14" x14ac:dyDescent="0.25">
      <c r="A1612" s="12" t="s">
        <v>3886</v>
      </c>
      <c r="B1612" s="12" t="s">
        <v>4482</v>
      </c>
      <c r="C1612" s="12" t="s">
        <v>5002</v>
      </c>
      <c r="D1612" t="s">
        <v>120</v>
      </c>
      <c r="E1612" s="12" t="s">
        <v>3177</v>
      </c>
      <c r="F1612" s="12" t="s">
        <v>309</v>
      </c>
      <c r="G1612" s="12" t="s">
        <v>5173</v>
      </c>
      <c r="H1612" s="12" t="s">
        <v>4482</v>
      </c>
      <c r="I1612" s="84">
        <v>2550129</v>
      </c>
      <c r="J1612" s="12" t="s">
        <v>5102</v>
      </c>
      <c r="K1612" s="12" t="s">
        <v>389</v>
      </c>
      <c r="L1612" s="12" t="str">
        <f>IF(OR(ISBLANK(tblSites[[#This Row],[Implementing Partner]]), tblSites[[#This Row],[Implementing Partner]]="-"), tblSites[[#This Row],[Site Agency]], tblSites[[#This Row],[Implementing Partner]])</f>
        <v>No SMA</v>
      </c>
      <c r="M1612" s="12" t="s">
        <v>55</v>
      </c>
      <c r="N1612" s="12" t="str">
        <f>tblSites[[#This Row],[FinalImplementingPartner]]</f>
        <v>No SMA</v>
      </c>
    </row>
    <row r="1613" spans="1:14" x14ac:dyDescent="0.25">
      <c r="A1613" s="12" t="s">
        <v>3887</v>
      </c>
      <c r="B1613" s="12" t="s">
        <v>4483</v>
      </c>
      <c r="C1613" s="12" t="s">
        <v>5003</v>
      </c>
      <c r="D1613" t="s">
        <v>120</v>
      </c>
      <c r="E1613" s="12" t="s">
        <v>3177</v>
      </c>
      <c r="F1613" s="12" t="s">
        <v>302</v>
      </c>
      <c r="G1613" s="12" t="s">
        <v>5161</v>
      </c>
      <c r="H1613" s="12" t="s">
        <v>4483</v>
      </c>
      <c r="I1613" s="84">
        <v>25505137</v>
      </c>
      <c r="J1613" s="12" t="s">
        <v>5102</v>
      </c>
      <c r="K1613" s="12" t="s">
        <v>389</v>
      </c>
      <c r="L1613" s="12" t="str">
        <f>IF(OR(ISBLANK(tblSites[[#This Row],[Implementing Partner]]), tblSites[[#This Row],[Implementing Partner]]="-"), tblSites[[#This Row],[Site Agency]], tblSites[[#This Row],[Implementing Partner]])</f>
        <v>No SMA</v>
      </c>
      <c r="M1613" s="12" t="s">
        <v>55</v>
      </c>
      <c r="N1613" s="12" t="str">
        <f>tblSites[[#This Row],[FinalImplementingPartner]]</f>
        <v>No SMA</v>
      </c>
    </row>
    <row r="1614" spans="1:14" x14ac:dyDescent="0.25">
      <c r="A1614" s="12" t="s">
        <v>3888</v>
      </c>
      <c r="B1614" s="12" t="s">
        <v>4484</v>
      </c>
      <c r="C1614" s="12" t="s">
        <v>5004</v>
      </c>
      <c r="D1614" t="s">
        <v>120</v>
      </c>
      <c r="E1614" s="12" t="s">
        <v>3177</v>
      </c>
      <c r="F1614" s="12" t="s">
        <v>302</v>
      </c>
      <c r="G1614" s="12" t="s">
        <v>5161</v>
      </c>
      <c r="H1614" s="12" t="s">
        <v>4484</v>
      </c>
      <c r="I1614" s="84">
        <v>25505137</v>
      </c>
      <c r="J1614" s="12" t="s">
        <v>5102</v>
      </c>
      <c r="K1614" s="12" t="s">
        <v>389</v>
      </c>
      <c r="L1614" s="12" t="str">
        <f>IF(OR(ISBLANK(tblSites[[#This Row],[Implementing Partner]]), tblSites[[#This Row],[Implementing Partner]]="-"), tblSites[[#This Row],[Site Agency]], tblSites[[#This Row],[Implementing Partner]])</f>
        <v>No SMA</v>
      </c>
      <c r="M1614" s="12" t="s">
        <v>55</v>
      </c>
      <c r="N1614" s="12" t="str">
        <f>tblSites[[#This Row],[FinalImplementingPartner]]</f>
        <v>No SMA</v>
      </c>
    </row>
    <row r="1615" spans="1:14" x14ac:dyDescent="0.25">
      <c r="A1615" s="12" t="s">
        <v>3889</v>
      </c>
      <c r="B1615" s="12" t="s">
        <v>4486</v>
      </c>
      <c r="C1615" s="12" t="s">
        <v>5308</v>
      </c>
      <c r="D1615" t="s">
        <v>120</v>
      </c>
      <c r="E1615" s="12" t="s">
        <v>3177</v>
      </c>
      <c r="F1615" s="12" t="s">
        <v>1862</v>
      </c>
      <c r="G1615" s="12" t="s">
        <v>5154</v>
      </c>
      <c r="H1615" s="12" t="s">
        <v>4486</v>
      </c>
      <c r="I1615" s="84">
        <v>2550536</v>
      </c>
      <c r="J1615" s="12" t="s">
        <v>5102</v>
      </c>
      <c r="K1615" s="12" t="s">
        <v>389</v>
      </c>
      <c r="L1615" s="12" t="str">
        <f>IF(OR(ISBLANK(tblSites[[#This Row],[Implementing Partner]]), tblSites[[#This Row],[Implementing Partner]]="-"), tblSites[[#This Row],[Site Agency]], tblSites[[#This Row],[Implementing Partner]])</f>
        <v>No SMA</v>
      </c>
      <c r="M1615" s="12" t="s">
        <v>55</v>
      </c>
      <c r="N1615" s="12" t="str">
        <f>tblSites[[#This Row],[FinalImplementingPartner]]</f>
        <v>No SMA</v>
      </c>
    </row>
    <row r="1616" spans="1:14" x14ac:dyDescent="0.25">
      <c r="A1616" s="12" t="s">
        <v>3890</v>
      </c>
      <c r="B1616" s="12" t="s">
        <v>4487</v>
      </c>
      <c r="C1616" s="12" t="s">
        <v>5006</v>
      </c>
      <c r="D1616" t="s">
        <v>120</v>
      </c>
      <c r="E1616" s="12" t="s">
        <v>3177</v>
      </c>
      <c r="F1616" s="12" t="s">
        <v>302</v>
      </c>
      <c r="G1616" s="12" t="s">
        <v>5175</v>
      </c>
      <c r="H1616" s="12" t="s">
        <v>4487</v>
      </c>
      <c r="I1616" s="84">
        <v>25505137</v>
      </c>
      <c r="J1616" s="12" t="s">
        <v>5</v>
      </c>
      <c r="K1616" s="12" t="s">
        <v>119</v>
      </c>
      <c r="L1616" s="12" t="str">
        <f>IF(OR(ISBLANK(tblSites[[#This Row],[Implementing Partner]]), tblSites[[#This Row],[Implementing Partner]]="-"), tblSites[[#This Row],[Site Agency]], tblSites[[#This Row],[Implementing Partner]])</f>
        <v>BLDA</v>
      </c>
      <c r="M1616" s="12" t="s">
        <v>55</v>
      </c>
      <c r="N1616" s="12" t="str">
        <f>tblSites[[#This Row],[FinalImplementingPartner]]</f>
        <v>BLDA</v>
      </c>
    </row>
    <row r="1617" spans="1:14" x14ac:dyDescent="0.25">
      <c r="A1617" s="12" t="s">
        <v>3891</v>
      </c>
      <c r="B1617" s="12" t="s">
        <v>4488</v>
      </c>
      <c r="C1617" s="12" t="s">
        <v>5007</v>
      </c>
      <c r="D1617" t="s">
        <v>120</v>
      </c>
      <c r="E1617" s="12" t="s">
        <v>3177</v>
      </c>
      <c r="F1617" s="12" t="s">
        <v>302</v>
      </c>
      <c r="G1617" s="12" t="s">
        <v>5175</v>
      </c>
      <c r="H1617" s="12" t="s">
        <v>4488</v>
      </c>
      <c r="I1617" s="84">
        <v>25505137</v>
      </c>
      <c r="J1617" s="12" t="s">
        <v>5</v>
      </c>
      <c r="K1617" s="12" t="s">
        <v>119</v>
      </c>
      <c r="L1617" s="12" t="str">
        <f>IF(OR(ISBLANK(tblSites[[#This Row],[Implementing Partner]]), tblSites[[#This Row],[Implementing Partner]]="-"), tblSites[[#This Row],[Site Agency]], tblSites[[#This Row],[Implementing Partner]])</f>
        <v>BLDA</v>
      </c>
      <c r="M1617" s="12" t="s">
        <v>55</v>
      </c>
      <c r="N1617" s="12" t="str">
        <f>tblSites[[#This Row],[FinalImplementingPartner]]</f>
        <v>BLDA</v>
      </c>
    </row>
    <row r="1618" spans="1:14" x14ac:dyDescent="0.25">
      <c r="A1618" s="12" t="s">
        <v>3892</v>
      </c>
      <c r="B1618" s="12" t="s">
        <v>4489</v>
      </c>
      <c r="C1618" s="12" t="s">
        <v>5008</v>
      </c>
      <c r="D1618" t="s">
        <v>120</v>
      </c>
      <c r="E1618" s="12" t="s">
        <v>3177</v>
      </c>
      <c r="F1618" s="12" t="s">
        <v>1862</v>
      </c>
      <c r="G1618" s="12" t="s">
        <v>5154</v>
      </c>
      <c r="H1618" s="12" t="s">
        <v>4489</v>
      </c>
      <c r="I1618" s="84">
        <v>2550536</v>
      </c>
      <c r="J1618" s="12" t="s">
        <v>5102</v>
      </c>
      <c r="K1618" s="12" t="s">
        <v>389</v>
      </c>
      <c r="L1618" s="12" t="str">
        <f>IF(OR(ISBLANK(tblSites[[#This Row],[Implementing Partner]]), tblSites[[#This Row],[Implementing Partner]]="-"), tblSites[[#This Row],[Site Agency]], tblSites[[#This Row],[Implementing Partner]])</f>
        <v>No SMA</v>
      </c>
      <c r="M1618" s="12" t="s">
        <v>55</v>
      </c>
      <c r="N1618" s="12" t="str">
        <f>tblSites[[#This Row],[FinalImplementingPartner]]</f>
        <v>No SMA</v>
      </c>
    </row>
    <row r="1619" spans="1:14" x14ac:dyDescent="0.25">
      <c r="A1619" s="12" t="s">
        <v>3893</v>
      </c>
      <c r="B1619" s="12" t="s">
        <v>4490</v>
      </c>
      <c r="C1619" s="12" t="s">
        <v>5009</v>
      </c>
      <c r="D1619" t="s">
        <v>120</v>
      </c>
      <c r="E1619" s="12" t="s">
        <v>3177</v>
      </c>
      <c r="F1619" s="12" t="s">
        <v>302</v>
      </c>
      <c r="G1619" s="12" t="s">
        <v>5161</v>
      </c>
      <c r="H1619" s="12" t="s">
        <v>4490</v>
      </c>
      <c r="I1619" s="84">
        <v>25505137</v>
      </c>
      <c r="J1619" s="12" t="s">
        <v>5102</v>
      </c>
      <c r="K1619" s="12" t="s">
        <v>389</v>
      </c>
      <c r="L1619" s="12" t="str">
        <f>IF(OR(ISBLANK(tblSites[[#This Row],[Implementing Partner]]), tblSites[[#This Row],[Implementing Partner]]="-"), tblSites[[#This Row],[Site Agency]], tblSites[[#This Row],[Implementing Partner]])</f>
        <v>No SMA</v>
      </c>
      <c r="M1619" s="12" t="s">
        <v>55</v>
      </c>
      <c r="N1619" s="12" t="str">
        <f>tblSites[[#This Row],[FinalImplementingPartner]]</f>
        <v>No SMA</v>
      </c>
    </row>
    <row r="1620" spans="1:14" x14ac:dyDescent="0.25">
      <c r="A1620" s="12" t="s">
        <v>3894</v>
      </c>
      <c r="B1620" s="12" t="s">
        <v>4491</v>
      </c>
      <c r="C1620" s="12" t="s">
        <v>5010</v>
      </c>
      <c r="D1620" t="s">
        <v>120</v>
      </c>
      <c r="E1620" s="12" t="s">
        <v>3177</v>
      </c>
      <c r="F1620" s="12" t="s">
        <v>1862</v>
      </c>
      <c r="G1620" s="12" t="s">
        <v>5154</v>
      </c>
      <c r="H1620" s="12" t="s">
        <v>4491</v>
      </c>
      <c r="I1620" s="84">
        <v>2550536</v>
      </c>
      <c r="J1620" s="12" t="s">
        <v>5102</v>
      </c>
      <c r="K1620" s="12" t="s">
        <v>389</v>
      </c>
      <c r="L1620" s="12" t="str">
        <f>IF(OR(ISBLANK(tblSites[[#This Row],[Implementing Partner]]), tblSites[[#This Row],[Implementing Partner]]="-"), tblSites[[#This Row],[Site Agency]], tblSites[[#This Row],[Implementing Partner]])</f>
        <v>No SMA</v>
      </c>
      <c r="M1620" s="12" t="s">
        <v>55</v>
      </c>
      <c r="N1620" s="12" t="str">
        <f>tblSites[[#This Row],[FinalImplementingPartner]]</f>
        <v>No SMA</v>
      </c>
    </row>
    <row r="1621" spans="1:14" x14ac:dyDescent="0.25">
      <c r="A1621" s="12" t="s">
        <v>3895</v>
      </c>
      <c r="B1621" s="12" t="s">
        <v>4492</v>
      </c>
      <c r="C1621" s="12" t="s">
        <v>5011</v>
      </c>
      <c r="D1621" t="s">
        <v>120</v>
      </c>
      <c r="E1621" s="12" t="s">
        <v>3177</v>
      </c>
      <c r="F1621" s="12" t="s">
        <v>302</v>
      </c>
      <c r="G1621" s="12" t="s">
        <v>5161</v>
      </c>
      <c r="H1621" s="12" t="s">
        <v>4492</v>
      </c>
      <c r="I1621" s="84">
        <v>25505137</v>
      </c>
      <c r="J1621" s="12" t="s">
        <v>5102</v>
      </c>
      <c r="K1621" s="12" t="s">
        <v>389</v>
      </c>
      <c r="L1621" s="12" t="str">
        <f>IF(OR(ISBLANK(tblSites[[#This Row],[Implementing Partner]]), tblSites[[#This Row],[Implementing Partner]]="-"), tblSites[[#This Row],[Site Agency]], tblSites[[#This Row],[Implementing Partner]])</f>
        <v>No SMA</v>
      </c>
      <c r="M1621" s="12" t="s">
        <v>55</v>
      </c>
      <c r="N1621" s="12" t="str">
        <f>tblSites[[#This Row],[FinalImplementingPartner]]</f>
        <v>No SMA</v>
      </c>
    </row>
    <row r="1622" spans="1:14" x14ac:dyDescent="0.25">
      <c r="A1622" s="12" t="s">
        <v>3896</v>
      </c>
      <c r="B1622" s="12" t="s">
        <v>1196</v>
      </c>
      <c r="C1622" s="12" t="s">
        <v>5012</v>
      </c>
      <c r="D1622" t="s">
        <v>120</v>
      </c>
      <c r="E1622" s="12" t="s">
        <v>3177</v>
      </c>
      <c r="F1622" s="12" t="s">
        <v>302</v>
      </c>
      <c r="G1622" s="12" t="s">
        <v>5161</v>
      </c>
      <c r="H1622" s="12" t="s">
        <v>1196</v>
      </c>
      <c r="I1622" s="84">
        <v>25505137</v>
      </c>
      <c r="J1622" s="12" t="s">
        <v>5102</v>
      </c>
      <c r="K1622" s="12" t="s">
        <v>389</v>
      </c>
      <c r="L1622" s="12" t="str">
        <f>IF(OR(ISBLANK(tblSites[[#This Row],[Implementing Partner]]), tblSites[[#This Row],[Implementing Partner]]="-"), tblSites[[#This Row],[Site Agency]], tblSites[[#This Row],[Implementing Partner]])</f>
        <v>No SMA</v>
      </c>
      <c r="M1622" s="12" t="s">
        <v>55</v>
      </c>
      <c r="N1622" s="12" t="str">
        <f>tblSites[[#This Row],[FinalImplementingPartner]]</f>
        <v>No SMA</v>
      </c>
    </row>
    <row r="1623" spans="1:14" x14ac:dyDescent="0.25">
      <c r="A1623" s="12" t="s">
        <v>3897</v>
      </c>
      <c r="B1623" s="12" t="s">
        <v>4493</v>
      </c>
      <c r="C1623" s="12" t="s">
        <v>5013</v>
      </c>
      <c r="D1623" t="s">
        <v>120</v>
      </c>
      <c r="E1623" s="12" t="s">
        <v>3177</v>
      </c>
      <c r="F1623" s="12" t="s">
        <v>302</v>
      </c>
      <c r="G1623" s="12" t="s">
        <v>5161</v>
      </c>
      <c r="H1623" s="12" t="s">
        <v>4493</v>
      </c>
      <c r="I1623" s="84">
        <v>25505137</v>
      </c>
      <c r="J1623" s="12" t="s">
        <v>5102</v>
      </c>
      <c r="K1623" s="12" t="s">
        <v>389</v>
      </c>
      <c r="L1623" s="12" t="str">
        <f>IF(OR(ISBLANK(tblSites[[#This Row],[Implementing Partner]]), tblSites[[#This Row],[Implementing Partner]]="-"), tblSites[[#This Row],[Site Agency]], tblSites[[#This Row],[Implementing Partner]])</f>
        <v>No SMA</v>
      </c>
      <c r="M1623" s="12" t="s">
        <v>55</v>
      </c>
      <c r="N1623" s="12" t="str">
        <f>tblSites[[#This Row],[FinalImplementingPartner]]</f>
        <v>No SMA</v>
      </c>
    </row>
    <row r="1624" spans="1:14" x14ac:dyDescent="0.25">
      <c r="A1624" s="12" t="s">
        <v>3898</v>
      </c>
      <c r="B1624" s="12" t="s">
        <v>4437</v>
      </c>
      <c r="C1624" s="12" t="s">
        <v>5014</v>
      </c>
      <c r="D1624" t="s">
        <v>120</v>
      </c>
      <c r="E1624" s="12" t="s">
        <v>3177</v>
      </c>
      <c r="F1624" s="12" t="s">
        <v>302</v>
      </c>
      <c r="G1624" s="12" t="s">
        <v>5161</v>
      </c>
      <c r="H1624" s="12" t="s">
        <v>4437</v>
      </c>
      <c r="I1624" s="84">
        <v>25505137</v>
      </c>
      <c r="J1624" s="12" t="s">
        <v>5102</v>
      </c>
      <c r="K1624" s="12" t="s">
        <v>389</v>
      </c>
      <c r="L1624" s="12" t="str">
        <f>IF(OR(ISBLANK(tblSites[[#This Row],[Implementing Partner]]), tblSites[[#This Row],[Implementing Partner]]="-"), tblSites[[#This Row],[Site Agency]], tblSites[[#This Row],[Implementing Partner]])</f>
        <v>No SMA</v>
      </c>
      <c r="M1624" s="12" t="s">
        <v>55</v>
      </c>
      <c r="N1624" s="12" t="str">
        <f>tblSites[[#This Row],[FinalImplementingPartner]]</f>
        <v>No SMA</v>
      </c>
    </row>
    <row r="1625" spans="1:14" x14ac:dyDescent="0.25">
      <c r="A1625" s="12" t="s">
        <v>3899</v>
      </c>
      <c r="B1625" s="12" t="s">
        <v>4494</v>
      </c>
      <c r="C1625" s="12" t="s">
        <v>5015</v>
      </c>
      <c r="D1625" t="s">
        <v>120</v>
      </c>
      <c r="E1625" s="12" t="s">
        <v>3177</v>
      </c>
      <c r="F1625" s="12" t="s">
        <v>2054</v>
      </c>
      <c r="G1625" s="12" t="s">
        <v>5174</v>
      </c>
      <c r="H1625" s="12" t="s">
        <v>4494</v>
      </c>
      <c r="I1625" s="84">
        <v>25505142</v>
      </c>
      <c r="J1625" s="12" t="s">
        <v>5102</v>
      </c>
      <c r="K1625" s="12" t="s">
        <v>389</v>
      </c>
      <c r="L1625" s="12" t="str">
        <f>IF(OR(ISBLANK(tblSites[[#This Row],[Implementing Partner]]), tblSites[[#This Row],[Implementing Partner]]="-"), tblSites[[#This Row],[Site Agency]], tblSites[[#This Row],[Implementing Partner]])</f>
        <v>No SMA</v>
      </c>
      <c r="M1625" s="12" t="s">
        <v>55</v>
      </c>
      <c r="N1625" s="12" t="str">
        <f>tblSites[[#This Row],[FinalImplementingPartner]]</f>
        <v>No SMA</v>
      </c>
    </row>
    <row r="1626" spans="1:14" x14ac:dyDescent="0.25">
      <c r="A1626" s="12" t="s">
        <v>3900</v>
      </c>
      <c r="B1626" s="12" t="s">
        <v>4496</v>
      </c>
      <c r="C1626" s="12" t="s">
        <v>5017</v>
      </c>
      <c r="D1626" t="s">
        <v>120</v>
      </c>
      <c r="E1626" s="12" t="s">
        <v>3177</v>
      </c>
      <c r="F1626" s="12" t="s">
        <v>302</v>
      </c>
      <c r="G1626" s="12" t="s">
        <v>5161</v>
      </c>
      <c r="H1626" s="12" t="s">
        <v>4496</v>
      </c>
      <c r="I1626" s="84">
        <v>25505137</v>
      </c>
      <c r="J1626" s="12" t="s">
        <v>5102</v>
      </c>
      <c r="K1626" s="12" t="s">
        <v>389</v>
      </c>
      <c r="L1626" s="12" t="str">
        <f>IF(OR(ISBLANK(tblSites[[#This Row],[Implementing Partner]]), tblSites[[#This Row],[Implementing Partner]]="-"), tblSites[[#This Row],[Site Agency]], tblSites[[#This Row],[Implementing Partner]])</f>
        <v>No SMA</v>
      </c>
      <c r="M1626" s="12" t="s">
        <v>55</v>
      </c>
      <c r="N1626" s="12" t="str">
        <f>tblSites[[#This Row],[FinalImplementingPartner]]</f>
        <v>No SMA</v>
      </c>
    </row>
    <row r="1627" spans="1:14" x14ac:dyDescent="0.25">
      <c r="A1627" s="12" t="s">
        <v>3901</v>
      </c>
      <c r="B1627" s="12" t="s">
        <v>4497</v>
      </c>
      <c r="C1627" s="12" t="s">
        <v>5018</v>
      </c>
      <c r="D1627" t="s">
        <v>120</v>
      </c>
      <c r="E1627" s="12" t="s">
        <v>3177</v>
      </c>
      <c r="F1627" s="12" t="s">
        <v>1862</v>
      </c>
      <c r="G1627" s="12" t="s">
        <v>5154</v>
      </c>
      <c r="H1627" s="12" t="s">
        <v>4497</v>
      </c>
      <c r="I1627" s="84">
        <v>2550536</v>
      </c>
      <c r="J1627" s="12" t="s">
        <v>5102</v>
      </c>
      <c r="K1627" s="12" t="s">
        <v>389</v>
      </c>
      <c r="L1627" s="12" t="str">
        <f>IF(OR(ISBLANK(tblSites[[#This Row],[Implementing Partner]]), tblSites[[#This Row],[Implementing Partner]]="-"), tblSites[[#This Row],[Site Agency]], tblSites[[#This Row],[Implementing Partner]])</f>
        <v>No SMA</v>
      </c>
      <c r="M1627" s="12" t="s">
        <v>55</v>
      </c>
      <c r="N1627" s="12" t="str">
        <f>tblSites[[#This Row],[FinalImplementingPartner]]</f>
        <v>No SMA</v>
      </c>
    </row>
    <row r="1628" spans="1:14" x14ac:dyDescent="0.25">
      <c r="A1628" s="12" t="s">
        <v>3902</v>
      </c>
      <c r="B1628" s="12" t="s">
        <v>4498</v>
      </c>
      <c r="C1628" s="12" t="s">
        <v>5309</v>
      </c>
      <c r="D1628" t="s">
        <v>120</v>
      </c>
      <c r="E1628" s="12" t="s">
        <v>3177</v>
      </c>
      <c r="F1628" s="12" t="s">
        <v>1862</v>
      </c>
      <c r="G1628" s="12" t="s">
        <v>5154</v>
      </c>
      <c r="H1628" s="12" t="s">
        <v>4498</v>
      </c>
      <c r="I1628" s="84">
        <v>2550536</v>
      </c>
      <c r="J1628" s="12" t="s">
        <v>5102</v>
      </c>
      <c r="K1628" s="12" t="s">
        <v>389</v>
      </c>
      <c r="L1628" s="12" t="str">
        <f>IF(OR(ISBLANK(tblSites[[#This Row],[Implementing Partner]]), tblSites[[#This Row],[Implementing Partner]]="-"), tblSites[[#This Row],[Site Agency]], tblSites[[#This Row],[Implementing Partner]])</f>
        <v>No SMA</v>
      </c>
      <c r="M1628" s="12" t="s">
        <v>55</v>
      </c>
      <c r="N1628" s="12" t="str">
        <f>tblSites[[#This Row],[FinalImplementingPartner]]</f>
        <v>No SMA</v>
      </c>
    </row>
    <row r="1629" spans="1:14" x14ac:dyDescent="0.25">
      <c r="A1629" s="12" t="s">
        <v>3903</v>
      </c>
      <c r="B1629" s="12" t="s">
        <v>4499</v>
      </c>
      <c r="C1629" s="12" t="s">
        <v>5019</v>
      </c>
      <c r="D1629" t="s">
        <v>120</v>
      </c>
      <c r="E1629" s="12" t="s">
        <v>3177</v>
      </c>
      <c r="F1629" s="12" t="s">
        <v>1862</v>
      </c>
      <c r="G1629" s="12" t="s">
        <v>5154</v>
      </c>
      <c r="H1629" s="12" t="s">
        <v>4499</v>
      </c>
      <c r="I1629" s="84">
        <v>2550536</v>
      </c>
      <c r="J1629" s="12" t="s">
        <v>5102</v>
      </c>
      <c r="K1629" s="12" t="s">
        <v>389</v>
      </c>
      <c r="L1629" s="12" t="str">
        <f>IF(OR(ISBLANK(tblSites[[#This Row],[Implementing Partner]]), tblSites[[#This Row],[Implementing Partner]]="-"), tblSites[[#This Row],[Site Agency]], tblSites[[#This Row],[Implementing Partner]])</f>
        <v>No SMA</v>
      </c>
      <c r="M1629" s="12" t="s">
        <v>55</v>
      </c>
      <c r="N1629" s="12" t="str">
        <f>tblSites[[#This Row],[FinalImplementingPartner]]</f>
        <v>No SMA</v>
      </c>
    </row>
    <row r="1630" spans="1:14" x14ac:dyDescent="0.25">
      <c r="A1630" s="47" t="s">
        <v>3904</v>
      </c>
      <c r="B1630" s="12" t="s">
        <v>4500</v>
      </c>
      <c r="C1630" s="12" t="s">
        <v>5020</v>
      </c>
      <c r="D1630" t="s">
        <v>120</v>
      </c>
      <c r="E1630" s="12" t="s">
        <v>3177</v>
      </c>
      <c r="F1630" s="47" t="s">
        <v>1862</v>
      </c>
      <c r="G1630" s="12" t="s">
        <v>5154</v>
      </c>
      <c r="H1630" s="12" t="s">
        <v>4500</v>
      </c>
      <c r="I1630" s="84">
        <v>2550536</v>
      </c>
      <c r="J1630" s="12" t="s">
        <v>5102</v>
      </c>
      <c r="K1630" s="12" t="s">
        <v>389</v>
      </c>
      <c r="L1630" s="12" t="str">
        <f>IF(OR(ISBLANK(tblSites[[#This Row],[Implementing Partner]]), tblSites[[#This Row],[Implementing Partner]]="-"), tblSites[[#This Row],[Site Agency]], tblSites[[#This Row],[Implementing Partner]])</f>
        <v>No SMA</v>
      </c>
      <c r="M1630" s="12" t="s">
        <v>55</v>
      </c>
      <c r="N1630" s="12" t="str">
        <f>tblSites[[#This Row],[FinalImplementingPartner]]</f>
        <v>No SMA</v>
      </c>
    </row>
    <row r="1631" spans="1:14" x14ac:dyDescent="0.25">
      <c r="A1631" s="12" t="s">
        <v>3905</v>
      </c>
      <c r="B1631" s="12" t="s">
        <v>4501</v>
      </c>
      <c r="C1631" s="12" t="s">
        <v>5021</v>
      </c>
      <c r="D1631" t="s">
        <v>120</v>
      </c>
      <c r="E1631" s="12" t="s">
        <v>3177</v>
      </c>
      <c r="F1631" s="12" t="s">
        <v>302</v>
      </c>
      <c r="G1631" s="12" t="s">
        <v>5161</v>
      </c>
      <c r="H1631" s="12" t="s">
        <v>4501</v>
      </c>
      <c r="I1631" s="84">
        <v>25505137</v>
      </c>
      <c r="J1631" s="12" t="s">
        <v>5102</v>
      </c>
      <c r="K1631" s="12" t="s">
        <v>389</v>
      </c>
      <c r="L1631" s="12" t="str">
        <f>IF(OR(ISBLANK(tblSites[[#This Row],[Implementing Partner]]), tblSites[[#This Row],[Implementing Partner]]="-"), tblSites[[#This Row],[Site Agency]], tblSites[[#This Row],[Implementing Partner]])</f>
        <v>No SMA</v>
      </c>
      <c r="M1631" s="12" t="s">
        <v>55</v>
      </c>
      <c r="N1631" s="12" t="str">
        <f>tblSites[[#This Row],[FinalImplementingPartner]]</f>
        <v>No SMA</v>
      </c>
    </row>
    <row r="1632" spans="1:14" x14ac:dyDescent="0.25">
      <c r="A1632" s="12" t="s">
        <v>3906</v>
      </c>
      <c r="B1632" s="12" t="s">
        <v>4502</v>
      </c>
      <c r="C1632" s="12" t="s">
        <v>52</v>
      </c>
      <c r="D1632" t="s">
        <v>120</v>
      </c>
      <c r="E1632" s="12" t="s">
        <v>3177</v>
      </c>
      <c r="F1632" s="12" t="s">
        <v>1862</v>
      </c>
      <c r="G1632" s="12" t="s">
        <v>5154</v>
      </c>
      <c r="H1632" s="12" t="s">
        <v>4502</v>
      </c>
      <c r="I1632" s="84">
        <v>2550536</v>
      </c>
      <c r="J1632" s="12" t="s">
        <v>5102</v>
      </c>
      <c r="K1632" s="12" t="s">
        <v>389</v>
      </c>
      <c r="L1632" s="12" t="str">
        <f>IF(OR(ISBLANK(tblSites[[#This Row],[Implementing Partner]]), tblSites[[#This Row],[Implementing Partner]]="-"), tblSites[[#This Row],[Site Agency]], tblSites[[#This Row],[Implementing Partner]])</f>
        <v>No SMA</v>
      </c>
      <c r="M1632" s="12" t="s">
        <v>55</v>
      </c>
      <c r="N1632" s="12" t="str">
        <f>tblSites[[#This Row],[FinalImplementingPartner]]</f>
        <v>No SMA</v>
      </c>
    </row>
    <row r="1633" spans="1:14" x14ac:dyDescent="0.25">
      <c r="A1633" s="12" t="s">
        <v>3907</v>
      </c>
      <c r="B1633" s="12" t="s">
        <v>4505</v>
      </c>
      <c r="C1633" s="12" t="s">
        <v>5024</v>
      </c>
      <c r="D1633" t="s">
        <v>120</v>
      </c>
      <c r="E1633" s="12" t="s">
        <v>3177</v>
      </c>
      <c r="F1633" s="12" t="s">
        <v>2235</v>
      </c>
      <c r="G1633" s="12" t="s">
        <v>5168</v>
      </c>
      <c r="H1633" s="12" t="s">
        <v>4505</v>
      </c>
      <c r="I1633" s="84">
        <v>25505143</v>
      </c>
      <c r="J1633" s="12" t="s">
        <v>5102</v>
      </c>
      <c r="K1633" s="12" t="s">
        <v>389</v>
      </c>
      <c r="L1633" s="12" t="str">
        <f>IF(OR(ISBLANK(tblSites[[#This Row],[Implementing Partner]]), tblSites[[#This Row],[Implementing Partner]]="-"), tblSites[[#This Row],[Site Agency]], tblSites[[#This Row],[Implementing Partner]])</f>
        <v>No SMA</v>
      </c>
      <c r="M1633" s="12" t="s">
        <v>55</v>
      </c>
      <c r="N1633" s="12" t="str">
        <f>tblSites[[#This Row],[FinalImplementingPartner]]</f>
        <v>No SMA</v>
      </c>
    </row>
    <row r="1634" spans="1:14" x14ac:dyDescent="0.25">
      <c r="A1634" s="12" t="s">
        <v>3908</v>
      </c>
      <c r="B1634" s="12" t="s">
        <v>4506</v>
      </c>
      <c r="C1634" s="12" t="s">
        <v>5025</v>
      </c>
      <c r="D1634" t="s">
        <v>120</v>
      </c>
      <c r="E1634" s="12" t="s">
        <v>3177</v>
      </c>
      <c r="F1634" s="12" t="s">
        <v>2235</v>
      </c>
      <c r="G1634" s="12" t="s">
        <v>5168</v>
      </c>
      <c r="H1634" s="12" t="s">
        <v>4506</v>
      </c>
      <c r="I1634" s="84">
        <v>25505143</v>
      </c>
      <c r="J1634" s="12" t="s">
        <v>5102</v>
      </c>
      <c r="K1634" s="12" t="s">
        <v>389</v>
      </c>
      <c r="L1634" s="12" t="str">
        <f>IF(OR(ISBLANK(tblSites[[#This Row],[Implementing Partner]]), tblSites[[#This Row],[Implementing Partner]]="-"), tblSites[[#This Row],[Site Agency]], tblSites[[#This Row],[Implementing Partner]])</f>
        <v>No SMA</v>
      </c>
      <c r="M1634" s="12" t="s">
        <v>55</v>
      </c>
      <c r="N1634" s="12" t="str">
        <f>tblSites[[#This Row],[FinalImplementingPartner]]</f>
        <v>No SMA</v>
      </c>
    </row>
    <row r="1635" spans="1:14" x14ac:dyDescent="0.25">
      <c r="A1635" s="12" t="s">
        <v>3909</v>
      </c>
      <c r="B1635" s="12" t="s">
        <v>4507</v>
      </c>
      <c r="C1635" s="12" t="s">
        <v>5026</v>
      </c>
      <c r="D1635" t="s">
        <v>120</v>
      </c>
      <c r="E1635" s="12" t="s">
        <v>3177</v>
      </c>
      <c r="F1635" s="12" t="s">
        <v>2235</v>
      </c>
      <c r="G1635" s="12" t="s">
        <v>5168</v>
      </c>
      <c r="H1635" s="12" t="s">
        <v>4507</v>
      </c>
      <c r="I1635" s="84">
        <v>25505143</v>
      </c>
      <c r="J1635" s="12" t="s">
        <v>5102</v>
      </c>
      <c r="K1635" s="12" t="s">
        <v>389</v>
      </c>
      <c r="L1635" s="12" t="str">
        <f>IF(OR(ISBLANK(tblSites[[#This Row],[Implementing Partner]]), tblSites[[#This Row],[Implementing Partner]]="-"), tblSites[[#This Row],[Site Agency]], tblSites[[#This Row],[Implementing Partner]])</f>
        <v>No SMA</v>
      </c>
      <c r="M1635" s="12" t="s">
        <v>55</v>
      </c>
      <c r="N1635" s="12" t="str">
        <f>tblSites[[#This Row],[FinalImplementingPartner]]</f>
        <v>No SMA</v>
      </c>
    </row>
    <row r="1636" spans="1:14" x14ac:dyDescent="0.25">
      <c r="A1636" s="12" t="s">
        <v>3910</v>
      </c>
      <c r="B1636" s="12" t="s">
        <v>4508</v>
      </c>
      <c r="C1636" s="12" t="s">
        <v>5027</v>
      </c>
      <c r="D1636" t="s">
        <v>120</v>
      </c>
      <c r="E1636" s="12" t="s">
        <v>3177</v>
      </c>
      <c r="F1636" s="12" t="s">
        <v>1862</v>
      </c>
      <c r="G1636" s="12" t="s">
        <v>5177</v>
      </c>
      <c r="H1636" s="12" t="s">
        <v>4508</v>
      </c>
      <c r="I1636" s="84">
        <v>25501135</v>
      </c>
      <c r="J1636" s="12" t="s">
        <v>34</v>
      </c>
      <c r="K1636" s="12" t="s">
        <v>389</v>
      </c>
      <c r="L1636" s="12" t="str">
        <f>IF(OR(ISBLANK(tblSites[[#This Row],[Implementing Partner]]), tblSites[[#This Row],[Implementing Partner]]="-"), tblSites[[#This Row],[Site Agency]], tblSites[[#This Row],[Implementing Partner]])</f>
        <v>DRC</v>
      </c>
      <c r="M1636" s="12" t="s">
        <v>55</v>
      </c>
      <c r="N1636" s="12" t="str">
        <f>tblSites[[#This Row],[FinalImplementingPartner]]</f>
        <v>DRC</v>
      </c>
    </row>
    <row r="1637" spans="1:14" x14ac:dyDescent="0.25">
      <c r="A1637" s="12" t="s">
        <v>3911</v>
      </c>
      <c r="B1637" s="12" t="s">
        <v>4509</v>
      </c>
      <c r="C1637" s="12" t="s">
        <v>5310</v>
      </c>
      <c r="D1637" t="s">
        <v>120</v>
      </c>
      <c r="E1637" s="12" t="s">
        <v>3177</v>
      </c>
      <c r="F1637" s="12" t="s">
        <v>436</v>
      </c>
      <c r="G1637" s="12" t="s">
        <v>5163</v>
      </c>
      <c r="H1637" s="12" t="s">
        <v>4509</v>
      </c>
      <c r="I1637" s="84">
        <v>25504177</v>
      </c>
      <c r="J1637" s="12" t="s">
        <v>5102</v>
      </c>
      <c r="K1637" s="12" t="s">
        <v>389</v>
      </c>
      <c r="L1637" s="12" t="str">
        <f>IF(OR(ISBLANK(tblSites[[#This Row],[Implementing Partner]]), tblSites[[#This Row],[Implementing Partner]]="-"), tblSites[[#This Row],[Site Agency]], tblSites[[#This Row],[Implementing Partner]])</f>
        <v>No SMA</v>
      </c>
      <c r="M1637" s="12" t="s">
        <v>55</v>
      </c>
      <c r="N1637" s="12" t="str">
        <f>tblSites[[#This Row],[FinalImplementingPartner]]</f>
        <v>No SMA</v>
      </c>
    </row>
    <row r="1638" spans="1:14" x14ac:dyDescent="0.25">
      <c r="A1638" s="12" t="s">
        <v>3912</v>
      </c>
      <c r="B1638" s="12" t="s">
        <v>1427</v>
      </c>
      <c r="C1638" s="12" t="s">
        <v>1053</v>
      </c>
      <c r="D1638" t="s">
        <v>120</v>
      </c>
      <c r="E1638" s="12" t="s">
        <v>3177</v>
      </c>
      <c r="F1638" s="12" t="s">
        <v>360</v>
      </c>
      <c r="G1638" s="12" t="s">
        <v>5169</v>
      </c>
      <c r="H1638" s="12" t="s">
        <v>1427</v>
      </c>
      <c r="I1638" s="84">
        <v>25501129</v>
      </c>
      <c r="J1638" s="12" t="s">
        <v>5102</v>
      </c>
      <c r="K1638" s="12" t="s">
        <v>389</v>
      </c>
      <c r="L1638" s="12" t="str">
        <f>IF(OR(ISBLANK(tblSites[[#This Row],[Implementing Partner]]), tblSites[[#This Row],[Implementing Partner]]="-"), tblSites[[#This Row],[Site Agency]], tblSites[[#This Row],[Implementing Partner]])</f>
        <v>No SMA</v>
      </c>
      <c r="M1638" s="12" t="s">
        <v>55</v>
      </c>
      <c r="N1638" s="12" t="str">
        <f>tblSites[[#This Row],[FinalImplementingPartner]]</f>
        <v>No SMA</v>
      </c>
    </row>
    <row r="1639" spans="1:14" x14ac:dyDescent="0.25">
      <c r="A1639" s="12" t="s">
        <v>3913</v>
      </c>
      <c r="B1639" s="12" t="s">
        <v>4510</v>
      </c>
      <c r="C1639" s="12" t="s">
        <v>433</v>
      </c>
      <c r="D1639" t="s">
        <v>120</v>
      </c>
      <c r="E1639" s="12" t="s">
        <v>3177</v>
      </c>
      <c r="F1639" s="12" t="s">
        <v>1862</v>
      </c>
      <c r="G1639" s="12" t="s">
        <v>5154</v>
      </c>
      <c r="H1639" s="12" t="s">
        <v>4510</v>
      </c>
      <c r="I1639" s="84">
        <v>2550536</v>
      </c>
      <c r="J1639" s="12" t="s">
        <v>5102</v>
      </c>
      <c r="K1639" s="12" t="s">
        <v>389</v>
      </c>
      <c r="L1639" s="12" t="str">
        <f>IF(OR(ISBLANK(tblSites[[#This Row],[Implementing Partner]]), tblSites[[#This Row],[Implementing Partner]]="-"), tblSites[[#This Row],[Site Agency]], tblSites[[#This Row],[Implementing Partner]])</f>
        <v>No SMA</v>
      </c>
      <c r="M1639" s="12" t="s">
        <v>55</v>
      </c>
      <c r="N1639" s="12" t="str">
        <f>tblSites[[#This Row],[FinalImplementingPartner]]</f>
        <v>No SMA</v>
      </c>
    </row>
    <row r="1640" spans="1:14" x14ac:dyDescent="0.25">
      <c r="A1640" s="12" t="s">
        <v>3914</v>
      </c>
      <c r="B1640" s="12" t="s">
        <v>3004</v>
      </c>
      <c r="C1640" s="12" t="s">
        <v>1208</v>
      </c>
      <c r="D1640" t="s">
        <v>120</v>
      </c>
      <c r="E1640" s="12" t="s">
        <v>3177</v>
      </c>
      <c r="F1640" s="12" t="s">
        <v>2235</v>
      </c>
      <c r="G1640" s="12" t="s">
        <v>5181</v>
      </c>
      <c r="H1640" s="12" t="s">
        <v>3004</v>
      </c>
      <c r="I1640" s="84">
        <v>25505143</v>
      </c>
      <c r="J1640" s="12" t="s">
        <v>34</v>
      </c>
      <c r="K1640" s="12" t="s">
        <v>389</v>
      </c>
      <c r="L1640" s="12" t="str">
        <f>IF(OR(ISBLANK(tblSites[[#This Row],[Implementing Partner]]), tblSites[[#This Row],[Implementing Partner]]="-"), tblSites[[#This Row],[Site Agency]], tblSites[[#This Row],[Implementing Partner]])</f>
        <v>DRC</v>
      </c>
      <c r="M1640" s="12" t="s">
        <v>55</v>
      </c>
      <c r="N1640" s="12" t="str">
        <f>tblSites[[#This Row],[FinalImplementingPartner]]</f>
        <v>DRC</v>
      </c>
    </row>
    <row r="1641" spans="1:14" x14ac:dyDescent="0.25">
      <c r="A1641" s="12" t="s">
        <v>3915</v>
      </c>
      <c r="B1641" s="12" t="s">
        <v>4511</v>
      </c>
      <c r="C1641" s="12" t="s">
        <v>5028</v>
      </c>
      <c r="D1641" t="s">
        <v>120</v>
      </c>
      <c r="E1641" s="12" t="s">
        <v>3177</v>
      </c>
      <c r="F1641" s="12" t="s">
        <v>1862</v>
      </c>
      <c r="G1641" s="12" t="s">
        <v>5177</v>
      </c>
      <c r="H1641" s="12" t="s">
        <v>4511</v>
      </c>
      <c r="I1641" s="84">
        <v>2550536</v>
      </c>
      <c r="J1641" s="12" t="s">
        <v>34</v>
      </c>
      <c r="K1641" s="12" t="s">
        <v>389</v>
      </c>
      <c r="L1641" s="12" t="str">
        <f>IF(OR(ISBLANK(tblSites[[#This Row],[Implementing Partner]]), tblSites[[#This Row],[Implementing Partner]]="-"), tblSites[[#This Row],[Site Agency]], tblSites[[#This Row],[Implementing Partner]])</f>
        <v>DRC</v>
      </c>
      <c r="M1641" s="12" t="s">
        <v>55</v>
      </c>
      <c r="N1641" s="12" t="str">
        <f>tblSites[[#This Row],[FinalImplementingPartner]]</f>
        <v>DRC</v>
      </c>
    </row>
    <row r="1642" spans="1:14" x14ac:dyDescent="0.25">
      <c r="A1642" s="12" t="s">
        <v>3916</v>
      </c>
      <c r="B1642" s="12" t="s">
        <v>4512</v>
      </c>
      <c r="C1642" s="12" t="s">
        <v>5029</v>
      </c>
      <c r="D1642" t="s">
        <v>120</v>
      </c>
      <c r="E1642" s="12" t="s">
        <v>3177</v>
      </c>
      <c r="F1642" s="12" t="s">
        <v>2235</v>
      </c>
      <c r="G1642" s="12" t="s">
        <v>5168</v>
      </c>
      <c r="H1642" s="12" t="s">
        <v>4512</v>
      </c>
      <c r="I1642" s="84">
        <v>25505143</v>
      </c>
      <c r="J1642" s="12" t="s">
        <v>5102</v>
      </c>
      <c r="L1642" s="12" t="str">
        <f>IF(OR(ISBLANK(tblSites[[#This Row],[Implementing Partner]]), tblSites[[#This Row],[Implementing Partner]]="-"), tblSites[[#This Row],[Site Agency]], tblSites[[#This Row],[Implementing Partner]])</f>
        <v>No SMA</v>
      </c>
      <c r="M1642" s="12" t="s">
        <v>55</v>
      </c>
      <c r="N1642" s="12" t="str">
        <f>tblSites[[#This Row],[FinalImplementingPartner]]</f>
        <v>No SMA</v>
      </c>
    </row>
    <row r="1643" spans="1:14" x14ac:dyDescent="0.25">
      <c r="A1643" s="12" t="s">
        <v>3917</v>
      </c>
      <c r="B1643" s="12" t="s">
        <v>4513</v>
      </c>
      <c r="C1643" s="12" t="s">
        <v>5030</v>
      </c>
      <c r="D1643" t="s">
        <v>120</v>
      </c>
      <c r="E1643" s="12" t="s">
        <v>3177</v>
      </c>
      <c r="F1643" s="12" t="s">
        <v>2126</v>
      </c>
      <c r="G1643" s="12" t="s">
        <v>5170</v>
      </c>
      <c r="H1643" s="12" t="s">
        <v>4513</v>
      </c>
      <c r="I1643" s="84">
        <v>25501130</v>
      </c>
      <c r="J1643" s="12" t="s">
        <v>5102</v>
      </c>
      <c r="K1643" s="12" t="s">
        <v>389</v>
      </c>
      <c r="L1643" s="12" t="str">
        <f>IF(OR(ISBLANK(tblSites[[#This Row],[Implementing Partner]]), tblSites[[#This Row],[Implementing Partner]]="-"), tblSites[[#This Row],[Site Agency]], tblSites[[#This Row],[Implementing Partner]])</f>
        <v>No SMA</v>
      </c>
      <c r="M1643" s="12" t="s">
        <v>55</v>
      </c>
      <c r="N1643" s="12" t="str">
        <f>tblSites[[#This Row],[FinalImplementingPartner]]</f>
        <v>No SMA</v>
      </c>
    </row>
    <row r="1644" spans="1:14" x14ac:dyDescent="0.25">
      <c r="A1644" s="12" t="s">
        <v>3918</v>
      </c>
      <c r="B1644" s="12" t="s">
        <v>4514</v>
      </c>
      <c r="C1644" s="12" t="s">
        <v>5031</v>
      </c>
      <c r="D1644" t="s">
        <v>120</v>
      </c>
      <c r="E1644" s="12" t="s">
        <v>3177</v>
      </c>
      <c r="F1644" s="12" t="s">
        <v>2235</v>
      </c>
      <c r="G1644" s="12" t="s">
        <v>5168</v>
      </c>
      <c r="H1644" s="12" t="s">
        <v>4514</v>
      </c>
      <c r="I1644" s="84">
        <v>25505143</v>
      </c>
      <c r="J1644" s="12" t="s">
        <v>5102</v>
      </c>
      <c r="L1644" s="12" t="str">
        <f>IF(OR(ISBLANK(tblSites[[#This Row],[Implementing Partner]]), tblSites[[#This Row],[Implementing Partner]]="-"), tblSites[[#This Row],[Site Agency]], tblSites[[#This Row],[Implementing Partner]])</f>
        <v>No SMA</v>
      </c>
      <c r="M1644" s="12" t="s">
        <v>55</v>
      </c>
      <c r="N1644" s="12" t="str">
        <f>tblSites[[#This Row],[FinalImplementingPartner]]</f>
        <v>No SMA</v>
      </c>
    </row>
    <row r="1645" spans="1:14" x14ac:dyDescent="0.25">
      <c r="A1645" s="12" t="s">
        <v>3919</v>
      </c>
      <c r="B1645" s="12" t="s">
        <v>4515</v>
      </c>
      <c r="C1645" s="12" t="s">
        <v>5032</v>
      </c>
      <c r="D1645" t="s">
        <v>120</v>
      </c>
      <c r="E1645" s="12" t="s">
        <v>3177</v>
      </c>
      <c r="F1645" s="12" t="s">
        <v>3143</v>
      </c>
      <c r="G1645" s="12" t="s">
        <v>5178</v>
      </c>
      <c r="H1645" s="12" t="s">
        <v>4515</v>
      </c>
      <c r="I1645" s="84">
        <v>25505136</v>
      </c>
      <c r="J1645" s="12" t="s">
        <v>5102</v>
      </c>
      <c r="L1645" s="12" t="str">
        <f>IF(OR(ISBLANK(tblSites[[#This Row],[Implementing Partner]]), tblSites[[#This Row],[Implementing Partner]]="-"), tblSites[[#This Row],[Site Agency]], tblSites[[#This Row],[Implementing Partner]])</f>
        <v>No SMA</v>
      </c>
      <c r="M1645" s="12" t="s">
        <v>55</v>
      </c>
      <c r="N1645" s="12" t="str">
        <f>tblSites[[#This Row],[FinalImplementingPartner]]</f>
        <v>No SMA</v>
      </c>
    </row>
    <row r="1646" spans="1:14" x14ac:dyDescent="0.25">
      <c r="A1646" s="12" t="s">
        <v>3920</v>
      </c>
      <c r="B1646" s="12" t="s">
        <v>4516</v>
      </c>
      <c r="C1646" s="12" t="s">
        <v>5033</v>
      </c>
      <c r="D1646" t="s">
        <v>120</v>
      </c>
      <c r="E1646" s="12" t="s">
        <v>3177</v>
      </c>
      <c r="F1646" s="12" t="s">
        <v>3143</v>
      </c>
      <c r="G1646" s="12" t="s">
        <v>5178</v>
      </c>
      <c r="H1646" s="12" t="s">
        <v>4516</v>
      </c>
      <c r="I1646" s="84">
        <v>25505136</v>
      </c>
      <c r="J1646" s="12" t="s">
        <v>5102</v>
      </c>
      <c r="L1646" s="12" t="str">
        <f>IF(OR(ISBLANK(tblSites[[#This Row],[Implementing Partner]]), tblSites[[#This Row],[Implementing Partner]]="-"), tblSites[[#This Row],[Site Agency]], tblSites[[#This Row],[Implementing Partner]])</f>
        <v>No SMA</v>
      </c>
      <c r="M1646" s="12" t="s">
        <v>55</v>
      </c>
      <c r="N1646" s="12" t="str">
        <f>tblSites[[#This Row],[FinalImplementingPartner]]</f>
        <v>No SMA</v>
      </c>
    </row>
    <row r="1647" spans="1:14" x14ac:dyDescent="0.25">
      <c r="A1647" s="12" t="s">
        <v>3921</v>
      </c>
      <c r="B1647" s="12" t="s">
        <v>4517</v>
      </c>
      <c r="C1647" s="12" t="s">
        <v>5034</v>
      </c>
      <c r="D1647" t="s">
        <v>120</v>
      </c>
      <c r="E1647" s="12" t="s">
        <v>3177</v>
      </c>
      <c r="F1647" s="12" t="s">
        <v>436</v>
      </c>
      <c r="G1647" s="12" t="s">
        <v>5163</v>
      </c>
      <c r="H1647" s="12" t="s">
        <v>4517</v>
      </c>
      <c r="I1647" s="84">
        <v>25504177</v>
      </c>
      <c r="J1647" s="12" t="s">
        <v>5102</v>
      </c>
      <c r="L1647" s="12" t="str">
        <f>IF(OR(ISBLANK(tblSites[[#This Row],[Implementing Partner]]), tblSites[[#This Row],[Implementing Partner]]="-"), tblSites[[#This Row],[Site Agency]], tblSites[[#This Row],[Implementing Partner]])</f>
        <v>No SMA</v>
      </c>
      <c r="M1647" s="12" t="s">
        <v>55</v>
      </c>
      <c r="N1647" s="12" t="str">
        <f>tblSites[[#This Row],[FinalImplementingPartner]]</f>
        <v>No SMA</v>
      </c>
    </row>
    <row r="1648" spans="1:14" x14ac:dyDescent="0.25">
      <c r="A1648" s="12" t="s">
        <v>3922</v>
      </c>
      <c r="B1648" s="12" t="s">
        <v>4518</v>
      </c>
      <c r="C1648" s="12" t="s">
        <v>5035</v>
      </c>
      <c r="D1648" t="s">
        <v>120</v>
      </c>
      <c r="E1648" s="12" t="s">
        <v>3177</v>
      </c>
      <c r="F1648" s="12" t="s">
        <v>302</v>
      </c>
      <c r="G1648" s="12" t="s">
        <v>5161</v>
      </c>
      <c r="H1648" s="12" t="s">
        <v>4518</v>
      </c>
      <c r="I1648" s="84">
        <v>25505137</v>
      </c>
      <c r="J1648" s="12" t="s">
        <v>5102</v>
      </c>
      <c r="K1648" s="12" t="s">
        <v>389</v>
      </c>
      <c r="L1648" s="12" t="str">
        <f>IF(OR(ISBLANK(tblSites[[#This Row],[Implementing Partner]]), tblSites[[#This Row],[Implementing Partner]]="-"), tblSites[[#This Row],[Site Agency]], tblSites[[#This Row],[Implementing Partner]])</f>
        <v>No SMA</v>
      </c>
      <c r="M1648" s="12" t="s">
        <v>55</v>
      </c>
      <c r="N1648" s="12" t="str">
        <f>tblSites[[#This Row],[FinalImplementingPartner]]</f>
        <v>No SMA</v>
      </c>
    </row>
    <row r="1649" spans="1:14" x14ac:dyDescent="0.25">
      <c r="A1649" s="12" t="s">
        <v>3923</v>
      </c>
      <c r="B1649" s="12" t="s">
        <v>4519</v>
      </c>
      <c r="C1649" s="12" t="s">
        <v>5036</v>
      </c>
      <c r="D1649" t="s">
        <v>120</v>
      </c>
      <c r="E1649" s="12" t="s">
        <v>3177</v>
      </c>
      <c r="F1649" s="12" t="s">
        <v>1862</v>
      </c>
      <c r="G1649" s="12" t="s">
        <v>5154</v>
      </c>
      <c r="H1649" s="12" t="s">
        <v>4519</v>
      </c>
      <c r="I1649" s="84">
        <v>25501135</v>
      </c>
      <c r="J1649" s="12" t="s">
        <v>5102</v>
      </c>
      <c r="L1649" s="12" t="str">
        <f>IF(OR(ISBLANK(tblSites[[#This Row],[Implementing Partner]]), tblSites[[#This Row],[Implementing Partner]]="-"), tblSites[[#This Row],[Site Agency]], tblSites[[#This Row],[Implementing Partner]])</f>
        <v>No SMA</v>
      </c>
      <c r="M1649" s="12" t="s">
        <v>55</v>
      </c>
      <c r="N1649" s="12" t="str">
        <f>tblSites[[#This Row],[FinalImplementingPartner]]</f>
        <v>No SMA</v>
      </c>
    </row>
    <row r="1650" spans="1:14" x14ac:dyDescent="0.25">
      <c r="A1650" s="12" t="s">
        <v>3924</v>
      </c>
      <c r="B1650" s="12" t="s">
        <v>4520</v>
      </c>
      <c r="C1650" s="12" t="s">
        <v>110</v>
      </c>
      <c r="D1650" t="s">
        <v>120</v>
      </c>
      <c r="E1650" s="12" t="s">
        <v>3177</v>
      </c>
      <c r="F1650" s="12" t="s">
        <v>1862</v>
      </c>
      <c r="G1650" s="12" t="s">
        <v>5154</v>
      </c>
      <c r="H1650" s="12" t="s">
        <v>4520</v>
      </c>
      <c r="I1650" s="84">
        <v>2550536</v>
      </c>
      <c r="J1650" s="12" t="s">
        <v>5102</v>
      </c>
      <c r="K1650" s="12" t="s">
        <v>389</v>
      </c>
      <c r="L1650" s="12" t="str">
        <f>IF(OR(ISBLANK(tblSites[[#This Row],[Implementing Partner]]), tblSites[[#This Row],[Implementing Partner]]="-"), tblSites[[#This Row],[Site Agency]], tblSites[[#This Row],[Implementing Partner]])</f>
        <v>No SMA</v>
      </c>
      <c r="M1650" s="12" t="s">
        <v>55</v>
      </c>
      <c r="N1650" s="12" t="str">
        <f>tblSites[[#This Row],[FinalImplementingPartner]]</f>
        <v>No SMA</v>
      </c>
    </row>
    <row r="1651" spans="1:14" x14ac:dyDescent="0.25">
      <c r="A1651" s="12" t="s">
        <v>3925</v>
      </c>
      <c r="B1651" s="12" t="s">
        <v>4521</v>
      </c>
      <c r="C1651" s="12" t="s">
        <v>4633</v>
      </c>
      <c r="D1651" t="s">
        <v>120</v>
      </c>
      <c r="E1651" s="12" t="s">
        <v>3177</v>
      </c>
      <c r="F1651" s="12" t="s">
        <v>302</v>
      </c>
      <c r="G1651" s="12" t="s">
        <v>5175</v>
      </c>
      <c r="H1651" s="12" t="s">
        <v>4521</v>
      </c>
      <c r="I1651" s="84">
        <v>25505137</v>
      </c>
      <c r="J1651" s="47" t="s">
        <v>5</v>
      </c>
      <c r="K1651" s="12" t="s">
        <v>119</v>
      </c>
      <c r="L1651" s="12" t="str">
        <f>IF(OR(ISBLANK(tblSites[[#This Row],[Implementing Partner]]), tblSites[[#This Row],[Implementing Partner]]="-"), tblSites[[#This Row],[Site Agency]], tblSites[[#This Row],[Implementing Partner]])</f>
        <v>BLDA</v>
      </c>
      <c r="M1651" s="12" t="s">
        <v>55</v>
      </c>
      <c r="N1651" s="12" t="str">
        <f>tblSites[[#This Row],[FinalImplementingPartner]]</f>
        <v>BLDA</v>
      </c>
    </row>
    <row r="1652" spans="1:14" x14ac:dyDescent="0.25">
      <c r="A1652" s="12" t="s">
        <v>3926</v>
      </c>
      <c r="B1652" s="12" t="s">
        <v>4522</v>
      </c>
      <c r="C1652" s="12" t="s">
        <v>5037</v>
      </c>
      <c r="D1652" t="s">
        <v>120</v>
      </c>
      <c r="E1652" s="12" t="s">
        <v>3177</v>
      </c>
      <c r="F1652" s="12" t="s">
        <v>2235</v>
      </c>
      <c r="G1652" s="12" t="s">
        <v>5168</v>
      </c>
      <c r="H1652" s="12" t="s">
        <v>4522</v>
      </c>
      <c r="I1652" s="84">
        <v>25505143</v>
      </c>
      <c r="J1652" s="12" t="s">
        <v>5102</v>
      </c>
      <c r="L1652" s="12" t="str">
        <f>IF(OR(ISBLANK(tblSites[[#This Row],[Implementing Partner]]), tblSites[[#This Row],[Implementing Partner]]="-"), tblSites[[#This Row],[Site Agency]], tblSites[[#This Row],[Implementing Partner]])</f>
        <v>No SMA</v>
      </c>
      <c r="M1652" s="12" t="s">
        <v>55</v>
      </c>
      <c r="N1652" s="12" t="str">
        <f>tblSites[[#This Row],[FinalImplementingPartner]]</f>
        <v>No SMA</v>
      </c>
    </row>
    <row r="1653" spans="1:14" x14ac:dyDescent="0.25">
      <c r="A1653" s="12" t="s">
        <v>3927</v>
      </c>
      <c r="B1653" s="12" t="s">
        <v>4523</v>
      </c>
      <c r="C1653" s="12" t="s">
        <v>5038</v>
      </c>
      <c r="D1653" t="s">
        <v>120</v>
      </c>
      <c r="E1653" s="12" t="s">
        <v>3177</v>
      </c>
      <c r="F1653" s="12" t="s">
        <v>3143</v>
      </c>
      <c r="G1653" s="12" t="s">
        <v>5179</v>
      </c>
      <c r="H1653" s="12" t="s">
        <v>4523</v>
      </c>
      <c r="I1653" s="84">
        <v>25505136</v>
      </c>
      <c r="J1653" s="12" t="s">
        <v>35</v>
      </c>
      <c r="L1653" s="12" t="str">
        <f>IF(OR(ISBLANK(tblSites[[#This Row],[Implementing Partner]]), tblSites[[#This Row],[Implementing Partner]]="-"), tblSites[[#This Row],[Site Agency]], tblSites[[#This Row],[Implementing Partner]])</f>
        <v>NRC</v>
      </c>
      <c r="M1653" s="12" t="s">
        <v>55</v>
      </c>
      <c r="N1653" s="12" t="str">
        <f>tblSites[[#This Row],[FinalImplementingPartner]]</f>
        <v>NRC</v>
      </c>
    </row>
    <row r="1654" spans="1:14" x14ac:dyDescent="0.25">
      <c r="A1654" s="12" t="s">
        <v>3928</v>
      </c>
      <c r="B1654" s="12" t="s">
        <v>4524</v>
      </c>
      <c r="C1654" s="12" t="s">
        <v>5039</v>
      </c>
      <c r="D1654" t="s">
        <v>120</v>
      </c>
      <c r="E1654" s="12" t="s">
        <v>3177</v>
      </c>
      <c r="F1654" s="12" t="s">
        <v>1862</v>
      </c>
      <c r="G1654" s="12" t="s">
        <v>5154</v>
      </c>
      <c r="H1654" s="12" t="s">
        <v>4524</v>
      </c>
      <c r="I1654" s="84">
        <v>25501135</v>
      </c>
      <c r="J1654" s="12" t="s">
        <v>5102</v>
      </c>
      <c r="K1654" s="12" t="s">
        <v>389</v>
      </c>
      <c r="L1654" s="12" t="str">
        <f>IF(OR(ISBLANK(tblSites[[#This Row],[Implementing Partner]]), tblSites[[#This Row],[Implementing Partner]]="-"), tblSites[[#This Row],[Site Agency]], tblSites[[#This Row],[Implementing Partner]])</f>
        <v>No SMA</v>
      </c>
      <c r="M1654" s="12" t="s">
        <v>55</v>
      </c>
      <c r="N1654" s="12" t="str">
        <f>tblSites[[#This Row],[FinalImplementingPartner]]</f>
        <v>No SMA</v>
      </c>
    </row>
    <row r="1655" spans="1:14" x14ac:dyDescent="0.25">
      <c r="A1655" s="12" t="s">
        <v>3929</v>
      </c>
      <c r="B1655" s="12" t="s">
        <v>4526</v>
      </c>
      <c r="C1655" s="12" t="s">
        <v>5040</v>
      </c>
      <c r="D1655" t="s">
        <v>120</v>
      </c>
      <c r="E1655" s="12" t="s">
        <v>3177</v>
      </c>
      <c r="F1655" s="12" t="s">
        <v>3143</v>
      </c>
      <c r="G1655" s="12" t="s">
        <v>5178</v>
      </c>
      <c r="H1655" s="12" t="s">
        <v>4526</v>
      </c>
      <c r="I1655" s="84">
        <v>25505136</v>
      </c>
      <c r="J1655" s="12" t="s">
        <v>5102</v>
      </c>
      <c r="L1655" s="12" t="str">
        <f>IF(OR(ISBLANK(tblSites[[#This Row],[Implementing Partner]]), tblSites[[#This Row],[Implementing Partner]]="-"), tblSites[[#This Row],[Site Agency]], tblSites[[#This Row],[Implementing Partner]])</f>
        <v>No SMA</v>
      </c>
      <c r="M1655" s="12" t="s">
        <v>55</v>
      </c>
      <c r="N1655" s="12" t="str">
        <f>tblSites[[#This Row],[FinalImplementingPartner]]</f>
        <v>No SMA</v>
      </c>
    </row>
    <row r="1656" spans="1:14" x14ac:dyDescent="0.25">
      <c r="A1656" s="12" t="s">
        <v>3930</v>
      </c>
      <c r="B1656" s="12" t="s">
        <v>4527</v>
      </c>
      <c r="C1656" s="12" t="s">
        <v>5041</v>
      </c>
      <c r="D1656" t="s">
        <v>120</v>
      </c>
      <c r="E1656" s="12" t="s">
        <v>3177</v>
      </c>
      <c r="F1656" s="12" t="s">
        <v>302</v>
      </c>
      <c r="G1656" s="12" t="s">
        <v>5444</v>
      </c>
      <c r="H1656" s="12" t="s">
        <v>4527</v>
      </c>
      <c r="I1656" s="84">
        <v>25505137</v>
      </c>
      <c r="J1656" s="12" t="s">
        <v>34</v>
      </c>
      <c r="K1656" s="12" t="s">
        <v>389</v>
      </c>
      <c r="L1656" s="12" t="str">
        <f>IF(OR(ISBLANK(tblSites[[#This Row],[Implementing Partner]]), tblSites[[#This Row],[Implementing Partner]]="-"), tblSites[[#This Row],[Site Agency]], tblSites[[#This Row],[Implementing Partner]])</f>
        <v>DRC</v>
      </c>
      <c r="M1656" s="12" t="s">
        <v>55</v>
      </c>
      <c r="N1656" s="12" t="str">
        <f>tblSites[[#This Row],[FinalImplementingPartner]]</f>
        <v>DRC</v>
      </c>
    </row>
    <row r="1657" spans="1:14" x14ac:dyDescent="0.25">
      <c r="A1657" s="12" t="s">
        <v>3931</v>
      </c>
      <c r="B1657" s="12" t="s">
        <v>4528</v>
      </c>
      <c r="C1657" s="12" t="s">
        <v>5042</v>
      </c>
      <c r="D1657" t="s">
        <v>120</v>
      </c>
      <c r="E1657" s="12" t="s">
        <v>3177</v>
      </c>
      <c r="F1657" s="12" t="s">
        <v>302</v>
      </c>
      <c r="G1657" s="12" t="s">
        <v>5161</v>
      </c>
      <c r="H1657" s="12" t="s">
        <v>4528</v>
      </c>
      <c r="I1657" s="84">
        <v>25505137</v>
      </c>
      <c r="J1657" s="12" t="s">
        <v>5102</v>
      </c>
      <c r="K1657" s="12" t="s">
        <v>389</v>
      </c>
      <c r="L1657" s="12" t="str">
        <f>IF(OR(ISBLANK(tblSites[[#This Row],[Implementing Partner]]), tblSites[[#This Row],[Implementing Partner]]="-"), tblSites[[#This Row],[Site Agency]], tblSites[[#This Row],[Implementing Partner]])</f>
        <v>No SMA</v>
      </c>
      <c r="M1657" s="12" t="s">
        <v>55</v>
      </c>
      <c r="N1657" s="12" t="str">
        <f>tblSites[[#This Row],[FinalImplementingPartner]]</f>
        <v>No SMA</v>
      </c>
    </row>
    <row r="1658" spans="1:14" x14ac:dyDescent="0.25">
      <c r="A1658" s="12" t="s">
        <v>3932</v>
      </c>
      <c r="B1658" s="12" t="s">
        <v>4530</v>
      </c>
      <c r="C1658" s="12" t="s">
        <v>5043</v>
      </c>
      <c r="D1658" t="s">
        <v>120</v>
      </c>
      <c r="E1658" s="12" t="s">
        <v>3177</v>
      </c>
      <c r="F1658" s="12" t="s">
        <v>302</v>
      </c>
      <c r="G1658" s="12" t="s">
        <v>5161</v>
      </c>
      <c r="H1658" s="12" t="s">
        <v>4530</v>
      </c>
      <c r="I1658" s="84">
        <v>25505137</v>
      </c>
      <c r="J1658" s="12" t="s">
        <v>5102</v>
      </c>
      <c r="K1658" s="12" t="s">
        <v>389</v>
      </c>
      <c r="L1658" s="12" t="str">
        <f>IF(OR(ISBLANK(tblSites[[#This Row],[Implementing Partner]]), tblSites[[#This Row],[Implementing Partner]]="-"), tblSites[[#This Row],[Site Agency]], tblSites[[#This Row],[Implementing Partner]])</f>
        <v>No SMA</v>
      </c>
      <c r="M1658" s="12" t="s">
        <v>55</v>
      </c>
      <c r="N1658" s="12" t="str">
        <f>tblSites[[#This Row],[FinalImplementingPartner]]</f>
        <v>No SMA</v>
      </c>
    </row>
    <row r="1659" spans="1:14" x14ac:dyDescent="0.25">
      <c r="A1659" s="47" t="s">
        <v>3933</v>
      </c>
      <c r="B1659" s="12" t="s">
        <v>4531</v>
      </c>
      <c r="C1659" s="12" t="s">
        <v>5044</v>
      </c>
      <c r="D1659" t="s">
        <v>120</v>
      </c>
      <c r="E1659" s="12" t="s">
        <v>3177</v>
      </c>
      <c r="F1659" s="47" t="s">
        <v>436</v>
      </c>
      <c r="G1659" s="12" t="s">
        <v>5163</v>
      </c>
      <c r="H1659" s="12" t="s">
        <v>4531</v>
      </c>
      <c r="I1659" s="84">
        <v>25504177</v>
      </c>
      <c r="J1659" s="12" t="s">
        <v>5102</v>
      </c>
      <c r="L1659" s="12" t="str">
        <f>IF(OR(ISBLANK(tblSites[[#This Row],[Implementing Partner]]), tblSites[[#This Row],[Implementing Partner]]="-"), tblSites[[#This Row],[Site Agency]], tblSites[[#This Row],[Implementing Partner]])</f>
        <v>No SMA</v>
      </c>
      <c r="M1659" s="12" t="s">
        <v>55</v>
      </c>
      <c r="N1659" s="12" t="str">
        <f>tblSites[[#This Row],[FinalImplementingPartner]]</f>
        <v>No SMA</v>
      </c>
    </row>
    <row r="1660" spans="1:14" x14ac:dyDescent="0.25">
      <c r="A1660" s="12" t="s">
        <v>3934</v>
      </c>
      <c r="B1660" s="12" t="s">
        <v>4532</v>
      </c>
      <c r="C1660" s="12" t="s">
        <v>5045</v>
      </c>
      <c r="D1660" t="s">
        <v>120</v>
      </c>
      <c r="E1660" s="12" t="s">
        <v>3177</v>
      </c>
      <c r="F1660" s="12" t="s">
        <v>3143</v>
      </c>
      <c r="G1660" s="12" t="s">
        <v>5178</v>
      </c>
      <c r="H1660" s="12" t="s">
        <v>4532</v>
      </c>
      <c r="I1660" s="84">
        <v>25505136</v>
      </c>
      <c r="J1660" s="12" t="s">
        <v>5102</v>
      </c>
      <c r="L1660" s="12" t="str">
        <f>IF(OR(ISBLANK(tblSites[[#This Row],[Implementing Partner]]), tblSites[[#This Row],[Implementing Partner]]="-"), tblSites[[#This Row],[Site Agency]], tblSites[[#This Row],[Implementing Partner]])</f>
        <v>No SMA</v>
      </c>
      <c r="M1660" s="12" t="s">
        <v>55</v>
      </c>
      <c r="N1660" s="12" t="str">
        <f>tblSites[[#This Row],[FinalImplementingPartner]]</f>
        <v>No SMA</v>
      </c>
    </row>
    <row r="1661" spans="1:14" x14ac:dyDescent="0.25">
      <c r="A1661" s="12" t="s">
        <v>3935</v>
      </c>
      <c r="B1661" s="12" t="s">
        <v>4533</v>
      </c>
      <c r="C1661" s="12" t="s">
        <v>5047</v>
      </c>
      <c r="D1661" t="s">
        <v>120</v>
      </c>
      <c r="E1661" s="12" t="s">
        <v>3177</v>
      </c>
      <c r="F1661" s="12" t="s">
        <v>302</v>
      </c>
      <c r="G1661" s="12" t="s">
        <v>5161</v>
      </c>
      <c r="H1661" s="12" t="s">
        <v>4533</v>
      </c>
      <c r="I1661" s="84">
        <v>25505137</v>
      </c>
      <c r="J1661" s="12" t="s">
        <v>5102</v>
      </c>
      <c r="K1661" s="12" t="s">
        <v>389</v>
      </c>
      <c r="L1661" s="12" t="str">
        <f>IF(OR(ISBLANK(tblSites[[#This Row],[Implementing Partner]]), tblSites[[#This Row],[Implementing Partner]]="-"), tblSites[[#This Row],[Site Agency]], tblSites[[#This Row],[Implementing Partner]])</f>
        <v>No SMA</v>
      </c>
      <c r="M1661" s="12" t="s">
        <v>55</v>
      </c>
      <c r="N1661" s="12" t="str">
        <f>tblSites[[#This Row],[FinalImplementingPartner]]</f>
        <v>No SMA</v>
      </c>
    </row>
    <row r="1662" spans="1:14" x14ac:dyDescent="0.25">
      <c r="A1662" s="12" t="s">
        <v>3936</v>
      </c>
      <c r="B1662" s="12" t="s">
        <v>4534</v>
      </c>
      <c r="C1662" s="12" t="s">
        <v>5048</v>
      </c>
      <c r="D1662" t="s">
        <v>120</v>
      </c>
      <c r="E1662" s="12" t="s">
        <v>3177</v>
      </c>
      <c r="F1662" s="12" t="s">
        <v>2235</v>
      </c>
      <c r="G1662" s="12" t="s">
        <v>5168</v>
      </c>
      <c r="H1662" s="12" t="s">
        <v>4534</v>
      </c>
      <c r="I1662" s="84">
        <v>25505143</v>
      </c>
      <c r="J1662" s="12" t="s">
        <v>5102</v>
      </c>
      <c r="L1662" s="12" t="str">
        <f>IF(OR(ISBLANK(tblSites[[#This Row],[Implementing Partner]]), tblSites[[#This Row],[Implementing Partner]]="-"), tblSites[[#This Row],[Site Agency]], tblSites[[#This Row],[Implementing Partner]])</f>
        <v>No SMA</v>
      </c>
      <c r="M1662" s="12" t="s">
        <v>55</v>
      </c>
      <c r="N1662" s="12" t="str">
        <f>tblSites[[#This Row],[FinalImplementingPartner]]</f>
        <v>No SMA</v>
      </c>
    </row>
    <row r="1663" spans="1:14" x14ac:dyDescent="0.25">
      <c r="A1663" s="12" t="s">
        <v>3937</v>
      </c>
      <c r="B1663" s="12" t="s">
        <v>4535</v>
      </c>
      <c r="C1663" s="12" t="s">
        <v>5049</v>
      </c>
      <c r="D1663" t="s">
        <v>120</v>
      </c>
      <c r="E1663" s="12" t="s">
        <v>3177</v>
      </c>
      <c r="F1663" s="12" t="s">
        <v>2235</v>
      </c>
      <c r="G1663" s="12" t="s">
        <v>5168</v>
      </c>
      <c r="H1663" s="12" t="s">
        <v>4535</v>
      </c>
      <c r="I1663" s="84">
        <v>25505143</v>
      </c>
      <c r="J1663" s="12" t="s">
        <v>5102</v>
      </c>
      <c r="K1663" s="12" t="s">
        <v>389</v>
      </c>
      <c r="L1663" s="12" t="str">
        <f>IF(OR(ISBLANK(tblSites[[#This Row],[Implementing Partner]]), tblSites[[#This Row],[Implementing Partner]]="-"), tblSites[[#This Row],[Site Agency]], tblSites[[#This Row],[Implementing Partner]])</f>
        <v>No SMA</v>
      </c>
      <c r="M1663" s="12" t="s">
        <v>55</v>
      </c>
      <c r="N1663" s="12" t="str">
        <f>tblSites[[#This Row],[FinalImplementingPartner]]</f>
        <v>No SMA</v>
      </c>
    </row>
    <row r="1664" spans="1:14" x14ac:dyDescent="0.25">
      <c r="A1664" s="12" t="s">
        <v>3938</v>
      </c>
      <c r="B1664" s="12" t="s">
        <v>4536</v>
      </c>
      <c r="C1664" s="12" t="s">
        <v>5050</v>
      </c>
      <c r="D1664" t="s">
        <v>120</v>
      </c>
      <c r="E1664" s="12" t="s">
        <v>3177</v>
      </c>
      <c r="F1664" s="12" t="s">
        <v>2235</v>
      </c>
      <c r="G1664" s="12" t="s">
        <v>5168</v>
      </c>
      <c r="H1664" s="12" t="s">
        <v>4536</v>
      </c>
      <c r="I1664" s="84">
        <v>25505143</v>
      </c>
      <c r="J1664" s="12" t="s">
        <v>5102</v>
      </c>
      <c r="K1664" s="12" t="s">
        <v>389</v>
      </c>
      <c r="L1664" s="12" t="str">
        <f>IF(OR(ISBLANK(tblSites[[#This Row],[Implementing Partner]]), tblSites[[#This Row],[Implementing Partner]]="-"), tblSites[[#This Row],[Site Agency]], tblSites[[#This Row],[Implementing Partner]])</f>
        <v>No SMA</v>
      </c>
      <c r="M1664" s="12" t="s">
        <v>55</v>
      </c>
      <c r="N1664" s="12" t="str">
        <f>tblSites[[#This Row],[FinalImplementingPartner]]</f>
        <v>No SMA</v>
      </c>
    </row>
    <row r="1665" spans="1:14" x14ac:dyDescent="0.25">
      <c r="A1665" s="12" t="s">
        <v>3939</v>
      </c>
      <c r="B1665" s="12" t="s">
        <v>4538</v>
      </c>
      <c r="C1665" s="12" t="s">
        <v>5051</v>
      </c>
      <c r="D1665" t="s">
        <v>120</v>
      </c>
      <c r="E1665" s="12" t="s">
        <v>3177</v>
      </c>
      <c r="F1665" s="12" t="s">
        <v>2235</v>
      </c>
      <c r="G1665" s="12" t="s">
        <v>5168</v>
      </c>
      <c r="H1665" s="12" t="s">
        <v>4538</v>
      </c>
      <c r="I1665" s="84">
        <v>25505143</v>
      </c>
      <c r="J1665" s="12" t="s">
        <v>5102</v>
      </c>
      <c r="K1665" s="12" t="s">
        <v>389</v>
      </c>
      <c r="L1665" s="12" t="str">
        <f>IF(OR(ISBLANK(tblSites[[#This Row],[Implementing Partner]]), tblSites[[#This Row],[Implementing Partner]]="-"), tblSites[[#This Row],[Site Agency]], tblSites[[#This Row],[Implementing Partner]])</f>
        <v>No SMA</v>
      </c>
      <c r="M1665" s="12" t="s">
        <v>55</v>
      </c>
      <c r="N1665" s="12" t="str">
        <f>tblSites[[#This Row],[FinalImplementingPartner]]</f>
        <v>No SMA</v>
      </c>
    </row>
    <row r="1666" spans="1:14" x14ac:dyDescent="0.25">
      <c r="A1666" s="12" t="s">
        <v>3940</v>
      </c>
      <c r="B1666" s="12" t="s">
        <v>1910</v>
      </c>
      <c r="C1666" s="12" t="s">
        <v>5053</v>
      </c>
      <c r="D1666" t="s">
        <v>120</v>
      </c>
      <c r="E1666" s="12" t="s">
        <v>3177</v>
      </c>
      <c r="F1666" s="12" t="s">
        <v>1862</v>
      </c>
      <c r="G1666" s="12" t="s">
        <v>5154</v>
      </c>
      <c r="H1666" s="12" t="s">
        <v>1910</v>
      </c>
      <c r="I1666" s="84">
        <v>25501135</v>
      </c>
      <c r="J1666" s="12" t="s">
        <v>5102</v>
      </c>
      <c r="K1666" s="12" t="s">
        <v>389</v>
      </c>
      <c r="L1666" s="12" t="str">
        <f>IF(OR(ISBLANK(tblSites[[#This Row],[Implementing Partner]]), tblSites[[#This Row],[Implementing Partner]]="-"), tblSites[[#This Row],[Site Agency]], tblSites[[#This Row],[Implementing Partner]])</f>
        <v>No SMA</v>
      </c>
      <c r="M1666" s="12" t="s">
        <v>55</v>
      </c>
      <c r="N1666" s="12" t="str">
        <f>tblSites[[#This Row],[FinalImplementingPartner]]</f>
        <v>No SMA</v>
      </c>
    </row>
    <row r="1667" spans="1:14" x14ac:dyDescent="0.25">
      <c r="A1667" s="12" t="s">
        <v>3941</v>
      </c>
      <c r="B1667" s="12" t="s">
        <v>4540</v>
      </c>
      <c r="C1667" s="12" t="s">
        <v>5054</v>
      </c>
      <c r="D1667" t="s">
        <v>120</v>
      </c>
      <c r="E1667" s="12" t="s">
        <v>3177</v>
      </c>
      <c r="F1667" s="12" t="s">
        <v>2235</v>
      </c>
      <c r="G1667" s="12" t="s">
        <v>5168</v>
      </c>
      <c r="H1667" s="12" t="s">
        <v>4540</v>
      </c>
      <c r="I1667" s="84">
        <v>25505143</v>
      </c>
      <c r="J1667" s="12" t="s">
        <v>5102</v>
      </c>
      <c r="L1667" s="12" t="str">
        <f>IF(OR(ISBLANK(tblSites[[#This Row],[Implementing Partner]]), tblSites[[#This Row],[Implementing Partner]]="-"), tblSites[[#This Row],[Site Agency]], tblSites[[#This Row],[Implementing Partner]])</f>
        <v>No SMA</v>
      </c>
      <c r="M1667" s="12" t="s">
        <v>55</v>
      </c>
      <c r="N1667" s="12" t="str">
        <f>tblSites[[#This Row],[FinalImplementingPartner]]</f>
        <v>No SMA</v>
      </c>
    </row>
    <row r="1668" spans="1:14" x14ac:dyDescent="0.25">
      <c r="A1668" s="12" t="s">
        <v>3942</v>
      </c>
      <c r="B1668" s="12" t="s">
        <v>4541</v>
      </c>
      <c r="C1668" s="12" t="s">
        <v>5055</v>
      </c>
      <c r="D1668" t="s">
        <v>120</v>
      </c>
      <c r="E1668" s="12" t="s">
        <v>3177</v>
      </c>
      <c r="F1668" s="12" t="s">
        <v>462</v>
      </c>
      <c r="G1668" s="12" t="s">
        <v>5180</v>
      </c>
      <c r="H1668" s="12" t="s">
        <v>4541</v>
      </c>
      <c r="I1668" s="84">
        <v>25501133</v>
      </c>
      <c r="J1668" s="12" t="s">
        <v>5102</v>
      </c>
      <c r="K1668" s="12" t="s">
        <v>389</v>
      </c>
      <c r="L1668" s="12" t="str">
        <f>IF(OR(ISBLANK(tblSites[[#This Row],[Implementing Partner]]), tblSites[[#This Row],[Implementing Partner]]="-"), tblSites[[#This Row],[Site Agency]], tblSites[[#This Row],[Implementing Partner]])</f>
        <v>No SMA</v>
      </c>
      <c r="M1668" s="12" t="s">
        <v>55</v>
      </c>
      <c r="N1668" s="12" t="str">
        <f>tblSites[[#This Row],[FinalImplementingPartner]]</f>
        <v>No SMA</v>
      </c>
    </row>
    <row r="1669" spans="1:14" x14ac:dyDescent="0.25">
      <c r="A1669" s="12" t="s">
        <v>3943</v>
      </c>
      <c r="B1669" s="12" t="s">
        <v>4542</v>
      </c>
      <c r="C1669" s="12" t="s">
        <v>5056</v>
      </c>
      <c r="D1669" t="s">
        <v>120</v>
      </c>
      <c r="E1669" s="12" t="s">
        <v>3177</v>
      </c>
      <c r="F1669" s="12" t="s">
        <v>1862</v>
      </c>
      <c r="G1669" s="12" t="s">
        <v>5154</v>
      </c>
      <c r="H1669" s="12" t="s">
        <v>4542</v>
      </c>
      <c r="I1669" s="84">
        <v>25501135</v>
      </c>
      <c r="J1669" s="12" t="s">
        <v>5102</v>
      </c>
      <c r="K1669" s="12" t="s">
        <v>389</v>
      </c>
      <c r="L1669" s="12" t="str">
        <f>IF(OR(ISBLANK(tblSites[[#This Row],[Implementing Partner]]), tblSites[[#This Row],[Implementing Partner]]="-"), tblSites[[#This Row],[Site Agency]], tblSites[[#This Row],[Implementing Partner]])</f>
        <v>No SMA</v>
      </c>
      <c r="M1669" s="12" t="s">
        <v>55</v>
      </c>
      <c r="N1669" s="12" t="str">
        <f>tblSites[[#This Row],[FinalImplementingPartner]]</f>
        <v>No SMA</v>
      </c>
    </row>
    <row r="1670" spans="1:14" x14ac:dyDescent="0.25">
      <c r="A1670" s="12" t="s">
        <v>3944</v>
      </c>
      <c r="B1670" s="12" t="s">
        <v>4543</v>
      </c>
      <c r="C1670" s="12" t="s">
        <v>5057</v>
      </c>
      <c r="D1670" t="s">
        <v>120</v>
      </c>
      <c r="E1670" s="12" t="s">
        <v>3177</v>
      </c>
      <c r="F1670" s="12" t="s">
        <v>302</v>
      </c>
      <c r="G1670" s="12" t="s">
        <v>5161</v>
      </c>
      <c r="H1670" s="12" t="s">
        <v>4543</v>
      </c>
      <c r="I1670" s="84">
        <v>25505137</v>
      </c>
      <c r="J1670" s="12" t="s">
        <v>5102</v>
      </c>
      <c r="K1670" s="12" t="s">
        <v>389</v>
      </c>
      <c r="L1670" s="12" t="str">
        <f>IF(OR(ISBLANK(tblSites[[#This Row],[Implementing Partner]]), tblSites[[#This Row],[Implementing Partner]]="-"), tblSites[[#This Row],[Site Agency]], tblSites[[#This Row],[Implementing Partner]])</f>
        <v>No SMA</v>
      </c>
      <c r="M1670" s="12" t="s">
        <v>55</v>
      </c>
      <c r="N1670" s="12" t="str">
        <f>tblSites[[#This Row],[FinalImplementingPartner]]</f>
        <v>No SMA</v>
      </c>
    </row>
    <row r="1671" spans="1:14" x14ac:dyDescent="0.25">
      <c r="A1671" s="12" t="s">
        <v>3945</v>
      </c>
      <c r="B1671" s="12" t="s">
        <v>4544</v>
      </c>
      <c r="C1671" s="12" t="s">
        <v>5058</v>
      </c>
      <c r="D1671" t="s">
        <v>120</v>
      </c>
      <c r="E1671" s="12" t="s">
        <v>3177</v>
      </c>
      <c r="F1671" s="12" t="s">
        <v>390</v>
      </c>
      <c r="G1671" s="12" t="s">
        <v>5160</v>
      </c>
      <c r="H1671" s="12" t="s">
        <v>4544</v>
      </c>
      <c r="I1671" s="84">
        <v>2550126</v>
      </c>
      <c r="J1671" s="12" t="s">
        <v>5102</v>
      </c>
      <c r="K1671" s="12" t="s">
        <v>389</v>
      </c>
      <c r="L1671" s="12" t="str">
        <f>IF(OR(ISBLANK(tblSites[[#This Row],[Implementing Partner]]), tblSites[[#This Row],[Implementing Partner]]="-"), tblSites[[#This Row],[Site Agency]], tblSites[[#This Row],[Implementing Partner]])</f>
        <v>No SMA</v>
      </c>
      <c r="M1671" s="12" t="s">
        <v>55</v>
      </c>
      <c r="N1671" s="12" t="str">
        <f>tblSites[[#This Row],[FinalImplementingPartner]]</f>
        <v>No SMA</v>
      </c>
    </row>
    <row r="1672" spans="1:14" x14ac:dyDescent="0.25">
      <c r="A1672" s="12" t="s">
        <v>3946</v>
      </c>
      <c r="B1672" s="12" t="s">
        <v>4545</v>
      </c>
      <c r="C1672" s="12" t="s">
        <v>5059</v>
      </c>
      <c r="D1672" t="s">
        <v>120</v>
      </c>
      <c r="E1672" s="12" t="s">
        <v>3177</v>
      </c>
      <c r="F1672" s="12" t="s">
        <v>1862</v>
      </c>
      <c r="G1672" s="12" t="s">
        <v>5154</v>
      </c>
      <c r="H1672" s="12" t="s">
        <v>4545</v>
      </c>
      <c r="I1672" s="84">
        <v>2550536</v>
      </c>
      <c r="J1672" s="12" t="s">
        <v>5102</v>
      </c>
      <c r="K1672" s="12" t="s">
        <v>389</v>
      </c>
      <c r="L1672" s="12" t="str">
        <f>IF(OR(ISBLANK(tblSites[[#This Row],[Implementing Partner]]), tblSites[[#This Row],[Implementing Partner]]="-"), tblSites[[#This Row],[Site Agency]], tblSites[[#This Row],[Implementing Partner]])</f>
        <v>No SMA</v>
      </c>
      <c r="M1672" s="12" t="s">
        <v>55</v>
      </c>
      <c r="N1672" s="12" t="str">
        <f>tblSites[[#This Row],[FinalImplementingPartner]]</f>
        <v>No SMA</v>
      </c>
    </row>
    <row r="1673" spans="1:14" x14ac:dyDescent="0.25">
      <c r="A1673" s="12" t="s">
        <v>3947</v>
      </c>
      <c r="B1673" s="12" t="s">
        <v>4547</v>
      </c>
      <c r="C1673" s="12" t="s">
        <v>5061</v>
      </c>
      <c r="D1673" t="s">
        <v>120</v>
      </c>
      <c r="E1673" s="12" t="s">
        <v>3177</v>
      </c>
      <c r="F1673" s="12" t="s">
        <v>309</v>
      </c>
      <c r="G1673" s="12" t="s">
        <v>5173</v>
      </c>
      <c r="H1673" s="12" t="s">
        <v>4547</v>
      </c>
      <c r="I1673" s="84">
        <v>2550129</v>
      </c>
      <c r="J1673" s="12" t="s">
        <v>5102</v>
      </c>
      <c r="K1673" s="12" t="s">
        <v>389</v>
      </c>
      <c r="L1673" s="12" t="str">
        <f>IF(OR(ISBLANK(tblSites[[#This Row],[Implementing Partner]]), tblSites[[#This Row],[Implementing Partner]]="-"), tblSites[[#This Row],[Site Agency]], tblSites[[#This Row],[Implementing Partner]])</f>
        <v>No SMA</v>
      </c>
      <c r="M1673" s="12" t="s">
        <v>55</v>
      </c>
      <c r="N1673" s="12" t="str">
        <f>tblSites[[#This Row],[FinalImplementingPartner]]</f>
        <v>No SMA</v>
      </c>
    </row>
    <row r="1674" spans="1:14" x14ac:dyDescent="0.25">
      <c r="A1674" s="12" t="s">
        <v>3948</v>
      </c>
      <c r="B1674" s="12" t="s">
        <v>4550</v>
      </c>
      <c r="C1674" s="12" t="s">
        <v>5064</v>
      </c>
      <c r="D1674" t="s">
        <v>120</v>
      </c>
      <c r="E1674" s="12" t="s">
        <v>3177</v>
      </c>
      <c r="F1674" s="12" t="s">
        <v>3143</v>
      </c>
      <c r="G1674" s="12" t="s">
        <v>5178</v>
      </c>
      <c r="H1674" s="12" t="s">
        <v>4550</v>
      </c>
      <c r="I1674" s="84">
        <v>25505136</v>
      </c>
      <c r="J1674" s="12" t="s">
        <v>5102</v>
      </c>
      <c r="L1674" s="12" t="str">
        <f>IF(OR(ISBLANK(tblSites[[#This Row],[Implementing Partner]]), tblSites[[#This Row],[Implementing Partner]]="-"), tblSites[[#This Row],[Site Agency]], tblSites[[#This Row],[Implementing Partner]])</f>
        <v>No SMA</v>
      </c>
      <c r="M1674" s="12" t="s">
        <v>55</v>
      </c>
      <c r="N1674" s="12" t="str">
        <f>tblSites[[#This Row],[FinalImplementingPartner]]</f>
        <v>No SMA</v>
      </c>
    </row>
    <row r="1675" spans="1:14" x14ac:dyDescent="0.25">
      <c r="A1675" s="12" t="s">
        <v>3949</v>
      </c>
      <c r="B1675" s="12" t="s">
        <v>4551</v>
      </c>
      <c r="C1675" s="12" t="s">
        <v>5065</v>
      </c>
      <c r="D1675" t="s">
        <v>120</v>
      </c>
      <c r="E1675" s="12" t="s">
        <v>3177</v>
      </c>
      <c r="F1675" s="12" t="s">
        <v>436</v>
      </c>
      <c r="G1675" s="12" t="s">
        <v>5163</v>
      </c>
      <c r="H1675" s="12" t="s">
        <v>4551</v>
      </c>
      <c r="I1675" s="84">
        <v>25504177</v>
      </c>
      <c r="J1675" s="12" t="s">
        <v>5102</v>
      </c>
      <c r="K1675" s="12" t="s">
        <v>389</v>
      </c>
      <c r="L1675" s="12" t="str">
        <f>IF(OR(ISBLANK(tblSites[[#This Row],[Implementing Partner]]), tblSites[[#This Row],[Implementing Partner]]="-"), tblSites[[#This Row],[Site Agency]], tblSites[[#This Row],[Implementing Partner]])</f>
        <v>No SMA</v>
      </c>
      <c r="M1675" s="12" t="s">
        <v>55</v>
      </c>
      <c r="N1675" s="12" t="str">
        <f>tblSites[[#This Row],[FinalImplementingPartner]]</f>
        <v>No SMA</v>
      </c>
    </row>
    <row r="1676" spans="1:14" x14ac:dyDescent="0.25">
      <c r="A1676" s="12" t="s">
        <v>3950</v>
      </c>
      <c r="B1676" s="12" t="s">
        <v>4552</v>
      </c>
      <c r="C1676" s="12" t="s">
        <v>4624</v>
      </c>
      <c r="D1676" t="s">
        <v>120</v>
      </c>
      <c r="E1676" s="12" t="s">
        <v>3177</v>
      </c>
      <c r="F1676" s="12" t="s">
        <v>1712</v>
      </c>
      <c r="G1676" s="12" t="s">
        <v>5158</v>
      </c>
      <c r="H1676" s="12" t="s">
        <v>4552</v>
      </c>
      <c r="I1676" s="84">
        <v>25505139</v>
      </c>
      <c r="J1676" s="12" t="s">
        <v>5102</v>
      </c>
      <c r="K1676" s="12" t="s">
        <v>389</v>
      </c>
      <c r="L1676" s="12" t="str">
        <f>IF(OR(ISBLANK(tblSites[[#This Row],[Implementing Partner]]), tblSites[[#This Row],[Implementing Partner]]="-"), tblSites[[#This Row],[Site Agency]], tblSites[[#This Row],[Implementing Partner]])</f>
        <v>No SMA</v>
      </c>
      <c r="M1676" s="12" t="s">
        <v>55</v>
      </c>
      <c r="N1676" s="12" t="str">
        <f>tblSites[[#This Row],[FinalImplementingPartner]]</f>
        <v>No SMA</v>
      </c>
    </row>
    <row r="1677" spans="1:14" x14ac:dyDescent="0.25">
      <c r="A1677" s="12" t="s">
        <v>3951</v>
      </c>
      <c r="B1677" s="12" t="s">
        <v>4553</v>
      </c>
      <c r="C1677" s="12" t="s">
        <v>5066</v>
      </c>
      <c r="D1677" t="s">
        <v>120</v>
      </c>
      <c r="E1677" s="12" t="s">
        <v>3177</v>
      </c>
      <c r="F1677" s="12" t="s">
        <v>1712</v>
      </c>
      <c r="G1677" s="12" t="s">
        <v>5158</v>
      </c>
      <c r="H1677" s="12" t="s">
        <v>4553</v>
      </c>
      <c r="I1677" s="84">
        <v>25505139</v>
      </c>
      <c r="J1677" s="12" t="s">
        <v>5102</v>
      </c>
      <c r="K1677" s="12" t="s">
        <v>389</v>
      </c>
      <c r="L1677" s="12" t="str">
        <f>IF(OR(ISBLANK(tblSites[[#This Row],[Implementing Partner]]), tblSites[[#This Row],[Implementing Partner]]="-"), tblSites[[#This Row],[Site Agency]], tblSites[[#This Row],[Implementing Partner]])</f>
        <v>No SMA</v>
      </c>
      <c r="M1677" s="12" t="s">
        <v>55</v>
      </c>
      <c r="N1677" s="12" t="str">
        <f>tblSites[[#This Row],[FinalImplementingPartner]]</f>
        <v>No SMA</v>
      </c>
    </row>
    <row r="1678" spans="1:14" x14ac:dyDescent="0.25">
      <c r="A1678" s="12" t="s">
        <v>3952</v>
      </c>
      <c r="B1678" s="12" t="s">
        <v>4554</v>
      </c>
      <c r="C1678" s="12" t="s">
        <v>5067</v>
      </c>
      <c r="D1678" t="s">
        <v>120</v>
      </c>
      <c r="E1678" s="12" t="s">
        <v>3177</v>
      </c>
      <c r="F1678" s="12" t="s">
        <v>1712</v>
      </c>
      <c r="G1678" s="12" t="s">
        <v>5158</v>
      </c>
      <c r="H1678" s="12" t="s">
        <v>4554</v>
      </c>
      <c r="I1678" s="84">
        <v>25505139</v>
      </c>
      <c r="J1678" s="12" t="s">
        <v>5102</v>
      </c>
      <c r="L1678" s="12" t="str">
        <f>IF(OR(ISBLANK(tblSites[[#This Row],[Implementing Partner]]), tblSites[[#This Row],[Implementing Partner]]="-"), tblSites[[#This Row],[Site Agency]], tblSites[[#This Row],[Implementing Partner]])</f>
        <v>No SMA</v>
      </c>
      <c r="M1678" s="12" t="s">
        <v>55</v>
      </c>
      <c r="N1678" s="12" t="str">
        <f>tblSites[[#This Row],[FinalImplementingPartner]]</f>
        <v>No SMA</v>
      </c>
    </row>
    <row r="1679" spans="1:14" x14ac:dyDescent="0.25">
      <c r="A1679" s="12" t="s">
        <v>3953</v>
      </c>
      <c r="B1679" s="12" t="s">
        <v>4555</v>
      </c>
      <c r="C1679" s="12" t="s">
        <v>5068</v>
      </c>
      <c r="D1679" t="s">
        <v>120</v>
      </c>
      <c r="E1679" s="12" t="s">
        <v>3177</v>
      </c>
      <c r="F1679" s="12" t="s">
        <v>2235</v>
      </c>
      <c r="G1679" s="12" t="s">
        <v>5168</v>
      </c>
      <c r="H1679" s="12" t="s">
        <v>4555</v>
      </c>
      <c r="I1679" s="84">
        <v>25505143</v>
      </c>
      <c r="J1679" s="12" t="s">
        <v>5102</v>
      </c>
      <c r="L1679" s="12" t="str">
        <f>IF(OR(ISBLANK(tblSites[[#This Row],[Implementing Partner]]), tblSites[[#This Row],[Implementing Partner]]="-"), tblSites[[#This Row],[Site Agency]], tblSites[[#This Row],[Implementing Partner]])</f>
        <v>No SMA</v>
      </c>
      <c r="M1679" s="12" t="s">
        <v>55</v>
      </c>
      <c r="N1679" s="12" t="str">
        <f>tblSites[[#This Row],[FinalImplementingPartner]]</f>
        <v>No SMA</v>
      </c>
    </row>
    <row r="1680" spans="1:14" x14ac:dyDescent="0.25">
      <c r="A1680" s="12" t="s">
        <v>3954</v>
      </c>
      <c r="B1680" s="12" t="s">
        <v>4556</v>
      </c>
      <c r="C1680" s="12" t="s">
        <v>5069</v>
      </c>
      <c r="D1680" t="s">
        <v>120</v>
      </c>
      <c r="E1680" s="12" t="s">
        <v>3177</v>
      </c>
      <c r="F1680" s="12" t="s">
        <v>2235</v>
      </c>
      <c r="G1680" s="12" t="s">
        <v>5168</v>
      </c>
      <c r="H1680" s="12" t="s">
        <v>4556</v>
      </c>
      <c r="I1680" s="84">
        <v>25505143</v>
      </c>
      <c r="J1680" s="12" t="s">
        <v>5102</v>
      </c>
      <c r="K1680" s="12" t="s">
        <v>389</v>
      </c>
      <c r="L1680" s="12" t="str">
        <f>IF(OR(ISBLANK(tblSites[[#This Row],[Implementing Partner]]), tblSites[[#This Row],[Implementing Partner]]="-"), tblSites[[#This Row],[Site Agency]], tblSites[[#This Row],[Implementing Partner]])</f>
        <v>No SMA</v>
      </c>
      <c r="M1680" s="12" t="s">
        <v>55</v>
      </c>
      <c r="N1680" s="12" t="str">
        <f>tblSites[[#This Row],[FinalImplementingPartner]]</f>
        <v>No SMA</v>
      </c>
    </row>
    <row r="1681" spans="1:14" x14ac:dyDescent="0.25">
      <c r="A1681" s="12" t="s">
        <v>3955</v>
      </c>
      <c r="B1681" s="12" t="s">
        <v>4558</v>
      </c>
      <c r="C1681" s="12" t="s">
        <v>5071</v>
      </c>
      <c r="D1681" t="s">
        <v>120</v>
      </c>
      <c r="E1681" s="12" t="s">
        <v>3177</v>
      </c>
      <c r="F1681" s="12" t="s">
        <v>1862</v>
      </c>
      <c r="G1681" s="12" t="s">
        <v>5154</v>
      </c>
      <c r="H1681" s="12" t="s">
        <v>4558</v>
      </c>
      <c r="I1681" s="84">
        <v>2550536</v>
      </c>
      <c r="J1681" s="12" t="s">
        <v>5102</v>
      </c>
      <c r="K1681" s="12" t="s">
        <v>389</v>
      </c>
      <c r="L1681" s="12" t="str">
        <f>IF(OR(ISBLANK(tblSites[[#This Row],[Implementing Partner]]), tblSites[[#This Row],[Implementing Partner]]="-"), tblSites[[#This Row],[Site Agency]], tblSites[[#This Row],[Implementing Partner]])</f>
        <v>No SMA</v>
      </c>
      <c r="M1681" s="12" t="s">
        <v>55</v>
      </c>
      <c r="N1681" s="12" t="str">
        <f>tblSites[[#This Row],[FinalImplementingPartner]]</f>
        <v>No SMA</v>
      </c>
    </row>
    <row r="1682" spans="1:14" x14ac:dyDescent="0.25">
      <c r="A1682" s="12" t="s">
        <v>3956</v>
      </c>
      <c r="B1682" s="12" t="s">
        <v>4559</v>
      </c>
      <c r="C1682" s="12" t="s">
        <v>5072</v>
      </c>
      <c r="D1682" t="s">
        <v>120</v>
      </c>
      <c r="E1682" s="12" t="s">
        <v>3177</v>
      </c>
      <c r="F1682" s="12" t="s">
        <v>302</v>
      </c>
      <c r="G1682" s="12" t="s">
        <v>5444</v>
      </c>
      <c r="H1682" s="12" t="s">
        <v>4559</v>
      </c>
      <c r="I1682" s="84">
        <v>25505137</v>
      </c>
      <c r="J1682" s="12" t="s">
        <v>34</v>
      </c>
      <c r="K1682" s="12" t="s">
        <v>389</v>
      </c>
      <c r="L1682" s="12" t="str">
        <f>IF(OR(ISBLANK(tblSites[[#This Row],[Implementing Partner]]), tblSites[[#This Row],[Implementing Partner]]="-"), tblSites[[#This Row],[Site Agency]], tblSites[[#This Row],[Implementing Partner]])</f>
        <v>DRC</v>
      </c>
      <c r="M1682" s="12" t="s">
        <v>55</v>
      </c>
      <c r="N1682" s="12" t="str">
        <f>tblSites[[#This Row],[FinalImplementingPartner]]</f>
        <v>DRC</v>
      </c>
    </row>
    <row r="1683" spans="1:14" x14ac:dyDescent="0.25">
      <c r="A1683" s="12" t="s">
        <v>3957</v>
      </c>
      <c r="B1683" s="12" t="s">
        <v>4560</v>
      </c>
      <c r="C1683" s="12" t="s">
        <v>5073</v>
      </c>
      <c r="D1683" t="s">
        <v>120</v>
      </c>
      <c r="E1683" s="12" t="s">
        <v>3177</v>
      </c>
      <c r="F1683" s="12" t="s">
        <v>390</v>
      </c>
      <c r="G1683" s="12" t="s">
        <v>5160</v>
      </c>
      <c r="H1683" s="12" t="s">
        <v>4560</v>
      </c>
      <c r="I1683" s="84">
        <v>2550126</v>
      </c>
      <c r="J1683" s="12" t="s">
        <v>5102</v>
      </c>
      <c r="K1683" s="12" t="s">
        <v>389</v>
      </c>
      <c r="L1683" s="12" t="str">
        <f>IF(OR(ISBLANK(tblSites[[#This Row],[Implementing Partner]]), tblSites[[#This Row],[Implementing Partner]]="-"), tblSites[[#This Row],[Site Agency]], tblSites[[#This Row],[Implementing Partner]])</f>
        <v>No SMA</v>
      </c>
      <c r="M1683" s="12" t="s">
        <v>55</v>
      </c>
      <c r="N1683" s="12" t="str">
        <f>tblSites[[#This Row],[FinalImplementingPartner]]</f>
        <v>No SMA</v>
      </c>
    </row>
    <row r="1684" spans="1:14" x14ac:dyDescent="0.25">
      <c r="A1684" s="12" t="s">
        <v>3958</v>
      </c>
      <c r="B1684" s="12" t="s">
        <v>4561</v>
      </c>
      <c r="C1684" s="12" t="s">
        <v>5074</v>
      </c>
      <c r="D1684" t="s">
        <v>120</v>
      </c>
      <c r="E1684" s="12" t="s">
        <v>3177</v>
      </c>
      <c r="F1684" s="12" t="s">
        <v>302</v>
      </c>
      <c r="G1684" s="12" t="s">
        <v>5161</v>
      </c>
      <c r="H1684" s="12" t="s">
        <v>4561</v>
      </c>
      <c r="I1684" s="84">
        <v>25505137</v>
      </c>
      <c r="J1684" s="12" t="s">
        <v>5102</v>
      </c>
      <c r="K1684" s="12" t="s">
        <v>389</v>
      </c>
      <c r="L1684" s="12" t="str">
        <f>IF(OR(ISBLANK(tblSites[[#This Row],[Implementing Partner]]), tblSites[[#This Row],[Implementing Partner]]="-"), tblSites[[#This Row],[Site Agency]], tblSites[[#This Row],[Implementing Partner]])</f>
        <v>No SMA</v>
      </c>
      <c r="M1684" s="12" t="s">
        <v>55</v>
      </c>
      <c r="N1684" s="12" t="str">
        <f>tblSites[[#This Row],[FinalImplementingPartner]]</f>
        <v>No SMA</v>
      </c>
    </row>
    <row r="1685" spans="1:14" x14ac:dyDescent="0.25">
      <c r="A1685" s="12" t="s">
        <v>3959</v>
      </c>
      <c r="B1685" s="12" t="s">
        <v>4562</v>
      </c>
      <c r="C1685" s="12" t="s">
        <v>5075</v>
      </c>
      <c r="D1685" t="s">
        <v>120</v>
      </c>
      <c r="E1685" s="12" t="s">
        <v>3177</v>
      </c>
      <c r="F1685" s="12" t="s">
        <v>2235</v>
      </c>
      <c r="G1685" s="12" t="s">
        <v>5181</v>
      </c>
      <c r="H1685" s="12" t="s">
        <v>4562</v>
      </c>
      <c r="I1685" s="84">
        <v>25505143</v>
      </c>
      <c r="J1685" s="12" t="s">
        <v>34</v>
      </c>
      <c r="K1685" s="12" t="s">
        <v>389</v>
      </c>
      <c r="L1685" s="12" t="str">
        <f>IF(OR(ISBLANK(tblSites[[#This Row],[Implementing Partner]]), tblSites[[#This Row],[Implementing Partner]]="-"), tblSites[[#This Row],[Site Agency]], tblSites[[#This Row],[Implementing Partner]])</f>
        <v>DRC</v>
      </c>
      <c r="M1685" s="12" t="s">
        <v>55</v>
      </c>
      <c r="N1685" s="12" t="str">
        <f>tblSites[[#This Row],[FinalImplementingPartner]]</f>
        <v>DRC</v>
      </c>
    </row>
    <row r="1686" spans="1:14" x14ac:dyDescent="0.25">
      <c r="A1686" s="12" t="s">
        <v>3960</v>
      </c>
      <c r="B1686" s="12" t="s">
        <v>4563</v>
      </c>
      <c r="C1686" s="12" t="s">
        <v>5076</v>
      </c>
      <c r="D1686" t="s">
        <v>120</v>
      </c>
      <c r="E1686" s="12" t="s">
        <v>3177</v>
      </c>
      <c r="F1686" s="12" t="s">
        <v>2235</v>
      </c>
      <c r="G1686" s="12" t="s">
        <v>5181</v>
      </c>
      <c r="H1686" s="12" t="s">
        <v>4563</v>
      </c>
      <c r="I1686" s="84">
        <v>25505143</v>
      </c>
      <c r="J1686" s="12" t="s">
        <v>34</v>
      </c>
      <c r="K1686" s="12" t="s">
        <v>389</v>
      </c>
      <c r="L1686" s="12" t="str">
        <f>IF(OR(ISBLANK(tblSites[[#This Row],[Implementing Partner]]), tblSites[[#This Row],[Implementing Partner]]="-"), tblSites[[#This Row],[Site Agency]], tblSites[[#This Row],[Implementing Partner]])</f>
        <v>DRC</v>
      </c>
      <c r="M1686" s="12" t="s">
        <v>55</v>
      </c>
      <c r="N1686" s="12" t="str">
        <f>tblSites[[#This Row],[FinalImplementingPartner]]</f>
        <v>DRC</v>
      </c>
    </row>
    <row r="1687" spans="1:14" x14ac:dyDescent="0.25">
      <c r="A1687" s="12" t="s">
        <v>3961</v>
      </c>
      <c r="B1687" s="12" t="s">
        <v>4564</v>
      </c>
      <c r="C1687" s="12" t="s">
        <v>5077</v>
      </c>
      <c r="D1687" t="s">
        <v>120</v>
      </c>
      <c r="E1687" s="12" t="s">
        <v>3177</v>
      </c>
      <c r="F1687" s="12" t="s">
        <v>3143</v>
      </c>
      <c r="G1687" s="12" t="s">
        <v>5445</v>
      </c>
      <c r="H1687" s="12" t="s">
        <v>4564</v>
      </c>
      <c r="I1687" s="84">
        <v>25505136</v>
      </c>
      <c r="J1687" s="12" t="s">
        <v>34</v>
      </c>
      <c r="L1687" s="12" t="str">
        <f>IF(OR(ISBLANK(tblSites[[#This Row],[Implementing Partner]]), tblSites[[#This Row],[Implementing Partner]]="-"), tblSites[[#This Row],[Site Agency]], tblSites[[#This Row],[Implementing Partner]])</f>
        <v>DRC</v>
      </c>
      <c r="M1687" s="12" t="s">
        <v>55</v>
      </c>
      <c r="N1687" s="12" t="str">
        <f>tblSites[[#This Row],[FinalImplementingPartner]]</f>
        <v>DRC</v>
      </c>
    </row>
    <row r="1688" spans="1:14" x14ac:dyDescent="0.25">
      <c r="A1688" s="12" t="s">
        <v>3962</v>
      </c>
      <c r="B1688" s="12" t="s">
        <v>4565</v>
      </c>
      <c r="C1688" s="12" t="s">
        <v>5078</v>
      </c>
      <c r="D1688" t="s">
        <v>120</v>
      </c>
      <c r="E1688" s="12" t="s">
        <v>3177</v>
      </c>
      <c r="F1688" s="12" t="s">
        <v>2235</v>
      </c>
      <c r="G1688" s="12" t="s">
        <v>5168</v>
      </c>
      <c r="H1688" s="12" t="s">
        <v>4565</v>
      </c>
      <c r="I1688" s="84">
        <v>25505143</v>
      </c>
      <c r="J1688" s="12" t="s">
        <v>5102</v>
      </c>
      <c r="L1688" s="12" t="str">
        <f>IF(OR(ISBLANK(tblSites[[#This Row],[Implementing Partner]]), tblSites[[#This Row],[Implementing Partner]]="-"), tblSites[[#This Row],[Site Agency]], tblSites[[#This Row],[Implementing Partner]])</f>
        <v>No SMA</v>
      </c>
      <c r="M1688" s="12" t="s">
        <v>55</v>
      </c>
      <c r="N1688" s="12" t="str">
        <f>tblSites[[#This Row],[FinalImplementingPartner]]</f>
        <v>No SMA</v>
      </c>
    </row>
    <row r="1689" spans="1:14" x14ac:dyDescent="0.25">
      <c r="A1689" s="12" t="s">
        <v>3963</v>
      </c>
      <c r="B1689" s="12" t="s">
        <v>4566</v>
      </c>
      <c r="C1689" s="12" t="s">
        <v>5079</v>
      </c>
      <c r="D1689" t="s">
        <v>120</v>
      </c>
      <c r="E1689" s="12" t="s">
        <v>3177</v>
      </c>
      <c r="F1689" s="12" t="s">
        <v>436</v>
      </c>
      <c r="G1689" s="12" t="s">
        <v>5176</v>
      </c>
      <c r="H1689" s="12" t="s">
        <v>4566</v>
      </c>
      <c r="I1689" s="84">
        <v>25504177</v>
      </c>
      <c r="J1689" s="12" t="s">
        <v>34</v>
      </c>
      <c r="K1689" s="12" t="s">
        <v>389</v>
      </c>
      <c r="L1689" s="12" t="str">
        <f>IF(OR(ISBLANK(tblSites[[#This Row],[Implementing Partner]]), tblSites[[#This Row],[Implementing Partner]]="-"), tblSites[[#This Row],[Site Agency]], tblSites[[#This Row],[Implementing Partner]])</f>
        <v>DRC</v>
      </c>
      <c r="M1689" s="12" t="s">
        <v>55</v>
      </c>
      <c r="N1689" s="12" t="str">
        <f>tblSites[[#This Row],[FinalImplementingPartner]]</f>
        <v>DRC</v>
      </c>
    </row>
    <row r="1690" spans="1:14" x14ac:dyDescent="0.25">
      <c r="A1690" s="12" t="s">
        <v>3964</v>
      </c>
      <c r="B1690" s="12" t="s">
        <v>4567</v>
      </c>
      <c r="C1690" s="12" t="s">
        <v>5080</v>
      </c>
      <c r="D1690" t="s">
        <v>120</v>
      </c>
      <c r="E1690" s="12" t="s">
        <v>3177</v>
      </c>
      <c r="F1690" s="12" t="s">
        <v>302</v>
      </c>
      <c r="G1690" s="12" t="s">
        <v>5161</v>
      </c>
      <c r="H1690" s="12" t="s">
        <v>4567</v>
      </c>
      <c r="I1690" s="84">
        <v>25505137</v>
      </c>
      <c r="J1690" s="12" t="s">
        <v>5102</v>
      </c>
      <c r="K1690" s="12" t="s">
        <v>389</v>
      </c>
      <c r="L1690" s="12" t="str">
        <f>IF(OR(ISBLANK(tblSites[[#This Row],[Implementing Partner]]), tblSites[[#This Row],[Implementing Partner]]="-"), tblSites[[#This Row],[Site Agency]], tblSites[[#This Row],[Implementing Partner]])</f>
        <v>No SMA</v>
      </c>
      <c r="M1690" s="12" t="s">
        <v>55</v>
      </c>
      <c r="N1690" s="12" t="str">
        <f>tblSites[[#This Row],[FinalImplementingPartner]]</f>
        <v>No SMA</v>
      </c>
    </row>
    <row r="1691" spans="1:14" x14ac:dyDescent="0.25">
      <c r="A1691" s="12" t="s">
        <v>3965</v>
      </c>
      <c r="B1691" s="12" t="s">
        <v>4568</v>
      </c>
      <c r="C1691" s="12" t="s">
        <v>5081</v>
      </c>
      <c r="D1691" t="s">
        <v>120</v>
      </c>
      <c r="E1691" s="12" t="s">
        <v>3177</v>
      </c>
      <c r="F1691" s="12" t="s">
        <v>309</v>
      </c>
      <c r="G1691" s="12" t="s">
        <v>5173</v>
      </c>
      <c r="H1691" s="12" t="s">
        <v>4568</v>
      </c>
      <c r="I1691" s="84">
        <v>2550129</v>
      </c>
      <c r="J1691" s="12" t="s">
        <v>5102</v>
      </c>
      <c r="K1691" s="12" t="s">
        <v>389</v>
      </c>
      <c r="L1691" s="12" t="str">
        <f>IF(OR(ISBLANK(tblSites[[#This Row],[Implementing Partner]]), tblSites[[#This Row],[Implementing Partner]]="-"), tblSites[[#This Row],[Site Agency]], tblSites[[#This Row],[Implementing Partner]])</f>
        <v>No SMA</v>
      </c>
      <c r="M1691" s="12" t="s">
        <v>55</v>
      </c>
      <c r="N1691" s="12" t="str">
        <f>tblSites[[#This Row],[FinalImplementingPartner]]</f>
        <v>No SMA</v>
      </c>
    </row>
    <row r="1692" spans="1:14" x14ac:dyDescent="0.25">
      <c r="A1692" s="12" t="s">
        <v>3966</v>
      </c>
      <c r="B1692" s="12" t="s">
        <v>4569</v>
      </c>
      <c r="C1692" s="12" t="s">
        <v>5311</v>
      </c>
      <c r="D1692" t="s">
        <v>120</v>
      </c>
      <c r="E1692" s="12" t="s">
        <v>3177</v>
      </c>
      <c r="F1692" s="12" t="s">
        <v>1862</v>
      </c>
      <c r="G1692" s="12" t="s">
        <v>5177</v>
      </c>
      <c r="H1692" s="12" t="s">
        <v>4569</v>
      </c>
      <c r="I1692" s="84">
        <v>25501135</v>
      </c>
      <c r="J1692" s="12" t="s">
        <v>34</v>
      </c>
      <c r="K1692" s="12" t="s">
        <v>389</v>
      </c>
      <c r="L1692" s="12" t="str">
        <f>IF(OR(ISBLANK(tblSites[[#This Row],[Implementing Partner]]), tblSites[[#This Row],[Implementing Partner]]="-"), tblSites[[#This Row],[Site Agency]], tblSites[[#This Row],[Implementing Partner]])</f>
        <v>DRC</v>
      </c>
      <c r="M1692" s="12" t="s">
        <v>55</v>
      </c>
      <c r="N1692" s="12" t="str">
        <f>tblSites[[#This Row],[FinalImplementingPartner]]</f>
        <v>DRC</v>
      </c>
    </row>
    <row r="1693" spans="1:14" x14ac:dyDescent="0.25">
      <c r="A1693" s="12" t="s">
        <v>3967</v>
      </c>
      <c r="B1693" s="12" t="s">
        <v>4570</v>
      </c>
      <c r="C1693" s="12" t="s">
        <v>5082</v>
      </c>
      <c r="D1693" t="s">
        <v>120</v>
      </c>
      <c r="E1693" s="12" t="s">
        <v>3177</v>
      </c>
      <c r="F1693" s="12" t="s">
        <v>2235</v>
      </c>
      <c r="G1693" s="12" t="s">
        <v>5168</v>
      </c>
      <c r="H1693" s="12" t="s">
        <v>4570</v>
      </c>
      <c r="I1693" s="84">
        <v>25505143</v>
      </c>
      <c r="J1693" s="12" t="s">
        <v>5102</v>
      </c>
      <c r="K1693" s="12" t="s">
        <v>389</v>
      </c>
      <c r="L1693" s="12" t="str">
        <f>IF(OR(ISBLANK(tblSites[[#This Row],[Implementing Partner]]), tblSites[[#This Row],[Implementing Partner]]="-"), tblSites[[#This Row],[Site Agency]], tblSites[[#This Row],[Implementing Partner]])</f>
        <v>No SMA</v>
      </c>
      <c r="M1693" s="12" t="s">
        <v>55</v>
      </c>
      <c r="N1693" s="12" t="str">
        <f>tblSites[[#This Row],[FinalImplementingPartner]]</f>
        <v>No SMA</v>
      </c>
    </row>
    <row r="1694" spans="1:14" x14ac:dyDescent="0.25">
      <c r="A1694" s="12" t="s">
        <v>3968</v>
      </c>
      <c r="B1694" s="12" t="s">
        <v>4571</v>
      </c>
      <c r="C1694" s="12" t="s">
        <v>5083</v>
      </c>
      <c r="D1694" t="s">
        <v>120</v>
      </c>
      <c r="E1694" s="12" t="s">
        <v>3177</v>
      </c>
      <c r="F1694" s="12" t="s">
        <v>2235</v>
      </c>
      <c r="G1694" s="12" t="s">
        <v>5168</v>
      </c>
      <c r="H1694" s="12" t="s">
        <v>4571</v>
      </c>
      <c r="I1694" s="84">
        <v>25505143</v>
      </c>
      <c r="J1694" s="12" t="s">
        <v>5102</v>
      </c>
      <c r="L1694" s="12" t="str">
        <f>IF(OR(ISBLANK(tblSites[[#This Row],[Implementing Partner]]), tblSites[[#This Row],[Implementing Partner]]="-"), tblSites[[#This Row],[Site Agency]], tblSites[[#This Row],[Implementing Partner]])</f>
        <v>No SMA</v>
      </c>
      <c r="M1694" s="12" t="s">
        <v>55</v>
      </c>
      <c r="N1694" s="12" t="str">
        <f>tblSites[[#This Row],[FinalImplementingPartner]]</f>
        <v>No SMA</v>
      </c>
    </row>
    <row r="1695" spans="1:14" x14ac:dyDescent="0.25">
      <c r="A1695" s="12" t="s">
        <v>3969</v>
      </c>
      <c r="B1695" s="12" t="s">
        <v>4572</v>
      </c>
      <c r="C1695" s="12" t="s">
        <v>5084</v>
      </c>
      <c r="D1695" t="s">
        <v>120</v>
      </c>
      <c r="E1695" s="12" t="s">
        <v>3177</v>
      </c>
      <c r="F1695" s="12" t="s">
        <v>3143</v>
      </c>
      <c r="G1695" s="12" t="s">
        <v>5445</v>
      </c>
      <c r="H1695" s="12" t="s">
        <v>4572</v>
      </c>
      <c r="I1695" s="84">
        <v>25505136</v>
      </c>
      <c r="J1695" s="12" t="s">
        <v>34</v>
      </c>
      <c r="L1695" s="12" t="str">
        <f>IF(OR(ISBLANK(tblSites[[#This Row],[Implementing Partner]]), tblSites[[#This Row],[Implementing Partner]]="-"), tblSites[[#This Row],[Site Agency]], tblSites[[#This Row],[Implementing Partner]])</f>
        <v>DRC</v>
      </c>
      <c r="M1695" s="12" t="s">
        <v>55</v>
      </c>
      <c r="N1695" s="12" t="str">
        <f>tblSites[[#This Row],[FinalImplementingPartner]]</f>
        <v>DRC</v>
      </c>
    </row>
    <row r="1696" spans="1:14" x14ac:dyDescent="0.25">
      <c r="A1696" s="12" t="s">
        <v>3970</v>
      </c>
      <c r="B1696" s="12" t="s">
        <v>4573</v>
      </c>
      <c r="C1696" s="12" t="s">
        <v>5085</v>
      </c>
      <c r="D1696" t="s">
        <v>120</v>
      </c>
      <c r="E1696" s="12" t="s">
        <v>3177</v>
      </c>
      <c r="F1696" s="12" t="s">
        <v>1862</v>
      </c>
      <c r="G1696" s="12" t="s">
        <v>5154</v>
      </c>
      <c r="H1696" s="12" t="s">
        <v>4573</v>
      </c>
      <c r="I1696" s="84">
        <v>2550536</v>
      </c>
      <c r="J1696" s="12" t="s">
        <v>5102</v>
      </c>
      <c r="K1696" s="12" t="s">
        <v>389</v>
      </c>
      <c r="L1696" s="12" t="str">
        <f>IF(OR(ISBLANK(tblSites[[#This Row],[Implementing Partner]]), tblSites[[#This Row],[Implementing Partner]]="-"), tblSites[[#This Row],[Site Agency]], tblSites[[#This Row],[Implementing Partner]])</f>
        <v>No SMA</v>
      </c>
      <c r="M1696" s="12" t="s">
        <v>55</v>
      </c>
      <c r="N1696" s="12" t="str">
        <f>tblSites[[#This Row],[FinalImplementingPartner]]</f>
        <v>No SMA</v>
      </c>
    </row>
    <row r="1697" spans="1:14" x14ac:dyDescent="0.25">
      <c r="A1697" s="12" t="s">
        <v>3971</v>
      </c>
      <c r="B1697" s="12" t="s">
        <v>4574</v>
      </c>
      <c r="C1697" s="12" t="s">
        <v>5086</v>
      </c>
      <c r="D1697" t="s">
        <v>120</v>
      </c>
      <c r="E1697" s="12" t="s">
        <v>3177</v>
      </c>
      <c r="F1697" s="12" t="s">
        <v>1712</v>
      </c>
      <c r="G1697" s="12" t="s">
        <v>5158</v>
      </c>
      <c r="H1697" s="12" t="s">
        <v>4574</v>
      </c>
      <c r="I1697" s="84">
        <v>25505139</v>
      </c>
      <c r="J1697" s="12" t="s">
        <v>5102</v>
      </c>
      <c r="K1697" s="12" t="s">
        <v>389</v>
      </c>
      <c r="L1697" s="12" t="str">
        <f>IF(OR(ISBLANK(tblSites[[#This Row],[Implementing Partner]]), tblSites[[#This Row],[Implementing Partner]]="-"), tblSites[[#This Row],[Site Agency]], tblSites[[#This Row],[Implementing Partner]])</f>
        <v>No SMA</v>
      </c>
      <c r="M1697" s="12" t="s">
        <v>55</v>
      </c>
      <c r="N1697" s="12" t="str">
        <f>tblSites[[#This Row],[FinalImplementingPartner]]</f>
        <v>No SMA</v>
      </c>
    </row>
    <row r="1698" spans="1:14" x14ac:dyDescent="0.25">
      <c r="A1698" s="12" t="s">
        <v>3972</v>
      </c>
      <c r="B1698" s="12" t="s">
        <v>4575</v>
      </c>
      <c r="C1698" s="12" t="s">
        <v>5087</v>
      </c>
      <c r="D1698" t="s">
        <v>120</v>
      </c>
      <c r="E1698" s="12" t="s">
        <v>3177</v>
      </c>
      <c r="F1698" s="12" t="s">
        <v>436</v>
      </c>
      <c r="G1698" s="12" t="s">
        <v>5163</v>
      </c>
      <c r="H1698" s="12" t="s">
        <v>4575</v>
      </c>
      <c r="I1698" s="84">
        <v>25504177</v>
      </c>
      <c r="J1698" s="12" t="s">
        <v>5102</v>
      </c>
      <c r="K1698" s="12" t="s">
        <v>389</v>
      </c>
      <c r="L1698" s="12" t="str">
        <f>IF(OR(ISBLANK(tblSites[[#This Row],[Implementing Partner]]), tblSites[[#This Row],[Implementing Partner]]="-"), tblSites[[#This Row],[Site Agency]], tblSites[[#This Row],[Implementing Partner]])</f>
        <v>No SMA</v>
      </c>
      <c r="M1698" s="12" t="s">
        <v>55</v>
      </c>
      <c r="N1698" s="12" t="str">
        <f>tblSites[[#This Row],[FinalImplementingPartner]]</f>
        <v>No SMA</v>
      </c>
    </row>
    <row r="1699" spans="1:14" x14ac:dyDescent="0.25">
      <c r="A1699" s="12" t="s">
        <v>3973</v>
      </c>
      <c r="B1699" s="12" t="s">
        <v>4577</v>
      </c>
      <c r="C1699" s="12" t="s">
        <v>5312</v>
      </c>
      <c r="D1699" t="s">
        <v>120</v>
      </c>
      <c r="E1699" s="12" t="s">
        <v>3177</v>
      </c>
      <c r="F1699" s="12" t="s">
        <v>1712</v>
      </c>
      <c r="G1699" s="12" t="s">
        <v>5158</v>
      </c>
      <c r="H1699" s="12" t="s">
        <v>4577</v>
      </c>
      <c r="I1699" s="84">
        <v>25505139</v>
      </c>
      <c r="J1699" s="12" t="s">
        <v>5102</v>
      </c>
      <c r="K1699" s="12" t="s">
        <v>389</v>
      </c>
      <c r="L1699" s="12" t="str">
        <f>IF(OR(ISBLANK(tblSites[[#This Row],[Implementing Partner]]), tblSites[[#This Row],[Implementing Partner]]="-"), tblSites[[#This Row],[Site Agency]], tblSites[[#This Row],[Implementing Partner]])</f>
        <v>No SMA</v>
      </c>
      <c r="M1699" s="12" t="s">
        <v>55</v>
      </c>
      <c r="N1699" s="12" t="str">
        <f>tblSites[[#This Row],[FinalImplementingPartner]]</f>
        <v>No SMA</v>
      </c>
    </row>
    <row r="1700" spans="1:14" x14ac:dyDescent="0.25">
      <c r="A1700" s="12" t="s">
        <v>3974</v>
      </c>
      <c r="B1700" s="12" t="s">
        <v>4578</v>
      </c>
      <c r="C1700" s="12" t="s">
        <v>5089</v>
      </c>
      <c r="D1700" t="s">
        <v>120</v>
      </c>
      <c r="E1700" s="12" t="s">
        <v>3177</v>
      </c>
      <c r="F1700" s="12" t="s">
        <v>1862</v>
      </c>
      <c r="G1700" s="12" t="s">
        <v>5154</v>
      </c>
      <c r="H1700" s="12" t="s">
        <v>4578</v>
      </c>
      <c r="I1700" s="84">
        <v>2550536</v>
      </c>
      <c r="J1700" s="12" t="s">
        <v>5102</v>
      </c>
      <c r="K1700" s="12" t="s">
        <v>389</v>
      </c>
      <c r="L1700" s="12" t="str">
        <f>IF(OR(ISBLANK(tblSites[[#This Row],[Implementing Partner]]), tblSites[[#This Row],[Implementing Partner]]="-"), tblSites[[#This Row],[Site Agency]], tblSites[[#This Row],[Implementing Partner]])</f>
        <v>No SMA</v>
      </c>
      <c r="M1700" s="12" t="s">
        <v>55</v>
      </c>
      <c r="N1700" s="12" t="str">
        <f>tblSites[[#This Row],[FinalImplementingPartner]]</f>
        <v>No SMA</v>
      </c>
    </row>
    <row r="1701" spans="1:14" x14ac:dyDescent="0.25">
      <c r="A1701" s="12" t="s">
        <v>3975</v>
      </c>
      <c r="B1701" s="12" t="s">
        <v>4519</v>
      </c>
      <c r="C1701" s="12" t="s">
        <v>5090</v>
      </c>
      <c r="D1701" t="s">
        <v>120</v>
      </c>
      <c r="E1701" s="12" t="s">
        <v>3177</v>
      </c>
      <c r="F1701" s="12" t="s">
        <v>2235</v>
      </c>
      <c r="G1701" s="12" t="s">
        <v>5168</v>
      </c>
      <c r="H1701" s="12" t="s">
        <v>4519</v>
      </c>
      <c r="I1701" s="84">
        <v>25505143</v>
      </c>
      <c r="J1701" s="12" t="s">
        <v>5102</v>
      </c>
      <c r="K1701" s="12" t="s">
        <v>389</v>
      </c>
      <c r="L1701" s="12" t="str">
        <f>IF(OR(ISBLANK(tblSites[[#This Row],[Implementing Partner]]), tblSites[[#This Row],[Implementing Partner]]="-"), tblSites[[#This Row],[Site Agency]], tblSites[[#This Row],[Implementing Partner]])</f>
        <v>No SMA</v>
      </c>
      <c r="M1701" s="12" t="s">
        <v>55</v>
      </c>
      <c r="N1701" s="12" t="str">
        <f>tblSites[[#This Row],[FinalImplementingPartner]]</f>
        <v>No SMA</v>
      </c>
    </row>
    <row r="1702" spans="1:14" x14ac:dyDescent="0.25">
      <c r="A1702" s="12" t="s">
        <v>5261</v>
      </c>
      <c r="B1702" s="12" t="s">
        <v>4269</v>
      </c>
      <c r="C1702" s="12" t="s">
        <v>4821</v>
      </c>
      <c r="D1702" t="s">
        <v>120</v>
      </c>
      <c r="E1702" s="12" t="s">
        <v>3177</v>
      </c>
      <c r="F1702" s="12" t="s">
        <v>302</v>
      </c>
      <c r="G1702" s="12" t="s">
        <v>5161</v>
      </c>
      <c r="H1702" s="12" t="s">
        <v>4269</v>
      </c>
      <c r="I1702" s="84">
        <v>25505137</v>
      </c>
      <c r="J1702" s="12" t="s">
        <v>5102</v>
      </c>
      <c r="K1702" s="12" t="s">
        <v>389</v>
      </c>
      <c r="L1702" s="12" t="str">
        <f>IF(OR(ISBLANK(tblSites[[#This Row],[Implementing Partner]]), tblSites[[#This Row],[Implementing Partner]]="-"), tblSites[[#This Row],[Site Agency]], tblSites[[#This Row],[Implementing Partner]])</f>
        <v>No SMA</v>
      </c>
      <c r="M1702" s="12" t="s">
        <v>55</v>
      </c>
      <c r="N1702" s="12" t="str">
        <f>tblSites[[#This Row],[FinalImplementingPartner]]</f>
        <v>No SMA</v>
      </c>
    </row>
    <row r="1703" spans="1:14" x14ac:dyDescent="0.25">
      <c r="A1703" s="12" t="s">
        <v>5262</v>
      </c>
      <c r="B1703" s="12" t="s">
        <v>4271</v>
      </c>
      <c r="C1703" s="12" t="s">
        <v>4823</v>
      </c>
      <c r="D1703" t="s">
        <v>120</v>
      </c>
      <c r="E1703" s="12" t="s">
        <v>3177</v>
      </c>
      <c r="F1703" s="12" t="s">
        <v>1712</v>
      </c>
      <c r="G1703" s="12" t="s">
        <v>5158</v>
      </c>
      <c r="H1703" s="12" t="s">
        <v>4271</v>
      </c>
      <c r="I1703" s="84">
        <v>25505139</v>
      </c>
      <c r="J1703" s="12" t="s">
        <v>5102</v>
      </c>
      <c r="K1703" s="12" t="s">
        <v>389</v>
      </c>
      <c r="L1703" s="12" t="str">
        <f>IF(OR(ISBLANK(tblSites[[#This Row],[Implementing Partner]]), tblSites[[#This Row],[Implementing Partner]]="-"), tblSites[[#This Row],[Site Agency]], tblSites[[#This Row],[Implementing Partner]])</f>
        <v>No SMA</v>
      </c>
      <c r="M1703" s="12" t="s">
        <v>55</v>
      </c>
      <c r="N1703" s="12" t="str">
        <f>tblSites[[#This Row],[FinalImplementingPartner]]</f>
        <v>No SMA</v>
      </c>
    </row>
    <row r="1704" spans="1:14" x14ac:dyDescent="0.25">
      <c r="A1704" s="12" t="s">
        <v>3976</v>
      </c>
      <c r="B1704" s="12" t="s">
        <v>4579</v>
      </c>
      <c r="C1704" s="12" t="s">
        <v>5091</v>
      </c>
      <c r="D1704" t="s">
        <v>120</v>
      </c>
      <c r="E1704" s="12" t="s">
        <v>3177</v>
      </c>
      <c r="F1704" s="12" t="s">
        <v>302</v>
      </c>
      <c r="G1704" s="12" t="s">
        <v>5161</v>
      </c>
      <c r="H1704" s="12" t="s">
        <v>4579</v>
      </c>
      <c r="I1704" s="84">
        <v>25505137</v>
      </c>
      <c r="J1704" s="12" t="s">
        <v>5102</v>
      </c>
      <c r="K1704" s="12" t="s">
        <v>389</v>
      </c>
      <c r="L1704" s="12" t="str">
        <f>IF(OR(ISBLANK(tblSites[[#This Row],[Implementing Partner]]), tblSites[[#This Row],[Implementing Partner]]="-"), tblSites[[#This Row],[Site Agency]], tblSites[[#This Row],[Implementing Partner]])</f>
        <v>No SMA</v>
      </c>
      <c r="M1704" s="12" t="s">
        <v>55</v>
      </c>
      <c r="N1704" s="12" t="str">
        <f>tblSites[[#This Row],[FinalImplementingPartner]]</f>
        <v>No SMA</v>
      </c>
    </row>
    <row r="1705" spans="1:14" x14ac:dyDescent="0.25">
      <c r="A1705" s="12" t="s">
        <v>3977</v>
      </c>
      <c r="B1705" s="12" t="s">
        <v>4580</v>
      </c>
      <c r="C1705" s="12" t="s">
        <v>5092</v>
      </c>
      <c r="D1705" t="s">
        <v>120</v>
      </c>
      <c r="E1705" s="12" t="s">
        <v>3177</v>
      </c>
      <c r="F1705" s="12" t="s">
        <v>302</v>
      </c>
      <c r="G1705" s="12" t="s">
        <v>5161</v>
      </c>
      <c r="H1705" s="12" t="s">
        <v>4580</v>
      </c>
      <c r="I1705" s="84">
        <v>25505137</v>
      </c>
      <c r="J1705" s="12" t="s">
        <v>5102</v>
      </c>
      <c r="K1705" s="12" t="s">
        <v>389</v>
      </c>
      <c r="L1705" s="12" t="str">
        <f>IF(OR(ISBLANK(tblSites[[#This Row],[Implementing Partner]]), tblSites[[#This Row],[Implementing Partner]]="-"), tblSites[[#This Row],[Site Agency]], tblSites[[#This Row],[Implementing Partner]])</f>
        <v>No SMA</v>
      </c>
      <c r="M1705" s="12" t="s">
        <v>55</v>
      </c>
      <c r="N1705" s="12" t="str">
        <f>tblSites[[#This Row],[FinalImplementingPartner]]</f>
        <v>No SMA</v>
      </c>
    </row>
    <row r="1706" spans="1:14" x14ac:dyDescent="0.25">
      <c r="A1706" s="12" t="s">
        <v>5263</v>
      </c>
      <c r="B1706" s="12" t="s">
        <v>1196</v>
      </c>
      <c r="C1706" s="12" t="s">
        <v>4865</v>
      </c>
      <c r="D1706" t="s">
        <v>120</v>
      </c>
      <c r="E1706" s="12" t="s">
        <v>3177</v>
      </c>
      <c r="F1706" s="12" t="s">
        <v>1862</v>
      </c>
      <c r="G1706" s="12" t="s">
        <v>5154</v>
      </c>
      <c r="H1706" s="12" t="s">
        <v>1196</v>
      </c>
      <c r="I1706" s="84">
        <v>2550536</v>
      </c>
      <c r="J1706" s="12" t="s">
        <v>5102</v>
      </c>
      <c r="K1706" s="12" t="s">
        <v>389</v>
      </c>
      <c r="L1706" s="12" t="str">
        <f>IF(OR(ISBLANK(tblSites[[#This Row],[Implementing Partner]]), tblSites[[#This Row],[Implementing Partner]]="-"), tblSites[[#This Row],[Site Agency]], tblSites[[#This Row],[Implementing Partner]])</f>
        <v>No SMA</v>
      </c>
      <c r="M1706" s="12" t="s">
        <v>55</v>
      </c>
      <c r="N1706" s="12" t="str">
        <f>tblSites[[#This Row],[FinalImplementingPartner]]</f>
        <v>No SMA</v>
      </c>
    </row>
    <row r="1707" spans="1:14" x14ac:dyDescent="0.25">
      <c r="A1707" s="12" t="s">
        <v>3978</v>
      </c>
      <c r="B1707" s="12" t="s">
        <v>4581</v>
      </c>
      <c r="C1707" s="12" t="s">
        <v>5093</v>
      </c>
      <c r="D1707" t="s">
        <v>402</v>
      </c>
      <c r="E1707" s="12" t="s">
        <v>3180</v>
      </c>
      <c r="F1707" s="12" t="s">
        <v>403</v>
      </c>
      <c r="G1707" s="12" t="s">
        <v>5182</v>
      </c>
      <c r="H1707" s="12" t="s">
        <v>4581</v>
      </c>
      <c r="I1707" s="84">
        <v>27501116</v>
      </c>
      <c r="J1707" s="12" t="s">
        <v>5102</v>
      </c>
      <c r="L1707" s="12" t="str">
        <f>IF(OR(ISBLANK(tblSites[[#This Row],[Implementing Partner]]), tblSites[[#This Row],[Implementing Partner]]="-"), tblSites[[#This Row],[Site Agency]], tblSites[[#This Row],[Implementing Partner]])</f>
        <v>No SMA</v>
      </c>
      <c r="M1707" s="12" t="s">
        <v>55</v>
      </c>
      <c r="N1707" s="12" t="str">
        <f>tblSites[[#This Row],[FinalImplementingPartner]]</f>
        <v>No SMA</v>
      </c>
    </row>
    <row r="1708" spans="1:14" x14ac:dyDescent="0.25">
      <c r="A1708" s="12" t="s">
        <v>1112</v>
      </c>
      <c r="B1708" s="12" t="s">
        <v>1113</v>
      </c>
      <c r="C1708" s="12" t="s">
        <v>1114</v>
      </c>
      <c r="D1708" t="s">
        <v>402</v>
      </c>
      <c r="E1708" s="12" t="s">
        <v>3180</v>
      </c>
      <c r="F1708" s="12" t="s">
        <v>403</v>
      </c>
      <c r="G1708" s="12" t="s">
        <v>5183</v>
      </c>
      <c r="H1708" s="12" t="s">
        <v>1113</v>
      </c>
      <c r="I1708" s="84">
        <v>27501116</v>
      </c>
      <c r="J1708" s="12" t="s">
        <v>34</v>
      </c>
      <c r="L1708" s="12" t="str">
        <f>IF(OR(ISBLANK(tblSites[[#This Row],[Implementing Partner]]), tblSites[[#This Row],[Implementing Partner]]="-"), tblSites[[#This Row],[Site Agency]], tblSites[[#This Row],[Implementing Partner]])</f>
        <v>DRC</v>
      </c>
      <c r="M1708" s="12" t="s">
        <v>55</v>
      </c>
      <c r="N1708" s="12" t="str">
        <f>tblSites[[#This Row],[FinalImplementingPartner]]</f>
        <v>DRC</v>
      </c>
    </row>
    <row r="1709" spans="1:14" x14ac:dyDescent="0.25">
      <c r="A1709" s="12" t="s">
        <v>1109</v>
      </c>
      <c r="B1709" s="12" t="s">
        <v>1110</v>
      </c>
      <c r="C1709" s="12" t="s">
        <v>1111</v>
      </c>
      <c r="D1709" t="s">
        <v>402</v>
      </c>
      <c r="E1709" s="12" t="s">
        <v>3180</v>
      </c>
      <c r="F1709" s="12" t="s">
        <v>403</v>
      </c>
      <c r="G1709" s="12" t="s">
        <v>5183</v>
      </c>
      <c r="H1709" s="12" t="s">
        <v>1110</v>
      </c>
      <c r="I1709" s="84">
        <v>27501116</v>
      </c>
      <c r="J1709" s="12" t="s">
        <v>34</v>
      </c>
      <c r="L1709" s="12" t="str">
        <f>IF(OR(ISBLANK(tblSites[[#This Row],[Implementing Partner]]), tblSites[[#This Row],[Implementing Partner]]="-"), tblSites[[#This Row],[Site Agency]], tblSites[[#This Row],[Implementing Partner]])</f>
        <v>DRC</v>
      </c>
      <c r="M1709" s="12" t="s">
        <v>55</v>
      </c>
      <c r="N1709" s="12" t="str">
        <f>tblSites[[#This Row],[FinalImplementingPartner]]</f>
        <v>DRC</v>
      </c>
    </row>
    <row r="1710" spans="1:14" x14ac:dyDescent="0.25">
      <c r="A1710" s="12" t="s">
        <v>1101</v>
      </c>
      <c r="B1710" s="12" t="s">
        <v>1102</v>
      </c>
      <c r="C1710" s="12" t="s">
        <v>377</v>
      </c>
      <c r="D1710" t="s">
        <v>402</v>
      </c>
      <c r="E1710" s="12" t="s">
        <v>3180</v>
      </c>
      <c r="F1710" s="12" t="s">
        <v>403</v>
      </c>
      <c r="G1710" s="12" t="s">
        <v>5183</v>
      </c>
      <c r="H1710" s="12" t="s">
        <v>1102</v>
      </c>
      <c r="I1710" s="84">
        <v>27501116</v>
      </c>
      <c r="J1710" s="12" t="s">
        <v>34</v>
      </c>
      <c r="L1710" s="12" t="str">
        <f>IF(OR(ISBLANK(tblSites[[#This Row],[Implementing Partner]]), tblSites[[#This Row],[Implementing Partner]]="-"), tblSites[[#This Row],[Site Agency]], tblSites[[#This Row],[Implementing Partner]])</f>
        <v>DRC</v>
      </c>
      <c r="M1710" s="12" t="s">
        <v>55</v>
      </c>
      <c r="N1710" s="12" t="str">
        <f>tblSites[[#This Row],[FinalImplementingPartner]]</f>
        <v>DRC</v>
      </c>
    </row>
    <row r="1711" spans="1:14" x14ac:dyDescent="0.25">
      <c r="A1711" s="12" t="s">
        <v>1103</v>
      </c>
      <c r="B1711" s="12" t="s">
        <v>1104</v>
      </c>
      <c r="C1711" s="12" t="s">
        <v>1105</v>
      </c>
      <c r="D1711" t="s">
        <v>402</v>
      </c>
      <c r="E1711" s="12" t="s">
        <v>3180</v>
      </c>
      <c r="F1711" s="12" t="s">
        <v>403</v>
      </c>
      <c r="G1711" s="12" t="s">
        <v>5183</v>
      </c>
      <c r="H1711" s="12" t="s">
        <v>1104</v>
      </c>
      <c r="I1711" s="84">
        <v>27501116</v>
      </c>
      <c r="J1711" s="12" t="s">
        <v>34</v>
      </c>
      <c r="L1711" s="12" t="str">
        <f>IF(OR(ISBLANK(tblSites[[#This Row],[Implementing Partner]]), tblSites[[#This Row],[Implementing Partner]]="-"), tblSites[[#This Row],[Site Agency]], tblSites[[#This Row],[Implementing Partner]])</f>
        <v>DRC</v>
      </c>
      <c r="M1711" s="12" t="s">
        <v>55</v>
      </c>
      <c r="N1711" s="12" t="str">
        <f>tblSites[[#This Row],[FinalImplementingPartner]]</f>
        <v>DRC</v>
      </c>
    </row>
    <row r="1712" spans="1:14" x14ac:dyDescent="0.25">
      <c r="A1712" s="12" t="s">
        <v>1045</v>
      </c>
      <c r="B1712" s="12" t="s">
        <v>1046</v>
      </c>
      <c r="C1712" s="12" t="s">
        <v>1047</v>
      </c>
      <c r="D1712" t="s">
        <v>402</v>
      </c>
      <c r="E1712" s="12" t="s">
        <v>3180</v>
      </c>
      <c r="F1712" s="12" t="s">
        <v>403</v>
      </c>
      <c r="G1712" s="12" t="s">
        <v>5183</v>
      </c>
      <c r="H1712" s="12" t="s">
        <v>1046</v>
      </c>
      <c r="I1712" s="84">
        <v>27501116</v>
      </c>
      <c r="J1712" s="12" t="s">
        <v>34</v>
      </c>
      <c r="L1712" s="12" t="str">
        <f>IF(OR(ISBLANK(tblSites[[#This Row],[Implementing Partner]]), tblSites[[#This Row],[Implementing Partner]]="-"), tblSites[[#This Row],[Site Agency]], tblSites[[#This Row],[Implementing Partner]])</f>
        <v>DRC</v>
      </c>
      <c r="M1712" s="12" t="s">
        <v>55</v>
      </c>
      <c r="N1712" s="12" t="str">
        <f>tblSites[[#This Row],[FinalImplementingPartner]]</f>
        <v>DRC</v>
      </c>
    </row>
    <row r="1713" spans="1:14" x14ac:dyDescent="0.25">
      <c r="A1713" s="12" t="s">
        <v>1098</v>
      </c>
      <c r="B1713" s="12" t="s">
        <v>1099</v>
      </c>
      <c r="C1713" s="12" t="s">
        <v>1100</v>
      </c>
      <c r="D1713" t="s">
        <v>402</v>
      </c>
      <c r="E1713" s="12" t="s">
        <v>3180</v>
      </c>
      <c r="F1713" s="12" t="s">
        <v>403</v>
      </c>
      <c r="G1713" s="12" t="s">
        <v>5183</v>
      </c>
      <c r="H1713" s="12" t="s">
        <v>1099</v>
      </c>
      <c r="I1713" s="84">
        <v>27501116</v>
      </c>
      <c r="J1713" s="12" t="s">
        <v>34</v>
      </c>
      <c r="L1713" s="12" t="str">
        <f>IF(OR(ISBLANK(tblSites[[#This Row],[Implementing Partner]]), tblSites[[#This Row],[Implementing Partner]]="-"), tblSites[[#This Row],[Site Agency]], tblSites[[#This Row],[Implementing Partner]])</f>
        <v>DRC</v>
      </c>
      <c r="M1713" s="12" t="s">
        <v>55</v>
      </c>
      <c r="N1713" s="12" t="str">
        <f>tblSites[[#This Row],[FinalImplementingPartner]]</f>
        <v>DRC</v>
      </c>
    </row>
    <row r="1714" spans="1:14" x14ac:dyDescent="0.25">
      <c r="A1714" s="12" t="s">
        <v>862</v>
      </c>
      <c r="B1714" s="12" t="s">
        <v>863</v>
      </c>
      <c r="C1714" s="12" t="s">
        <v>864</v>
      </c>
      <c r="D1714" t="s">
        <v>402</v>
      </c>
      <c r="E1714" s="12" t="s">
        <v>3180</v>
      </c>
      <c r="F1714" s="12" t="s">
        <v>403</v>
      </c>
      <c r="G1714" s="12" t="s">
        <v>5183</v>
      </c>
      <c r="H1714" s="12" t="s">
        <v>863</v>
      </c>
      <c r="I1714" s="84">
        <v>27501116</v>
      </c>
      <c r="J1714" s="12" t="s">
        <v>34</v>
      </c>
      <c r="L1714" s="12" t="str">
        <f>IF(OR(ISBLANK(tblSites[[#This Row],[Implementing Partner]]), tblSites[[#This Row],[Implementing Partner]]="-"), tblSites[[#This Row],[Site Agency]], tblSites[[#This Row],[Implementing Partner]])</f>
        <v>DRC</v>
      </c>
      <c r="M1714" s="12" t="s">
        <v>55</v>
      </c>
      <c r="N1714" s="12" t="str">
        <f>tblSites[[#This Row],[FinalImplementingPartner]]</f>
        <v>DRC</v>
      </c>
    </row>
    <row r="1715" spans="1:14" x14ac:dyDescent="0.25">
      <c r="A1715" s="12" t="s">
        <v>3979</v>
      </c>
      <c r="B1715" s="12" t="s">
        <v>4582</v>
      </c>
      <c r="C1715" s="12" t="s">
        <v>5094</v>
      </c>
      <c r="D1715" t="s">
        <v>402</v>
      </c>
      <c r="E1715" s="12" t="s">
        <v>3180</v>
      </c>
      <c r="F1715" s="12" t="s">
        <v>403</v>
      </c>
      <c r="G1715" s="12" t="s">
        <v>5182</v>
      </c>
      <c r="H1715" s="12" t="s">
        <v>4582</v>
      </c>
      <c r="I1715" s="84">
        <v>27501116</v>
      </c>
      <c r="J1715" s="12" t="s">
        <v>5102</v>
      </c>
      <c r="L1715" s="12" t="str">
        <f>IF(OR(ISBLANK(tblSites[[#This Row],[Implementing Partner]]), tblSites[[#This Row],[Implementing Partner]]="-"), tblSites[[#This Row],[Site Agency]], tblSites[[#This Row],[Implementing Partner]])</f>
        <v>No SMA</v>
      </c>
      <c r="M1715" s="12" t="s">
        <v>55</v>
      </c>
      <c r="N1715" s="12" t="str">
        <f>tblSites[[#This Row],[FinalImplementingPartner]]</f>
        <v>No SMA</v>
      </c>
    </row>
    <row r="1716" spans="1:14" x14ac:dyDescent="0.25">
      <c r="A1716" s="12" t="s">
        <v>3980</v>
      </c>
      <c r="B1716" s="12" t="s">
        <v>930</v>
      </c>
      <c r="C1716" s="12" t="s">
        <v>685</v>
      </c>
      <c r="D1716" t="s">
        <v>402</v>
      </c>
      <c r="E1716" s="12" t="s">
        <v>3180</v>
      </c>
      <c r="F1716" s="12" t="s">
        <v>403</v>
      </c>
      <c r="G1716" s="12" t="s">
        <v>5182</v>
      </c>
      <c r="H1716" s="12" t="s">
        <v>930</v>
      </c>
      <c r="I1716" s="84">
        <v>27501116</v>
      </c>
      <c r="J1716" s="12" t="s">
        <v>5102</v>
      </c>
      <c r="L1716" s="12" t="str">
        <f>IF(OR(ISBLANK(tblSites[[#This Row],[Implementing Partner]]), tblSites[[#This Row],[Implementing Partner]]="-"), tblSites[[#This Row],[Site Agency]], tblSites[[#This Row],[Implementing Partner]])</f>
        <v>No SMA</v>
      </c>
      <c r="M1716" s="12" t="s">
        <v>55</v>
      </c>
      <c r="N1716" s="12" t="str">
        <f>tblSites[[#This Row],[FinalImplementingPartner]]</f>
        <v>No SMA</v>
      </c>
    </row>
    <row r="1717" spans="1:14" x14ac:dyDescent="0.25">
      <c r="A1717" s="12" t="s">
        <v>3981</v>
      </c>
      <c r="B1717" s="12" t="s">
        <v>4583</v>
      </c>
      <c r="C1717" s="12" t="s">
        <v>5095</v>
      </c>
      <c r="D1717" t="s">
        <v>402</v>
      </c>
      <c r="E1717" s="12" t="s">
        <v>3180</v>
      </c>
      <c r="F1717" s="12" t="s">
        <v>403</v>
      </c>
      <c r="G1717" s="12" t="s">
        <v>5182</v>
      </c>
      <c r="H1717" s="12" t="s">
        <v>4583</v>
      </c>
      <c r="I1717" s="84">
        <v>27501116</v>
      </c>
      <c r="J1717" s="12" t="s">
        <v>5102</v>
      </c>
      <c r="L1717" s="12" t="str">
        <f>IF(OR(ISBLANK(tblSites[[#This Row],[Implementing Partner]]), tblSites[[#This Row],[Implementing Partner]]="-"), tblSites[[#This Row],[Site Agency]], tblSites[[#This Row],[Implementing Partner]])</f>
        <v>No SMA</v>
      </c>
      <c r="M1717" s="12" t="s">
        <v>55</v>
      </c>
      <c r="N1717" s="12" t="str">
        <f>tblSites[[#This Row],[FinalImplementingPartner]]</f>
        <v>No SMA</v>
      </c>
    </row>
    <row r="1718" spans="1:14" x14ac:dyDescent="0.25">
      <c r="A1718" s="12" t="s">
        <v>3982</v>
      </c>
      <c r="B1718" s="12" t="s">
        <v>4016</v>
      </c>
      <c r="C1718" s="12" t="s">
        <v>5096</v>
      </c>
      <c r="D1718" t="s">
        <v>402</v>
      </c>
      <c r="E1718" s="12" t="s">
        <v>3180</v>
      </c>
      <c r="F1718" s="12" t="s">
        <v>403</v>
      </c>
      <c r="G1718" s="12" t="s">
        <v>5182</v>
      </c>
      <c r="H1718" s="12" t="s">
        <v>4016</v>
      </c>
      <c r="I1718" s="84">
        <v>27501116</v>
      </c>
      <c r="J1718" s="12" t="s">
        <v>5102</v>
      </c>
      <c r="L1718" s="12" t="str">
        <f>IF(OR(ISBLANK(tblSites[[#This Row],[Implementing Partner]]), tblSites[[#This Row],[Implementing Partner]]="-"), tblSites[[#This Row],[Site Agency]], tblSites[[#This Row],[Implementing Partner]])</f>
        <v>No SMA</v>
      </c>
      <c r="M1718" s="12" t="s">
        <v>55</v>
      </c>
      <c r="N1718" s="12" t="str">
        <f>tblSites[[#This Row],[FinalImplementingPartner]]</f>
        <v>No SMA</v>
      </c>
    </row>
    <row r="1719" spans="1:14" x14ac:dyDescent="0.25">
      <c r="A1719" s="12" t="s">
        <v>3983</v>
      </c>
      <c r="B1719" s="12" t="s">
        <v>4584</v>
      </c>
      <c r="C1719" s="12" t="s">
        <v>5097</v>
      </c>
      <c r="D1719" t="s">
        <v>402</v>
      </c>
      <c r="E1719" s="12" t="s">
        <v>3180</v>
      </c>
      <c r="F1719" s="12" t="s">
        <v>3171</v>
      </c>
      <c r="G1719" s="12" t="s">
        <v>5157</v>
      </c>
      <c r="H1719" s="12" t="s">
        <v>4584</v>
      </c>
      <c r="I1719" s="84">
        <v>27501156</v>
      </c>
      <c r="J1719" s="12" t="s">
        <v>5102</v>
      </c>
      <c r="L1719" s="12" t="str">
        <f>IF(OR(ISBLANK(tblSites[[#This Row],[Implementing Partner]]), tblSites[[#This Row],[Implementing Partner]]="-"), tblSites[[#This Row],[Site Agency]], tblSites[[#This Row],[Implementing Partner]])</f>
        <v>No SMA</v>
      </c>
      <c r="M1719" s="12" t="s">
        <v>55</v>
      </c>
      <c r="N1719" s="12" t="str">
        <f>tblSites[[#This Row],[FinalImplementingPartner]]</f>
        <v>No SMA</v>
      </c>
    </row>
    <row r="1720" spans="1:14" x14ac:dyDescent="0.25">
      <c r="A1720" s="12" t="s">
        <v>3984</v>
      </c>
      <c r="B1720" s="12" t="s">
        <v>109</v>
      </c>
      <c r="C1720" s="12" t="s">
        <v>52</v>
      </c>
      <c r="D1720" t="s">
        <v>402</v>
      </c>
      <c r="E1720" s="12" t="s">
        <v>3180</v>
      </c>
      <c r="F1720" s="12" t="s">
        <v>3171</v>
      </c>
      <c r="G1720" s="12" t="s">
        <v>5157</v>
      </c>
      <c r="H1720" s="12" t="s">
        <v>109</v>
      </c>
      <c r="I1720" s="84">
        <v>27501156</v>
      </c>
      <c r="J1720" s="12" t="s">
        <v>5102</v>
      </c>
      <c r="L1720" s="12" t="str">
        <f>IF(OR(ISBLANK(tblSites[[#This Row],[Implementing Partner]]), tblSites[[#This Row],[Implementing Partner]]="-"), tblSites[[#This Row],[Site Agency]], tblSites[[#This Row],[Implementing Partner]])</f>
        <v>No SMA</v>
      </c>
      <c r="M1720" s="12" t="s">
        <v>55</v>
      </c>
      <c r="N1720" s="12" t="str">
        <f>tblSites[[#This Row],[FinalImplementingPartner]]</f>
        <v>No SMA</v>
      </c>
    </row>
    <row r="1721" spans="1:14" x14ac:dyDescent="0.25">
      <c r="A1721" s="12" t="s">
        <v>3985</v>
      </c>
      <c r="B1721" s="12" t="s">
        <v>4585</v>
      </c>
      <c r="C1721" s="12" t="s">
        <v>5098</v>
      </c>
      <c r="D1721" t="s">
        <v>402</v>
      </c>
      <c r="E1721" s="12" t="s">
        <v>3180</v>
      </c>
      <c r="F1721" s="12" t="s">
        <v>3171</v>
      </c>
      <c r="G1721" s="12" t="s">
        <v>5157</v>
      </c>
      <c r="H1721" s="12" t="s">
        <v>4585</v>
      </c>
      <c r="I1721" s="84">
        <v>27501156</v>
      </c>
      <c r="J1721" s="12" t="s">
        <v>5102</v>
      </c>
      <c r="L1721" s="12" t="str">
        <f>IF(OR(ISBLANK(tblSites[[#This Row],[Implementing Partner]]), tblSites[[#This Row],[Implementing Partner]]="-"), tblSites[[#This Row],[Site Agency]], tblSites[[#This Row],[Implementing Partner]])</f>
        <v>No SMA</v>
      </c>
      <c r="M1721" s="12" t="s">
        <v>55</v>
      </c>
      <c r="N1721" s="12" t="str">
        <f>tblSites[[#This Row],[FinalImplementingPartner]]</f>
        <v>No SMA</v>
      </c>
    </row>
    <row r="1722" spans="1:14" x14ac:dyDescent="0.25">
      <c r="A1722" s="12" t="s">
        <v>5264</v>
      </c>
      <c r="B1722" s="12" t="s">
        <v>4375</v>
      </c>
      <c r="C1722" s="12" t="s">
        <v>4909</v>
      </c>
      <c r="D1722" t="s">
        <v>402</v>
      </c>
      <c r="E1722" s="12" t="s">
        <v>3180</v>
      </c>
      <c r="F1722" s="12" t="s">
        <v>3171</v>
      </c>
      <c r="G1722" s="12" t="s">
        <v>5157</v>
      </c>
      <c r="H1722" s="12" t="s">
        <v>4375</v>
      </c>
      <c r="I1722" s="84">
        <v>27501156</v>
      </c>
      <c r="J1722" s="12" t="s">
        <v>5102</v>
      </c>
      <c r="L1722" s="12" t="str">
        <f>IF(OR(ISBLANK(tblSites[[#This Row],[Implementing Partner]]), tblSites[[#This Row],[Implementing Partner]]="-"), tblSites[[#This Row],[Site Agency]], tblSites[[#This Row],[Implementing Partner]])</f>
        <v>No SMA</v>
      </c>
      <c r="M1722" s="12" t="s">
        <v>55</v>
      </c>
      <c r="N1722" s="12" t="str">
        <f>tblSites[[#This Row],[FinalImplementingPartner]]</f>
        <v>No SMA</v>
      </c>
    </row>
    <row r="1723" spans="1:14" x14ac:dyDescent="0.25">
      <c r="A1723" s="12" t="s">
        <v>3986</v>
      </c>
      <c r="B1723" s="12" t="s">
        <v>4586</v>
      </c>
      <c r="C1723" s="12" t="s">
        <v>4769</v>
      </c>
      <c r="D1723" t="s">
        <v>402</v>
      </c>
      <c r="E1723" s="12" t="s">
        <v>3180</v>
      </c>
      <c r="F1723" s="12" t="s">
        <v>3171</v>
      </c>
      <c r="G1723" s="12" t="s">
        <v>5157</v>
      </c>
      <c r="H1723" s="12" t="s">
        <v>4586</v>
      </c>
      <c r="I1723" s="84">
        <v>27501156</v>
      </c>
      <c r="J1723" s="12" t="s">
        <v>5102</v>
      </c>
      <c r="L1723" s="12" t="str">
        <f>IF(OR(ISBLANK(tblSites[[#This Row],[Implementing Partner]]), tblSites[[#This Row],[Implementing Partner]]="-"), tblSites[[#This Row],[Site Agency]], tblSites[[#This Row],[Implementing Partner]])</f>
        <v>No SMA</v>
      </c>
      <c r="M1723" s="12" t="s">
        <v>55</v>
      </c>
      <c r="N1723" s="12" t="str">
        <f>tblSites[[#This Row],[FinalImplementingPartner]]</f>
        <v>No SMA</v>
      </c>
    </row>
    <row r="1724" spans="1:14" x14ac:dyDescent="0.25">
      <c r="A1724" s="12" t="s">
        <v>3987</v>
      </c>
      <c r="B1724" s="12" t="s">
        <v>149</v>
      </c>
      <c r="C1724" s="12" t="s">
        <v>5099</v>
      </c>
      <c r="D1724" t="s">
        <v>402</v>
      </c>
      <c r="E1724" s="12" t="s">
        <v>3180</v>
      </c>
      <c r="F1724" s="12" t="s">
        <v>3171</v>
      </c>
      <c r="G1724" s="12" t="s">
        <v>5157</v>
      </c>
      <c r="H1724" s="12" t="s">
        <v>149</v>
      </c>
      <c r="I1724" s="84">
        <v>27501156</v>
      </c>
      <c r="J1724" s="12" t="s">
        <v>5102</v>
      </c>
      <c r="L1724" s="12" t="str">
        <f>IF(OR(ISBLANK(tblSites[[#This Row],[Implementing Partner]]), tblSites[[#This Row],[Implementing Partner]]="-"), tblSites[[#This Row],[Site Agency]], tblSites[[#This Row],[Implementing Partner]])</f>
        <v>No SMA</v>
      </c>
      <c r="M1724" s="12" t="s">
        <v>55</v>
      </c>
      <c r="N1724" s="12" t="str">
        <f>tblSites[[#This Row],[FinalImplementingPartner]]</f>
        <v>No SMA</v>
      </c>
    </row>
    <row r="1725" spans="1:14" x14ac:dyDescent="0.25">
      <c r="A1725" s="12" t="s">
        <v>5265</v>
      </c>
      <c r="B1725" s="12" t="s">
        <v>4250</v>
      </c>
      <c r="C1725" s="12" t="s">
        <v>3075</v>
      </c>
      <c r="D1725" t="s">
        <v>402</v>
      </c>
      <c r="E1725" s="12" t="s">
        <v>3180</v>
      </c>
      <c r="F1725" s="12" t="s">
        <v>5315</v>
      </c>
      <c r="G1725" s="12" t="s">
        <v>5446</v>
      </c>
      <c r="H1725" s="12" t="s">
        <v>4250</v>
      </c>
      <c r="I1725" s="84">
        <v>27501127</v>
      </c>
      <c r="J1725" s="12" t="s">
        <v>5102</v>
      </c>
      <c r="K1725" s="12" t="s">
        <v>389</v>
      </c>
      <c r="L1725" s="12" t="str">
        <f>IF(OR(ISBLANK(tblSites[[#This Row],[Implementing Partner]]), tblSites[[#This Row],[Implementing Partner]]="-"), tblSites[[#This Row],[Site Agency]], tblSites[[#This Row],[Implementing Partner]])</f>
        <v>No SMA</v>
      </c>
      <c r="M1725" s="12" t="s">
        <v>55</v>
      </c>
      <c r="N1725" s="12" t="str">
        <f>tblSites[[#This Row],[FinalImplementingPartner]]</f>
        <v>No SMA</v>
      </c>
    </row>
    <row r="1726" spans="1:14" x14ac:dyDescent="0.25">
      <c r="A1726" s="12" t="s">
        <v>3988</v>
      </c>
      <c r="B1726" s="12" t="s">
        <v>788</v>
      </c>
      <c r="C1726" s="12" t="s">
        <v>789</v>
      </c>
      <c r="D1726" t="s">
        <v>402</v>
      </c>
      <c r="E1726" s="12" t="s">
        <v>3180</v>
      </c>
      <c r="F1726" s="12" t="s">
        <v>403</v>
      </c>
      <c r="G1726" s="12" t="s">
        <v>5182</v>
      </c>
      <c r="H1726" s="12" t="s">
        <v>788</v>
      </c>
      <c r="I1726" s="84">
        <v>27501116</v>
      </c>
      <c r="J1726" s="12" t="s">
        <v>5102</v>
      </c>
      <c r="L1726" s="12" t="str">
        <f>IF(OR(ISBLANK(tblSites[[#This Row],[Implementing Partner]]), tblSites[[#This Row],[Implementing Partner]]="-"), tblSites[[#This Row],[Site Agency]], tblSites[[#This Row],[Implementing Partner]])</f>
        <v>No SMA</v>
      </c>
      <c r="M1726" s="12" t="s">
        <v>55</v>
      </c>
      <c r="N1726" s="12" t="str">
        <f>tblSites[[#This Row],[FinalImplementingPartner]]</f>
        <v>No SMA</v>
      </c>
    </row>
    <row r="1727" spans="1:14" x14ac:dyDescent="0.25">
      <c r="A1727" s="12" t="s">
        <v>3989</v>
      </c>
      <c r="B1727" s="12" t="s">
        <v>4587</v>
      </c>
      <c r="C1727" s="12" t="s">
        <v>5100</v>
      </c>
      <c r="D1727" t="s">
        <v>402</v>
      </c>
      <c r="E1727" s="12" t="s">
        <v>3180</v>
      </c>
      <c r="F1727" s="12" t="s">
        <v>3171</v>
      </c>
      <c r="G1727" s="12" t="s">
        <v>5157</v>
      </c>
      <c r="H1727" s="12" t="s">
        <v>4587</v>
      </c>
      <c r="I1727" s="84">
        <v>27501156</v>
      </c>
      <c r="J1727" s="12" t="s">
        <v>5102</v>
      </c>
      <c r="L1727" s="12" t="str">
        <f>IF(OR(ISBLANK(tblSites[[#This Row],[Implementing Partner]]), tblSites[[#This Row],[Implementing Partner]]="-"), tblSites[[#This Row],[Site Agency]], tblSites[[#This Row],[Implementing Partner]])</f>
        <v>No SMA</v>
      </c>
      <c r="M1727" s="12" t="s">
        <v>55</v>
      </c>
      <c r="N1727" s="12" t="str">
        <f>tblSites[[#This Row],[FinalImplementingPartner]]</f>
        <v>No SMA</v>
      </c>
    </row>
    <row r="1728" spans="1:14" x14ac:dyDescent="0.25">
      <c r="A1728" s="12" t="s">
        <v>3990</v>
      </c>
      <c r="B1728" s="12" t="s">
        <v>4588</v>
      </c>
      <c r="C1728" s="12" t="s">
        <v>5101</v>
      </c>
      <c r="D1728" t="s">
        <v>402</v>
      </c>
      <c r="E1728" s="12" t="s">
        <v>3180</v>
      </c>
      <c r="F1728" s="12" t="s">
        <v>3171</v>
      </c>
      <c r="G1728" s="12" t="s">
        <v>5157</v>
      </c>
      <c r="H1728" s="12" t="s">
        <v>4588</v>
      </c>
      <c r="I1728" s="84">
        <v>27501156</v>
      </c>
      <c r="J1728" s="12" t="s">
        <v>5102</v>
      </c>
      <c r="L1728" s="12" t="str">
        <f>IF(OR(ISBLANK(tblSites[[#This Row],[Implementing Partner]]), tblSites[[#This Row],[Implementing Partner]]="-"), tblSites[[#This Row],[Site Agency]], tblSites[[#This Row],[Implementing Partner]])</f>
        <v>No SMA</v>
      </c>
      <c r="M1728" s="12" t="s">
        <v>55</v>
      </c>
      <c r="N1728" s="12" t="str">
        <f>tblSites[[#This Row],[FinalImplementingPartner]]</f>
        <v>No SMA</v>
      </c>
    </row>
    <row r="1729" spans="4:10" x14ac:dyDescent="0.25">
      <c r="D1729"/>
    </row>
    <row r="1730" spans="4:10" x14ac:dyDescent="0.25">
      <c r="D1730"/>
    </row>
    <row r="1731" spans="4:10" x14ac:dyDescent="0.25">
      <c r="D1731"/>
    </row>
    <row r="1732" spans="4:10" x14ac:dyDescent="0.25">
      <c r="D1732"/>
    </row>
    <row r="1733" spans="4:10" x14ac:dyDescent="0.25">
      <c r="D1733"/>
    </row>
    <row r="1734" spans="4:10" x14ac:dyDescent="0.25">
      <c r="D1734"/>
    </row>
    <row r="1735" spans="4:10" x14ac:dyDescent="0.25">
      <c r="D1735"/>
    </row>
    <row r="1736" spans="4:10" x14ac:dyDescent="0.25">
      <c r="D1736"/>
    </row>
    <row r="1737" spans="4:10" x14ac:dyDescent="0.25">
      <c r="D1737"/>
    </row>
    <row r="1738" spans="4:10" x14ac:dyDescent="0.25">
      <c r="D1738"/>
    </row>
    <row r="1739" spans="4:10" x14ac:dyDescent="0.25">
      <c r="D1739"/>
    </row>
    <row r="1740" spans="4:10" x14ac:dyDescent="0.25">
      <c r="D1740"/>
    </row>
    <row r="1741" spans="4:10" x14ac:dyDescent="0.25">
      <c r="D1741"/>
    </row>
    <row r="1742" spans="4:10" x14ac:dyDescent="0.25">
      <c r="D1742"/>
    </row>
    <row r="1743" spans="4:10" x14ac:dyDescent="0.25">
      <c r="D1743"/>
      <c r="J1743" s="47"/>
    </row>
    <row r="1744" spans="4:10" x14ac:dyDescent="0.25">
      <c r="D1744"/>
      <c r="J1744" s="47"/>
    </row>
    <row r="1745" spans="4:4" x14ac:dyDescent="0.25">
      <c r="D1745"/>
    </row>
    <row r="1746" spans="4:4" x14ac:dyDescent="0.25">
      <c r="D1746"/>
    </row>
    <row r="1747" spans="4:4" x14ac:dyDescent="0.25">
      <c r="D1747"/>
    </row>
    <row r="1748" spans="4:4" x14ac:dyDescent="0.25">
      <c r="D1748"/>
    </row>
    <row r="1749" spans="4:4" x14ac:dyDescent="0.25">
      <c r="D1749"/>
    </row>
    <row r="1750" spans="4:4" x14ac:dyDescent="0.25">
      <c r="D1750"/>
    </row>
    <row r="1751" spans="4:4" x14ac:dyDescent="0.25">
      <c r="D1751"/>
    </row>
    <row r="1752" spans="4:4" x14ac:dyDescent="0.25">
      <c r="D1752"/>
    </row>
    <row r="1753" spans="4:4" x14ac:dyDescent="0.25">
      <c r="D1753"/>
    </row>
    <row r="1754" spans="4:4" x14ac:dyDescent="0.25">
      <c r="D1754"/>
    </row>
    <row r="1755" spans="4:4" x14ac:dyDescent="0.25">
      <c r="D1755"/>
    </row>
    <row r="1756" spans="4:4" x14ac:dyDescent="0.25">
      <c r="D1756"/>
    </row>
    <row r="1757" spans="4:4" x14ac:dyDescent="0.25">
      <c r="D1757"/>
    </row>
    <row r="1758" spans="4:4" x14ac:dyDescent="0.25">
      <c r="D1758"/>
    </row>
    <row r="1759" spans="4:4" x14ac:dyDescent="0.25">
      <c r="D1759"/>
    </row>
    <row r="1760" spans="4:4" x14ac:dyDescent="0.25">
      <c r="D1760"/>
    </row>
    <row r="1761" spans="4:4" x14ac:dyDescent="0.25">
      <c r="D1761"/>
    </row>
    <row r="1762" spans="4:4" x14ac:dyDescent="0.25">
      <c r="D1762"/>
    </row>
    <row r="1763" spans="4:4" x14ac:dyDescent="0.25">
      <c r="D1763"/>
    </row>
    <row r="1764" spans="4:4" x14ac:dyDescent="0.25">
      <c r="D1764"/>
    </row>
    <row r="1765" spans="4:4" x14ac:dyDescent="0.25">
      <c r="D1765"/>
    </row>
    <row r="1766" spans="4:4" x14ac:dyDescent="0.25">
      <c r="D1766"/>
    </row>
    <row r="1767" spans="4:4" x14ac:dyDescent="0.25">
      <c r="D1767"/>
    </row>
    <row r="1768" spans="4:4" x14ac:dyDescent="0.25">
      <c r="D1768"/>
    </row>
    <row r="1769" spans="4:4" x14ac:dyDescent="0.25">
      <c r="D1769"/>
    </row>
    <row r="1770" spans="4:4" x14ac:dyDescent="0.25">
      <c r="D1770"/>
    </row>
    <row r="1771" spans="4:4" x14ac:dyDescent="0.25">
      <c r="D1771"/>
    </row>
    <row r="1772" spans="4:4" x14ac:dyDescent="0.25">
      <c r="D1772"/>
    </row>
    <row r="1773" spans="4:4" x14ac:dyDescent="0.25">
      <c r="D1773"/>
    </row>
    <row r="1774" spans="4:4" x14ac:dyDescent="0.25">
      <c r="D1774"/>
    </row>
    <row r="1775" spans="4:4" x14ac:dyDescent="0.25">
      <c r="D1775"/>
    </row>
    <row r="1776" spans="4:4" x14ac:dyDescent="0.25">
      <c r="D1776"/>
    </row>
    <row r="1777" spans="4:4" x14ac:dyDescent="0.25">
      <c r="D1777"/>
    </row>
    <row r="1778" spans="4:4" x14ac:dyDescent="0.25">
      <c r="D1778"/>
    </row>
    <row r="1779" spans="4:4" x14ac:dyDescent="0.25">
      <c r="D1779"/>
    </row>
    <row r="1780" spans="4:4" x14ac:dyDescent="0.25">
      <c r="D1780"/>
    </row>
    <row r="1781" spans="4:4" x14ac:dyDescent="0.25">
      <c r="D1781"/>
    </row>
    <row r="1782" spans="4:4" x14ac:dyDescent="0.25">
      <c r="D1782"/>
    </row>
    <row r="1783" spans="4:4" x14ac:dyDescent="0.25">
      <c r="D1783"/>
    </row>
    <row r="1784" spans="4:4" x14ac:dyDescent="0.25">
      <c r="D1784"/>
    </row>
    <row r="1785" spans="4:4" x14ac:dyDescent="0.25">
      <c r="D1785"/>
    </row>
    <row r="1786" spans="4:4" x14ac:dyDescent="0.25">
      <c r="D1786"/>
    </row>
    <row r="1787" spans="4:4" x14ac:dyDescent="0.25">
      <c r="D1787"/>
    </row>
    <row r="1788" spans="4:4" x14ac:dyDescent="0.25">
      <c r="D1788"/>
    </row>
    <row r="1789" spans="4:4" x14ac:dyDescent="0.25">
      <c r="D1789"/>
    </row>
    <row r="1790" spans="4:4" x14ac:dyDescent="0.25">
      <c r="D1790"/>
    </row>
    <row r="1791" spans="4:4" x14ac:dyDescent="0.25">
      <c r="D1791"/>
    </row>
    <row r="1792" spans="4:4" x14ac:dyDescent="0.25">
      <c r="D1792"/>
    </row>
    <row r="1793" spans="4:4" x14ac:dyDescent="0.25">
      <c r="D1793"/>
    </row>
    <row r="1794" spans="4:4" x14ac:dyDescent="0.25">
      <c r="D1794"/>
    </row>
    <row r="1795" spans="4:4" x14ac:dyDescent="0.25">
      <c r="D1795"/>
    </row>
    <row r="1796" spans="4:4" x14ac:dyDescent="0.25">
      <c r="D1796"/>
    </row>
    <row r="1797" spans="4:4" x14ac:dyDescent="0.25">
      <c r="D1797"/>
    </row>
    <row r="1798" spans="4:4" x14ac:dyDescent="0.25">
      <c r="D1798"/>
    </row>
    <row r="1799" spans="4:4" x14ac:dyDescent="0.25">
      <c r="D1799"/>
    </row>
    <row r="1800" spans="4:4" x14ac:dyDescent="0.25">
      <c r="D1800"/>
    </row>
    <row r="1801" spans="4:4" x14ac:dyDescent="0.25">
      <c r="D1801"/>
    </row>
    <row r="1802" spans="4:4" x14ac:dyDescent="0.25">
      <c r="D1802"/>
    </row>
    <row r="1803" spans="4:4" x14ac:dyDescent="0.25">
      <c r="D1803"/>
    </row>
    <row r="1804" spans="4:4" x14ac:dyDescent="0.25">
      <c r="D1804"/>
    </row>
    <row r="1805" spans="4:4" x14ac:dyDescent="0.25">
      <c r="D1805"/>
    </row>
    <row r="1806" spans="4:4" x14ac:dyDescent="0.25">
      <c r="D1806"/>
    </row>
    <row r="1807" spans="4:4" x14ac:dyDescent="0.25">
      <c r="D1807"/>
    </row>
    <row r="1808" spans="4:4" x14ac:dyDescent="0.25">
      <c r="D1808"/>
    </row>
    <row r="1809" spans="4:4" x14ac:dyDescent="0.25">
      <c r="D1809"/>
    </row>
    <row r="1810" spans="4:4" x14ac:dyDescent="0.25">
      <c r="D1810"/>
    </row>
    <row r="1811" spans="4:4" x14ac:dyDescent="0.25">
      <c r="D1811"/>
    </row>
    <row r="1812" spans="4:4" x14ac:dyDescent="0.25">
      <c r="D1812"/>
    </row>
    <row r="1813" spans="4:4" x14ac:dyDescent="0.25">
      <c r="D1813"/>
    </row>
    <row r="1814" spans="4:4" x14ac:dyDescent="0.25">
      <c r="D1814"/>
    </row>
    <row r="1815" spans="4:4" x14ac:dyDescent="0.25">
      <c r="D1815"/>
    </row>
    <row r="1816" spans="4:4" x14ac:dyDescent="0.25">
      <c r="D1816"/>
    </row>
    <row r="1817" spans="4:4" x14ac:dyDescent="0.25">
      <c r="D1817"/>
    </row>
    <row r="1818" spans="4:4" x14ac:dyDescent="0.25">
      <c r="D1818"/>
    </row>
    <row r="1819" spans="4:4" x14ac:dyDescent="0.25">
      <c r="D1819"/>
    </row>
    <row r="1820" spans="4:4" x14ac:dyDescent="0.25">
      <c r="D1820"/>
    </row>
    <row r="1821" spans="4:4" x14ac:dyDescent="0.25">
      <c r="D1821"/>
    </row>
    <row r="1822" spans="4:4" x14ac:dyDescent="0.25">
      <c r="D1822"/>
    </row>
    <row r="1823" spans="4:4" x14ac:dyDescent="0.25">
      <c r="D1823"/>
    </row>
    <row r="1824" spans="4:4" x14ac:dyDescent="0.25">
      <c r="D1824"/>
    </row>
    <row r="1825" spans="4:4" x14ac:dyDescent="0.25">
      <c r="D1825"/>
    </row>
    <row r="1826" spans="4:4" x14ac:dyDescent="0.25">
      <c r="D1826"/>
    </row>
    <row r="1827" spans="4:4" x14ac:dyDescent="0.25">
      <c r="D1827"/>
    </row>
    <row r="1828" spans="4:4" x14ac:dyDescent="0.25">
      <c r="D1828"/>
    </row>
    <row r="1829" spans="4:4" x14ac:dyDescent="0.25">
      <c r="D1829"/>
    </row>
    <row r="1830" spans="4:4" x14ac:dyDescent="0.25">
      <c r="D1830"/>
    </row>
    <row r="1831" spans="4:4" x14ac:dyDescent="0.25">
      <c r="D1831"/>
    </row>
    <row r="1832" spans="4:4" x14ac:dyDescent="0.25">
      <c r="D1832"/>
    </row>
    <row r="1833" spans="4:4" x14ac:dyDescent="0.25">
      <c r="D1833"/>
    </row>
    <row r="1834" spans="4:4" x14ac:dyDescent="0.25">
      <c r="D1834"/>
    </row>
    <row r="1835" spans="4:4" x14ac:dyDescent="0.25">
      <c r="D1835"/>
    </row>
    <row r="1836" spans="4:4" x14ac:dyDescent="0.25">
      <c r="D1836"/>
    </row>
    <row r="1837" spans="4:4" x14ac:dyDescent="0.25">
      <c r="D1837"/>
    </row>
    <row r="1838" spans="4:4" x14ac:dyDescent="0.25">
      <c r="D1838"/>
    </row>
    <row r="1839" spans="4:4" x14ac:dyDescent="0.25">
      <c r="D1839"/>
    </row>
    <row r="1840" spans="4:4" x14ac:dyDescent="0.25">
      <c r="D1840"/>
    </row>
    <row r="1841" spans="1:6" x14ac:dyDescent="0.25">
      <c r="D1841"/>
    </row>
    <row r="1842" spans="1:6" x14ac:dyDescent="0.25">
      <c r="D1842"/>
    </row>
    <row r="1843" spans="1:6" x14ac:dyDescent="0.25">
      <c r="D1843"/>
    </row>
    <row r="1844" spans="1:6" x14ac:dyDescent="0.25">
      <c r="D1844"/>
    </row>
    <row r="1845" spans="1:6" x14ac:dyDescent="0.25">
      <c r="D1845"/>
    </row>
    <row r="1846" spans="1:6" x14ac:dyDescent="0.25">
      <c r="D1846"/>
    </row>
    <row r="1847" spans="1:6" x14ac:dyDescent="0.25">
      <c r="D1847"/>
    </row>
    <row r="1848" spans="1:6" x14ac:dyDescent="0.25">
      <c r="D1848"/>
    </row>
    <row r="1849" spans="1:6" x14ac:dyDescent="0.25">
      <c r="D1849"/>
    </row>
    <row r="1850" spans="1:6" x14ac:dyDescent="0.25">
      <c r="D1850"/>
    </row>
    <row r="1851" spans="1:6" x14ac:dyDescent="0.25">
      <c r="D1851"/>
    </row>
    <row r="1852" spans="1:6" x14ac:dyDescent="0.25">
      <c r="A1852" s="47"/>
      <c r="D1852"/>
      <c r="F1852" s="47"/>
    </row>
    <row r="1853" spans="1:6" x14ac:dyDescent="0.25">
      <c r="D1853"/>
    </row>
    <row r="1854" spans="1:6" x14ac:dyDescent="0.25">
      <c r="D1854"/>
    </row>
    <row r="1855" spans="1:6" x14ac:dyDescent="0.25">
      <c r="D1855"/>
    </row>
    <row r="1856" spans="1:6" x14ac:dyDescent="0.25">
      <c r="D1856"/>
    </row>
    <row r="1857" spans="4:4" x14ac:dyDescent="0.25">
      <c r="D1857"/>
    </row>
    <row r="1858" spans="4:4" x14ac:dyDescent="0.25">
      <c r="D1858"/>
    </row>
    <row r="1859" spans="4:4" x14ac:dyDescent="0.25">
      <c r="D1859"/>
    </row>
    <row r="1860" spans="4:4" x14ac:dyDescent="0.25">
      <c r="D1860"/>
    </row>
    <row r="1861" spans="4:4" x14ac:dyDescent="0.25">
      <c r="D1861"/>
    </row>
    <row r="1862" spans="4:4" x14ac:dyDescent="0.25">
      <c r="D1862"/>
    </row>
    <row r="1863" spans="4:4" x14ac:dyDescent="0.25">
      <c r="D1863"/>
    </row>
    <row r="1864" spans="4:4" x14ac:dyDescent="0.25">
      <c r="D1864"/>
    </row>
    <row r="1865" spans="4:4" x14ac:dyDescent="0.25">
      <c r="D1865"/>
    </row>
    <row r="1866" spans="4:4" x14ac:dyDescent="0.25">
      <c r="D1866"/>
    </row>
    <row r="1867" spans="4:4" x14ac:dyDescent="0.25">
      <c r="D1867"/>
    </row>
    <row r="1868" spans="4:4" x14ac:dyDescent="0.25">
      <c r="D1868"/>
    </row>
    <row r="1869" spans="4:4" x14ac:dyDescent="0.25">
      <c r="D1869"/>
    </row>
    <row r="1870" spans="4:4" x14ac:dyDescent="0.25">
      <c r="D1870"/>
    </row>
    <row r="1871" spans="4:4" x14ac:dyDescent="0.25">
      <c r="D1871"/>
    </row>
    <row r="1872" spans="4:4" x14ac:dyDescent="0.25">
      <c r="D1872"/>
    </row>
    <row r="1873" spans="4:4" x14ac:dyDescent="0.25">
      <c r="D1873"/>
    </row>
    <row r="1874" spans="4:4" x14ac:dyDescent="0.25">
      <c r="D1874"/>
    </row>
    <row r="1875" spans="4:4" x14ac:dyDescent="0.25">
      <c r="D1875"/>
    </row>
    <row r="1876" spans="4:4" x14ac:dyDescent="0.25">
      <c r="D1876"/>
    </row>
    <row r="1877" spans="4:4" x14ac:dyDescent="0.25">
      <c r="D1877"/>
    </row>
    <row r="1878" spans="4:4" x14ac:dyDescent="0.25">
      <c r="D1878"/>
    </row>
    <row r="1879" spans="4:4" x14ac:dyDescent="0.25">
      <c r="D1879"/>
    </row>
    <row r="1880" spans="4:4" x14ac:dyDescent="0.25">
      <c r="D1880"/>
    </row>
    <row r="1881" spans="4:4" x14ac:dyDescent="0.25">
      <c r="D1881"/>
    </row>
    <row r="1882" spans="4:4" x14ac:dyDescent="0.25">
      <c r="D1882"/>
    </row>
    <row r="1883" spans="4:4" x14ac:dyDescent="0.25">
      <c r="D1883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150a76-2533-4a66-ba9e-019a08f452cc">
      <Terms xmlns="http://schemas.microsoft.com/office/infopath/2007/PartnerControls"/>
    </lcf76f155ced4ddcb4097134ff3c332f>
    <TaxCatchAll xmlns="a5a80461-8c6b-49c6-8a2c-f455b7667df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69C8702C1EBF45812723B3306A2614" ma:contentTypeVersion="17" ma:contentTypeDescription="Create a new document." ma:contentTypeScope="" ma:versionID="1f60005f3be187fe39a38b6157b5cb51">
  <xsd:schema xmlns:xsd="http://www.w3.org/2001/XMLSchema" xmlns:xs="http://www.w3.org/2001/XMLSchema" xmlns:p="http://schemas.microsoft.com/office/2006/metadata/properties" xmlns:ns2="13150a76-2533-4a66-ba9e-019a08f452cc" xmlns:ns3="a5a80461-8c6b-49c6-8a2c-f455b7667df6" targetNamespace="http://schemas.microsoft.com/office/2006/metadata/properties" ma:root="true" ma:fieldsID="77bd5e0c28b4fc987ca3d0fdfb5fd47c" ns2:_="" ns3:_="">
    <xsd:import namespace="13150a76-2533-4a66-ba9e-019a08f452cc"/>
    <xsd:import namespace="a5a80461-8c6b-49c6-8a2c-f455b7667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50a76-2533-4a66-ba9e-019a08f45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80461-8c6b-49c6-8a2c-f455b7667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e5ab26-c815-4fd3-b1ca-12e8fa214afc}" ma:internalName="TaxCatchAll" ma:showField="CatchAllData" ma:web="a5a80461-8c6b-49c6-8a2c-f455b7667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37FC9-6AEA-4910-9ED5-243ED41A68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7927EE-553D-4D99-AE77-754EF48B78D9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a5a80461-8c6b-49c6-8a2c-f455b7667df6"/>
    <ds:schemaRef ds:uri="http://www.w3.org/XML/1998/namespace"/>
    <ds:schemaRef ds:uri="http://purl.org/dc/elements/1.1/"/>
    <ds:schemaRef ds:uri="13150a76-2533-4a66-ba9e-019a08f452cc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DFF1164-749E-4D35-99AF-73A0F8F6FD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50a76-2533-4a66-ba9e-019a08f452cc"/>
    <ds:schemaRef ds:uri="a5a80461-8c6b-49c6-8a2c-f455b7667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Privilege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22</vt:i4>
      </vt:variant>
    </vt:vector>
  </HeadingPairs>
  <TitlesOfParts>
    <vt:vector size="28" baseType="lpstr">
      <vt:lpstr>Read Me</vt:lpstr>
      <vt:lpstr>ActivityReporting (Data Entry)</vt:lpstr>
      <vt:lpstr>Activity Index</vt:lpstr>
      <vt:lpstr>Sheet5</vt:lpstr>
      <vt:lpstr>Vocab_NameList</vt:lpstr>
      <vt:lpstr>COD-Sites</vt:lpstr>
      <vt:lpstr>Activity_Detail_Col</vt:lpstr>
      <vt:lpstr>Activity_Detail_Start</vt:lpstr>
      <vt:lpstr>ActivityStype_Col</vt:lpstr>
      <vt:lpstr>ActivityStype_Start</vt:lpstr>
      <vt:lpstr>ActivityType_Col</vt:lpstr>
      <vt:lpstr>ActivityType_Start</vt:lpstr>
      <vt:lpstr>BlankList</vt:lpstr>
      <vt:lpstr>CommunalSpaces</vt:lpstr>
      <vt:lpstr>Help_Col</vt:lpstr>
      <vt:lpstr>Help_Start</vt:lpstr>
      <vt:lpstr>ImprovementType</vt:lpstr>
      <vt:lpstr>Nei_Col</vt:lpstr>
      <vt:lpstr>Nei_Start</vt:lpstr>
      <vt:lpstr>PA_Col</vt:lpstr>
      <vt:lpstr>PA_Start</vt:lpstr>
      <vt:lpstr>Partners</vt:lpstr>
      <vt:lpstr>Region_Col</vt:lpstr>
      <vt:lpstr>Region_Start</vt:lpstr>
      <vt:lpstr>RiskType</vt:lpstr>
      <vt:lpstr>Site_Col</vt:lpstr>
      <vt:lpstr>Site_Start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sujanpaudel@iom.int</dc:creator>
  <cp:keywords/>
  <dc:description/>
  <cp:lastModifiedBy>James WHITAKER</cp:lastModifiedBy>
  <cp:revision/>
  <dcterms:created xsi:type="dcterms:W3CDTF">2016-02-26T04:03:16Z</dcterms:created>
  <dcterms:modified xsi:type="dcterms:W3CDTF">2026-05-05T07:56:39Z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2eb329e2-1a17-4fa2-b976-907a9189892a</vt:lpwstr>
  </property>
  <property fmtid="{D5CDD505-2E9C-101B-9397-08002B2CF9AE}" pid="3" name="MSIP_Label_2059aa38-f392-4105-be92-628035578272_Enabled">
    <vt:lpwstr>true</vt:lpwstr>
  </property>
  <property fmtid="{D5CDD505-2E9C-101B-9397-08002B2CF9AE}" pid="4" name="MSIP_Label_2059aa38-f392-4105-be92-628035578272_SetDate">
    <vt:lpwstr>2022-03-01T13:29:38Z</vt:lpwstr>
  </property>
  <property fmtid="{D5CDD505-2E9C-101B-9397-08002B2CF9AE}" pid="5" name="MSIP_Label_2059aa38-f392-4105-be92-628035578272_Method">
    <vt:lpwstr>Privileged</vt:lpwstr>
  </property>
  <property fmtid="{D5CDD505-2E9C-101B-9397-08002B2CF9AE}" pid="6" name="MSIP_Label_2059aa38-f392-4105-be92-628035578272_Name">
    <vt:lpwstr>IOMLb0020IN123173</vt:lpwstr>
  </property>
  <property fmtid="{D5CDD505-2E9C-101B-9397-08002B2CF9AE}" pid="7" name="MSIP_Label_2059aa38-f392-4105-be92-628035578272_SiteId">
    <vt:lpwstr>1588262d-23fb-43b4-bd6e-bce49c8e6186</vt:lpwstr>
  </property>
  <property fmtid="{D5CDD505-2E9C-101B-9397-08002B2CF9AE}" pid="8" name="MSIP_Label_2059aa38-f392-4105-be92-628035578272_ActionId">
    <vt:lpwstr>667ef76e-5f6d-4fc2-b07a-165adf6cc590</vt:lpwstr>
  </property>
  <property fmtid="{D5CDD505-2E9C-101B-9397-08002B2CF9AE}" pid="9" name="MSIP_Label_2059aa38-f392-4105-be92-628035578272_ContentBits">
    <vt:lpwstr>0</vt:lpwstr>
  </property>
  <property fmtid="{D5CDD505-2E9C-101B-9397-08002B2CF9AE}" pid="10" name="ContentTypeId">
    <vt:lpwstr>0x010100B469C8702C1EBF45812723B3306A2614</vt:lpwstr>
  </property>
  <property fmtid="{D5CDD505-2E9C-101B-9397-08002B2CF9AE}" pid="11" name="MediaServiceImageTags">
    <vt:lpwstr/>
  </property>
</Properties>
</file>